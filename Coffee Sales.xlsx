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thesh\Downloads\"/>
    </mc:Choice>
  </mc:AlternateContent>
  <xr:revisionPtr revIDLastSave="0" documentId="13_ncr:1_{849168C0-93E6-4247-87B2-4071FC6CE114}" xr6:coauthVersionLast="47" xr6:coauthVersionMax="47" xr10:uidLastSave="{00000000-0000-0000-0000-000000000000}"/>
  <bookViews>
    <workbookView xWindow="-110" yWindow="-110" windowWidth="19420" windowHeight="10300" firstSheet="3" activeTab="6" xr2:uid="{00000000-000D-0000-FFFF-FFFF00000000}"/>
  </bookViews>
  <sheets>
    <sheet name="orders" sheetId="17" r:id="rId1"/>
    <sheet name="customers" sheetId="13" r:id="rId2"/>
    <sheet name="products" sheetId="2" r:id="rId3"/>
    <sheet name="final_sheet" sheetId="19" r:id="rId4"/>
    <sheet name="total sales" sheetId="20" r:id="rId5"/>
    <sheet name="extra" sheetId="28" r:id="rId6"/>
    <sheet name="Dashboard " sheetId="26" r:id="rId7"/>
  </sheets>
  <definedNames>
    <definedName name="_xlnm._FilterDatabase" localSheetId="3" hidden="1">final_sheet!$A$1:$O$1001</definedName>
    <definedName name="_xlnm._FilterDatabase" localSheetId="0" hidden="1">orders!$A$1:$M$1001</definedName>
    <definedName name="_xlnm._FilterDatabase" localSheetId="2" hidden="1">products!$A$1:$G$49</definedName>
    <definedName name="Coffee_Type">final_sheet!$K$2:$K$1001</definedName>
    <definedName name="Coffee_Type_Name">final_sheet!$P$2:$P$1001</definedName>
    <definedName name="Country">final_sheet!$J$2:$J$1001</definedName>
    <definedName name="Customer_ID">final_sheet!$E$2:$E$1001</definedName>
    <definedName name="Customer_Name">final_sheet!$H$2:$H$1001</definedName>
    <definedName name="Email">final_sheet!$I$2:$I$1001</definedName>
    <definedName name="Order_Date">final_sheet!$B$2:$B$1001</definedName>
    <definedName name="Order_ID">final_sheet!$A$2:$A$1001</definedName>
    <definedName name="Product_ID">final_sheet!$F$2:$F$1001</definedName>
    <definedName name="Quantity">final_sheet!$G$2:$G$1001</definedName>
    <definedName name="Roast_Type">final_sheet!$L$2:$L$1001</definedName>
    <definedName name="Roast_Type_Name">final_sheet!$Q$2:$Q$1001</definedName>
    <definedName name="Sales">final_sheet!$O$2:$O$1001</definedName>
    <definedName name="Size">final_sheet!$M$2:$M$1001</definedName>
    <definedName name="Slicer_Country">#N/A</definedName>
    <definedName name="Slicer_Loyalty_Card">#N/A</definedName>
    <definedName name="Slicer_Roast_Type_Name">#N/A</definedName>
    <definedName name="Slicer_Size">#N/A</definedName>
    <definedName name="Slicer_Year">#N/A</definedName>
    <definedName name="Unit_Price">final_sheet!$N$2:$N$1001</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6" i="28" l="1"/>
  <c r="M36" i="28" s="1"/>
  <c r="D3" i="19"/>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135" i="19"/>
  <c r="D136" i="19"/>
  <c r="D137" i="19"/>
  <c r="D138" i="19"/>
  <c r="D139" i="19"/>
  <c r="D140" i="19"/>
  <c r="D141" i="19"/>
  <c r="D142" i="19"/>
  <c r="D143" i="19"/>
  <c r="D144" i="19"/>
  <c r="D145" i="19"/>
  <c r="D146" i="19"/>
  <c r="D147" i="19"/>
  <c r="D148" i="19"/>
  <c r="D149" i="19"/>
  <c r="D150" i="19"/>
  <c r="D151" i="19"/>
  <c r="D152" i="19"/>
  <c r="D153" i="19"/>
  <c r="D154" i="19"/>
  <c r="D155" i="19"/>
  <c r="D156" i="19"/>
  <c r="D157" i="19"/>
  <c r="D158" i="19"/>
  <c r="D159" i="19"/>
  <c r="D160" i="19"/>
  <c r="D161" i="19"/>
  <c r="D162" i="19"/>
  <c r="D163" i="19"/>
  <c r="D164" i="19"/>
  <c r="D165" i="19"/>
  <c r="D166" i="19"/>
  <c r="D167" i="19"/>
  <c r="D168" i="19"/>
  <c r="D169" i="19"/>
  <c r="D170" i="19"/>
  <c r="D171" i="19"/>
  <c r="D172" i="19"/>
  <c r="D173" i="19"/>
  <c r="D174" i="19"/>
  <c r="D175" i="19"/>
  <c r="D176" i="19"/>
  <c r="D177" i="19"/>
  <c r="D178" i="19"/>
  <c r="D179" i="19"/>
  <c r="D180" i="19"/>
  <c r="D181" i="19"/>
  <c r="D182" i="19"/>
  <c r="D183" i="19"/>
  <c r="D184" i="19"/>
  <c r="D185" i="19"/>
  <c r="D186" i="19"/>
  <c r="D187" i="19"/>
  <c r="D188" i="19"/>
  <c r="D189" i="19"/>
  <c r="D190" i="19"/>
  <c r="D191" i="19"/>
  <c r="D192" i="19"/>
  <c r="D193" i="19"/>
  <c r="D194" i="19"/>
  <c r="D195" i="19"/>
  <c r="D196" i="19"/>
  <c r="D197" i="19"/>
  <c r="D198" i="19"/>
  <c r="D199" i="19"/>
  <c r="D200" i="19"/>
  <c r="D201" i="19"/>
  <c r="D202" i="19"/>
  <c r="D203" i="19"/>
  <c r="D204" i="19"/>
  <c r="D205" i="19"/>
  <c r="D206" i="19"/>
  <c r="D207" i="19"/>
  <c r="D208" i="19"/>
  <c r="D209" i="19"/>
  <c r="D210" i="19"/>
  <c r="D211" i="19"/>
  <c r="D212" i="19"/>
  <c r="D213" i="19"/>
  <c r="D214" i="19"/>
  <c r="D215" i="19"/>
  <c r="D216" i="19"/>
  <c r="D217" i="19"/>
  <c r="D218" i="19"/>
  <c r="D219" i="19"/>
  <c r="D220" i="19"/>
  <c r="D221" i="19"/>
  <c r="D222" i="19"/>
  <c r="D223" i="19"/>
  <c r="D224" i="19"/>
  <c r="D225" i="19"/>
  <c r="D226" i="19"/>
  <c r="D227" i="19"/>
  <c r="D228" i="19"/>
  <c r="D229" i="19"/>
  <c r="D230" i="19"/>
  <c r="D231" i="19"/>
  <c r="D232" i="19"/>
  <c r="D233" i="19"/>
  <c r="D234" i="19"/>
  <c r="D235" i="19"/>
  <c r="D236" i="19"/>
  <c r="D237" i="19"/>
  <c r="D238" i="19"/>
  <c r="D239" i="19"/>
  <c r="D240" i="19"/>
  <c r="D241" i="19"/>
  <c r="D242" i="19"/>
  <c r="D243" i="19"/>
  <c r="D244" i="19"/>
  <c r="D245" i="19"/>
  <c r="D246" i="19"/>
  <c r="D247" i="19"/>
  <c r="D248" i="19"/>
  <c r="D249" i="19"/>
  <c r="D250" i="19"/>
  <c r="D251" i="19"/>
  <c r="D252" i="19"/>
  <c r="D253" i="19"/>
  <c r="D254" i="19"/>
  <c r="D255" i="19"/>
  <c r="D256" i="19"/>
  <c r="D257" i="19"/>
  <c r="D258" i="19"/>
  <c r="D259" i="19"/>
  <c r="D260" i="19"/>
  <c r="D261" i="19"/>
  <c r="D262" i="19"/>
  <c r="D263" i="19"/>
  <c r="D264" i="19"/>
  <c r="D265" i="19"/>
  <c r="D266" i="19"/>
  <c r="D267" i="19"/>
  <c r="D268" i="19"/>
  <c r="D269" i="19"/>
  <c r="D270" i="19"/>
  <c r="D271" i="19"/>
  <c r="D272" i="19"/>
  <c r="D273" i="19"/>
  <c r="D274" i="19"/>
  <c r="D275" i="19"/>
  <c r="D276" i="19"/>
  <c r="D277" i="19"/>
  <c r="D278" i="19"/>
  <c r="D279" i="19"/>
  <c r="D280" i="19"/>
  <c r="D281" i="19"/>
  <c r="D282" i="19"/>
  <c r="D283" i="19"/>
  <c r="D284" i="19"/>
  <c r="D285" i="19"/>
  <c r="D286" i="19"/>
  <c r="D287" i="19"/>
  <c r="D288" i="19"/>
  <c r="D289" i="19"/>
  <c r="D290" i="19"/>
  <c r="D291" i="19"/>
  <c r="D292" i="19"/>
  <c r="D293" i="19"/>
  <c r="D294" i="19"/>
  <c r="D295" i="19"/>
  <c r="D296" i="19"/>
  <c r="D297" i="19"/>
  <c r="D298" i="19"/>
  <c r="D299" i="19"/>
  <c r="D300" i="19"/>
  <c r="D301" i="19"/>
  <c r="D302" i="19"/>
  <c r="D303" i="19"/>
  <c r="D304" i="19"/>
  <c r="D305" i="19"/>
  <c r="D306" i="19"/>
  <c r="D307" i="19"/>
  <c r="D308" i="19"/>
  <c r="D309" i="19"/>
  <c r="D310" i="19"/>
  <c r="D311" i="19"/>
  <c r="D312" i="19"/>
  <c r="D313" i="19"/>
  <c r="D314" i="19"/>
  <c r="D315" i="19"/>
  <c r="D316" i="19"/>
  <c r="D317" i="19"/>
  <c r="D318" i="19"/>
  <c r="D319" i="19"/>
  <c r="D320" i="19"/>
  <c r="D321" i="19"/>
  <c r="D322" i="19"/>
  <c r="D323" i="19"/>
  <c r="D324" i="19"/>
  <c r="D325" i="19"/>
  <c r="D326" i="19"/>
  <c r="D327" i="19"/>
  <c r="D328" i="19"/>
  <c r="D329" i="19"/>
  <c r="D330" i="19"/>
  <c r="D331" i="19"/>
  <c r="D332" i="19"/>
  <c r="D333" i="19"/>
  <c r="D334" i="19"/>
  <c r="D335" i="19"/>
  <c r="D336" i="19"/>
  <c r="D337" i="19"/>
  <c r="D338" i="19"/>
  <c r="D339" i="19"/>
  <c r="D340" i="19"/>
  <c r="D341" i="19"/>
  <c r="D342" i="19"/>
  <c r="D343" i="19"/>
  <c r="D344" i="19"/>
  <c r="D345" i="19"/>
  <c r="D346" i="19"/>
  <c r="D347" i="19"/>
  <c r="D348" i="19"/>
  <c r="D349" i="19"/>
  <c r="D350" i="19"/>
  <c r="D351" i="19"/>
  <c r="D352" i="19"/>
  <c r="D353" i="19"/>
  <c r="D354" i="19"/>
  <c r="D355" i="19"/>
  <c r="D356" i="19"/>
  <c r="D357" i="19"/>
  <c r="D358" i="19"/>
  <c r="D359" i="19"/>
  <c r="D360" i="19"/>
  <c r="D361" i="19"/>
  <c r="D362" i="19"/>
  <c r="D363" i="19"/>
  <c r="D364" i="19"/>
  <c r="D365" i="19"/>
  <c r="D366" i="19"/>
  <c r="D367" i="19"/>
  <c r="D368" i="19"/>
  <c r="D369" i="19"/>
  <c r="D370" i="19"/>
  <c r="D371" i="19"/>
  <c r="D372" i="19"/>
  <c r="D373" i="19"/>
  <c r="D374" i="19"/>
  <c r="D375" i="19"/>
  <c r="D376" i="19"/>
  <c r="D377" i="19"/>
  <c r="D378" i="19"/>
  <c r="D379" i="19"/>
  <c r="D380" i="19"/>
  <c r="D381" i="19"/>
  <c r="D382" i="19"/>
  <c r="D383" i="19"/>
  <c r="D384" i="19"/>
  <c r="D385" i="19"/>
  <c r="D386" i="19"/>
  <c r="D387" i="19"/>
  <c r="D388" i="19"/>
  <c r="D389" i="19"/>
  <c r="D390" i="19"/>
  <c r="D391" i="19"/>
  <c r="D392" i="19"/>
  <c r="D393" i="19"/>
  <c r="D394" i="19"/>
  <c r="D395" i="19"/>
  <c r="D396" i="19"/>
  <c r="D397" i="19"/>
  <c r="D398" i="19"/>
  <c r="D399" i="19"/>
  <c r="D400" i="19"/>
  <c r="D401" i="19"/>
  <c r="D402" i="19"/>
  <c r="D403" i="19"/>
  <c r="D404" i="19"/>
  <c r="D405" i="19"/>
  <c r="D406" i="19"/>
  <c r="D407" i="19"/>
  <c r="D408" i="19"/>
  <c r="D409" i="19"/>
  <c r="D410" i="19"/>
  <c r="D411" i="19"/>
  <c r="D412" i="19"/>
  <c r="D413" i="19"/>
  <c r="D414" i="19"/>
  <c r="D415" i="19"/>
  <c r="D416" i="19"/>
  <c r="D417" i="19"/>
  <c r="D418" i="19"/>
  <c r="D419" i="19"/>
  <c r="D420" i="19"/>
  <c r="D421" i="19"/>
  <c r="D422" i="19"/>
  <c r="D423" i="19"/>
  <c r="D424" i="19"/>
  <c r="D425" i="19"/>
  <c r="D426" i="19"/>
  <c r="D427" i="19"/>
  <c r="D428" i="19"/>
  <c r="D429" i="19"/>
  <c r="D430" i="19"/>
  <c r="D431" i="19"/>
  <c r="D432" i="19"/>
  <c r="D433" i="19"/>
  <c r="D434" i="19"/>
  <c r="D435" i="19"/>
  <c r="D436" i="19"/>
  <c r="D437" i="19"/>
  <c r="D438" i="19"/>
  <c r="D439" i="19"/>
  <c r="D440" i="19"/>
  <c r="D441" i="19"/>
  <c r="D442" i="19"/>
  <c r="D443" i="19"/>
  <c r="D444" i="19"/>
  <c r="D445" i="19"/>
  <c r="D446" i="19"/>
  <c r="D447" i="19"/>
  <c r="D448" i="19"/>
  <c r="D449" i="19"/>
  <c r="D450" i="19"/>
  <c r="D451" i="19"/>
  <c r="D452" i="19"/>
  <c r="D453" i="19"/>
  <c r="D454" i="19"/>
  <c r="D455" i="19"/>
  <c r="D456" i="19"/>
  <c r="D457" i="19"/>
  <c r="D458" i="19"/>
  <c r="D459" i="19"/>
  <c r="D460" i="19"/>
  <c r="D461" i="19"/>
  <c r="D462" i="19"/>
  <c r="D463" i="19"/>
  <c r="D464" i="19"/>
  <c r="D465" i="19"/>
  <c r="D466" i="19"/>
  <c r="D467" i="19"/>
  <c r="D468" i="19"/>
  <c r="D469" i="19"/>
  <c r="D470" i="19"/>
  <c r="D471" i="19"/>
  <c r="D472" i="19"/>
  <c r="D473" i="19"/>
  <c r="D474" i="19"/>
  <c r="D475" i="19"/>
  <c r="D476" i="19"/>
  <c r="D477" i="19"/>
  <c r="D478" i="19"/>
  <c r="D479" i="19"/>
  <c r="D480" i="19"/>
  <c r="D481" i="19"/>
  <c r="D482" i="19"/>
  <c r="D483" i="19"/>
  <c r="D484" i="19"/>
  <c r="D485" i="19"/>
  <c r="D486" i="19"/>
  <c r="D487" i="19"/>
  <c r="D488" i="19"/>
  <c r="D489" i="19"/>
  <c r="D490" i="19"/>
  <c r="D491" i="19"/>
  <c r="D492" i="19"/>
  <c r="D493" i="19"/>
  <c r="D494" i="19"/>
  <c r="D495" i="19"/>
  <c r="D496" i="19"/>
  <c r="D497" i="19"/>
  <c r="D498" i="19"/>
  <c r="D499" i="19"/>
  <c r="D500" i="19"/>
  <c r="D501" i="19"/>
  <c r="D502" i="19"/>
  <c r="D503" i="19"/>
  <c r="D504" i="19"/>
  <c r="D505" i="19"/>
  <c r="D506" i="19"/>
  <c r="D507" i="19"/>
  <c r="D508" i="19"/>
  <c r="D509" i="19"/>
  <c r="D510" i="19"/>
  <c r="D511" i="19"/>
  <c r="D512" i="19"/>
  <c r="D513" i="19"/>
  <c r="D514" i="19"/>
  <c r="D515" i="19"/>
  <c r="D516" i="19"/>
  <c r="D517" i="19"/>
  <c r="D518" i="19"/>
  <c r="D519" i="19"/>
  <c r="D520" i="19"/>
  <c r="D521" i="19"/>
  <c r="D522" i="19"/>
  <c r="D523" i="19"/>
  <c r="D524" i="19"/>
  <c r="D525" i="19"/>
  <c r="D526" i="19"/>
  <c r="D527" i="19"/>
  <c r="D528" i="19"/>
  <c r="D529" i="19"/>
  <c r="D530" i="19"/>
  <c r="D531" i="19"/>
  <c r="D532" i="19"/>
  <c r="D533" i="19"/>
  <c r="D534" i="19"/>
  <c r="D535" i="19"/>
  <c r="D536" i="19"/>
  <c r="D537" i="19"/>
  <c r="D538" i="19"/>
  <c r="D539" i="19"/>
  <c r="D540" i="19"/>
  <c r="D541" i="19"/>
  <c r="D542" i="19"/>
  <c r="D543" i="19"/>
  <c r="D544" i="19"/>
  <c r="D545" i="19"/>
  <c r="D546" i="19"/>
  <c r="D547" i="19"/>
  <c r="D548" i="19"/>
  <c r="D549" i="19"/>
  <c r="D550" i="19"/>
  <c r="D551" i="19"/>
  <c r="D552" i="19"/>
  <c r="D553" i="19"/>
  <c r="D554" i="19"/>
  <c r="D555" i="19"/>
  <c r="D556" i="19"/>
  <c r="D557" i="19"/>
  <c r="D558" i="19"/>
  <c r="D559" i="19"/>
  <c r="D560" i="19"/>
  <c r="D561" i="19"/>
  <c r="D562" i="19"/>
  <c r="D563" i="19"/>
  <c r="D564" i="19"/>
  <c r="D565" i="19"/>
  <c r="D566" i="19"/>
  <c r="D567" i="19"/>
  <c r="D568" i="19"/>
  <c r="D569" i="19"/>
  <c r="D570" i="19"/>
  <c r="D571" i="19"/>
  <c r="D572" i="19"/>
  <c r="D573" i="19"/>
  <c r="D574" i="19"/>
  <c r="D575" i="19"/>
  <c r="D576" i="19"/>
  <c r="D577" i="19"/>
  <c r="D578" i="19"/>
  <c r="D579" i="19"/>
  <c r="D580" i="19"/>
  <c r="D581" i="19"/>
  <c r="D582" i="19"/>
  <c r="D583" i="19"/>
  <c r="D584" i="19"/>
  <c r="D585" i="19"/>
  <c r="D586" i="19"/>
  <c r="D587" i="19"/>
  <c r="D588" i="19"/>
  <c r="D589" i="19"/>
  <c r="D590" i="19"/>
  <c r="D591" i="19"/>
  <c r="D592" i="19"/>
  <c r="D593" i="19"/>
  <c r="D594" i="19"/>
  <c r="D595" i="19"/>
  <c r="D596" i="19"/>
  <c r="D597" i="19"/>
  <c r="D598" i="19"/>
  <c r="D599" i="19"/>
  <c r="D600" i="19"/>
  <c r="D601" i="19"/>
  <c r="D602" i="19"/>
  <c r="D603" i="19"/>
  <c r="D604" i="19"/>
  <c r="D605" i="19"/>
  <c r="D606" i="19"/>
  <c r="D607" i="19"/>
  <c r="D608" i="19"/>
  <c r="D609" i="19"/>
  <c r="D610" i="19"/>
  <c r="D611" i="19"/>
  <c r="D612" i="19"/>
  <c r="D613" i="19"/>
  <c r="D614" i="19"/>
  <c r="D615" i="19"/>
  <c r="D616" i="19"/>
  <c r="D617" i="19"/>
  <c r="D618" i="19"/>
  <c r="D619" i="19"/>
  <c r="D620" i="19"/>
  <c r="D621" i="19"/>
  <c r="D622" i="19"/>
  <c r="D623" i="19"/>
  <c r="D624" i="19"/>
  <c r="D625" i="19"/>
  <c r="D626" i="19"/>
  <c r="D627" i="19"/>
  <c r="D628" i="19"/>
  <c r="D629" i="19"/>
  <c r="D630" i="19"/>
  <c r="D631" i="19"/>
  <c r="D632" i="19"/>
  <c r="D633" i="19"/>
  <c r="D634" i="19"/>
  <c r="D635" i="19"/>
  <c r="D636" i="19"/>
  <c r="D637" i="19"/>
  <c r="D638" i="19"/>
  <c r="D639" i="19"/>
  <c r="D640" i="19"/>
  <c r="D641" i="19"/>
  <c r="D642" i="19"/>
  <c r="D643" i="19"/>
  <c r="D644" i="19"/>
  <c r="D645" i="19"/>
  <c r="D646" i="19"/>
  <c r="D647" i="19"/>
  <c r="D648" i="19"/>
  <c r="D649" i="19"/>
  <c r="D650" i="19"/>
  <c r="D651" i="19"/>
  <c r="D652" i="19"/>
  <c r="D653" i="19"/>
  <c r="D654" i="19"/>
  <c r="D655" i="19"/>
  <c r="D656" i="19"/>
  <c r="D657" i="19"/>
  <c r="D658" i="19"/>
  <c r="D659" i="19"/>
  <c r="D660" i="19"/>
  <c r="D661" i="19"/>
  <c r="D662" i="19"/>
  <c r="D663" i="19"/>
  <c r="D664" i="19"/>
  <c r="D665" i="19"/>
  <c r="D666" i="19"/>
  <c r="D667" i="19"/>
  <c r="D668" i="19"/>
  <c r="D669" i="19"/>
  <c r="D670" i="19"/>
  <c r="D671" i="19"/>
  <c r="D672" i="19"/>
  <c r="D673" i="19"/>
  <c r="D674" i="19"/>
  <c r="D675" i="19"/>
  <c r="D676" i="19"/>
  <c r="D677" i="19"/>
  <c r="D678" i="19"/>
  <c r="D679" i="19"/>
  <c r="D680" i="19"/>
  <c r="D681" i="19"/>
  <c r="D682" i="19"/>
  <c r="D683" i="19"/>
  <c r="D684" i="19"/>
  <c r="D685" i="19"/>
  <c r="D686" i="19"/>
  <c r="D687" i="19"/>
  <c r="D688" i="19"/>
  <c r="D689" i="19"/>
  <c r="D690" i="19"/>
  <c r="D691" i="19"/>
  <c r="D692" i="19"/>
  <c r="D693" i="19"/>
  <c r="D694" i="19"/>
  <c r="D695" i="19"/>
  <c r="D696" i="19"/>
  <c r="D697" i="19"/>
  <c r="D698" i="19"/>
  <c r="D699" i="19"/>
  <c r="D700" i="19"/>
  <c r="D701" i="19"/>
  <c r="D702" i="19"/>
  <c r="D703" i="19"/>
  <c r="D704" i="19"/>
  <c r="D705" i="19"/>
  <c r="D706" i="19"/>
  <c r="D707" i="19"/>
  <c r="D708" i="19"/>
  <c r="D709" i="19"/>
  <c r="D710" i="19"/>
  <c r="D711" i="19"/>
  <c r="D712" i="19"/>
  <c r="D713" i="19"/>
  <c r="D714" i="19"/>
  <c r="D715" i="19"/>
  <c r="D716" i="19"/>
  <c r="D717" i="19"/>
  <c r="D718" i="19"/>
  <c r="D719" i="19"/>
  <c r="D720" i="19"/>
  <c r="D721" i="19"/>
  <c r="D722" i="19"/>
  <c r="D723" i="19"/>
  <c r="D724" i="19"/>
  <c r="D725" i="19"/>
  <c r="D726" i="19"/>
  <c r="D727" i="19"/>
  <c r="D728" i="19"/>
  <c r="D729" i="19"/>
  <c r="D730" i="19"/>
  <c r="D731" i="19"/>
  <c r="D732" i="19"/>
  <c r="D733" i="19"/>
  <c r="D734" i="19"/>
  <c r="D735" i="19"/>
  <c r="D736" i="19"/>
  <c r="D737" i="19"/>
  <c r="D738" i="19"/>
  <c r="D739" i="19"/>
  <c r="D740" i="19"/>
  <c r="D741" i="19"/>
  <c r="D742" i="19"/>
  <c r="D743" i="19"/>
  <c r="D744" i="19"/>
  <c r="D745" i="19"/>
  <c r="D746" i="19"/>
  <c r="D747" i="19"/>
  <c r="D748" i="19"/>
  <c r="D749" i="19"/>
  <c r="D750" i="19"/>
  <c r="D751" i="19"/>
  <c r="D752" i="19"/>
  <c r="D753" i="19"/>
  <c r="D754" i="19"/>
  <c r="D755" i="19"/>
  <c r="D756" i="19"/>
  <c r="D757" i="19"/>
  <c r="D758" i="19"/>
  <c r="D759" i="19"/>
  <c r="D760" i="19"/>
  <c r="D761" i="19"/>
  <c r="D762" i="19"/>
  <c r="D763" i="19"/>
  <c r="D764" i="19"/>
  <c r="D765" i="19"/>
  <c r="D766" i="19"/>
  <c r="D767" i="19"/>
  <c r="D768" i="19"/>
  <c r="D769" i="19"/>
  <c r="D770" i="19"/>
  <c r="D771" i="19"/>
  <c r="D772" i="19"/>
  <c r="D773" i="19"/>
  <c r="D774" i="19"/>
  <c r="D775" i="19"/>
  <c r="D776" i="19"/>
  <c r="D777" i="19"/>
  <c r="D778" i="19"/>
  <c r="D779" i="19"/>
  <c r="D780" i="19"/>
  <c r="D781" i="19"/>
  <c r="D782" i="19"/>
  <c r="D783" i="19"/>
  <c r="D784" i="19"/>
  <c r="D785" i="19"/>
  <c r="D786" i="19"/>
  <c r="D787" i="19"/>
  <c r="D788" i="19"/>
  <c r="D789" i="19"/>
  <c r="D790" i="19"/>
  <c r="D791" i="19"/>
  <c r="D792" i="19"/>
  <c r="D793" i="19"/>
  <c r="D794" i="19"/>
  <c r="D795" i="19"/>
  <c r="D796" i="19"/>
  <c r="D797" i="19"/>
  <c r="D798" i="19"/>
  <c r="D799" i="19"/>
  <c r="D800" i="19"/>
  <c r="D801" i="19"/>
  <c r="D802" i="19"/>
  <c r="D803" i="19"/>
  <c r="D804" i="19"/>
  <c r="D805" i="19"/>
  <c r="D806" i="19"/>
  <c r="D807" i="19"/>
  <c r="D808" i="19"/>
  <c r="D809" i="19"/>
  <c r="D810" i="19"/>
  <c r="D811" i="19"/>
  <c r="D812" i="19"/>
  <c r="D813" i="19"/>
  <c r="D814" i="19"/>
  <c r="D815" i="19"/>
  <c r="D816" i="19"/>
  <c r="D817" i="19"/>
  <c r="D818" i="19"/>
  <c r="D819" i="19"/>
  <c r="D820" i="19"/>
  <c r="D821" i="19"/>
  <c r="D822" i="19"/>
  <c r="D823" i="19"/>
  <c r="D824" i="19"/>
  <c r="D825" i="19"/>
  <c r="D826" i="19"/>
  <c r="D827" i="19"/>
  <c r="D828" i="19"/>
  <c r="D829" i="19"/>
  <c r="D830" i="19"/>
  <c r="D831" i="19"/>
  <c r="D832" i="19"/>
  <c r="D833" i="19"/>
  <c r="D834" i="19"/>
  <c r="D835" i="19"/>
  <c r="D836" i="19"/>
  <c r="D837" i="19"/>
  <c r="D838" i="19"/>
  <c r="D839" i="19"/>
  <c r="D840" i="19"/>
  <c r="D841" i="19"/>
  <c r="D842" i="19"/>
  <c r="D843" i="19"/>
  <c r="D844" i="19"/>
  <c r="D845" i="19"/>
  <c r="D846" i="19"/>
  <c r="D847" i="19"/>
  <c r="D848" i="19"/>
  <c r="D849" i="19"/>
  <c r="D850" i="19"/>
  <c r="D851" i="19"/>
  <c r="D852" i="19"/>
  <c r="D853" i="19"/>
  <c r="D854" i="19"/>
  <c r="D855" i="19"/>
  <c r="D856" i="19"/>
  <c r="D857" i="19"/>
  <c r="D858" i="19"/>
  <c r="D859" i="19"/>
  <c r="D860" i="19"/>
  <c r="D861" i="19"/>
  <c r="D862" i="19"/>
  <c r="D863" i="19"/>
  <c r="D864" i="19"/>
  <c r="D865" i="19"/>
  <c r="D866" i="19"/>
  <c r="D867" i="19"/>
  <c r="D868" i="19"/>
  <c r="D869" i="19"/>
  <c r="D870" i="19"/>
  <c r="D871" i="19"/>
  <c r="D872" i="19"/>
  <c r="D873" i="19"/>
  <c r="D874" i="19"/>
  <c r="D875" i="19"/>
  <c r="D876" i="19"/>
  <c r="D877" i="19"/>
  <c r="D878" i="19"/>
  <c r="D879" i="19"/>
  <c r="D880" i="19"/>
  <c r="D881" i="19"/>
  <c r="D882" i="19"/>
  <c r="D883" i="19"/>
  <c r="D884" i="19"/>
  <c r="D885" i="19"/>
  <c r="D886" i="19"/>
  <c r="D887" i="19"/>
  <c r="D888" i="19"/>
  <c r="D889" i="19"/>
  <c r="D890" i="19"/>
  <c r="D891" i="19"/>
  <c r="D892" i="19"/>
  <c r="D893" i="19"/>
  <c r="D894" i="19"/>
  <c r="D895" i="19"/>
  <c r="D896" i="19"/>
  <c r="D897" i="19"/>
  <c r="D898" i="19"/>
  <c r="D899" i="19"/>
  <c r="D900" i="19"/>
  <c r="D901" i="19"/>
  <c r="D902" i="19"/>
  <c r="D903" i="19"/>
  <c r="D904" i="19"/>
  <c r="D905" i="19"/>
  <c r="D906" i="19"/>
  <c r="D907" i="19"/>
  <c r="D908" i="19"/>
  <c r="D909" i="19"/>
  <c r="D910" i="19"/>
  <c r="D911" i="19"/>
  <c r="D912" i="19"/>
  <c r="D913" i="19"/>
  <c r="D914" i="19"/>
  <c r="D915" i="19"/>
  <c r="D916" i="19"/>
  <c r="D917" i="19"/>
  <c r="D918" i="19"/>
  <c r="D919" i="19"/>
  <c r="D920" i="19"/>
  <c r="D921" i="19"/>
  <c r="D922" i="19"/>
  <c r="D923" i="19"/>
  <c r="D924" i="19"/>
  <c r="D925" i="19"/>
  <c r="D926" i="19"/>
  <c r="D927" i="19"/>
  <c r="D928" i="19"/>
  <c r="D929" i="19"/>
  <c r="D930" i="19"/>
  <c r="D931" i="19"/>
  <c r="D932" i="19"/>
  <c r="D933" i="19"/>
  <c r="D934" i="19"/>
  <c r="D935" i="19"/>
  <c r="D936" i="19"/>
  <c r="D937" i="19"/>
  <c r="D938" i="19"/>
  <c r="D939" i="19"/>
  <c r="D940" i="19"/>
  <c r="D941" i="19"/>
  <c r="D942" i="19"/>
  <c r="D943" i="19"/>
  <c r="D944" i="19"/>
  <c r="D945" i="19"/>
  <c r="D946" i="19"/>
  <c r="D947" i="19"/>
  <c r="D948" i="19"/>
  <c r="D949" i="19"/>
  <c r="D950" i="19"/>
  <c r="D951" i="19"/>
  <c r="D952" i="19"/>
  <c r="D953" i="19"/>
  <c r="D954" i="19"/>
  <c r="D955" i="19"/>
  <c r="D956" i="19"/>
  <c r="D957" i="19"/>
  <c r="D958" i="19"/>
  <c r="D959" i="19"/>
  <c r="D960" i="19"/>
  <c r="D961" i="19"/>
  <c r="D962" i="19"/>
  <c r="D963" i="19"/>
  <c r="D964" i="19"/>
  <c r="D965" i="19"/>
  <c r="D966" i="19"/>
  <c r="D967" i="19"/>
  <c r="D968" i="19"/>
  <c r="D969" i="19"/>
  <c r="D970" i="19"/>
  <c r="D971" i="19"/>
  <c r="D972" i="19"/>
  <c r="D973" i="19"/>
  <c r="D974" i="19"/>
  <c r="D975" i="19"/>
  <c r="D976" i="19"/>
  <c r="D977" i="19"/>
  <c r="D978" i="19"/>
  <c r="D979" i="19"/>
  <c r="D980" i="19"/>
  <c r="D981" i="19"/>
  <c r="D982" i="19"/>
  <c r="D983" i="19"/>
  <c r="D984" i="19"/>
  <c r="D985" i="19"/>
  <c r="D986" i="19"/>
  <c r="D987" i="19"/>
  <c r="D988" i="19"/>
  <c r="D989" i="19"/>
  <c r="D990" i="19"/>
  <c r="D991" i="19"/>
  <c r="D992" i="19"/>
  <c r="D993" i="19"/>
  <c r="D994" i="19"/>
  <c r="D995" i="19"/>
  <c r="D996" i="19"/>
  <c r="D997" i="19"/>
  <c r="D998" i="19"/>
  <c r="D999" i="19"/>
  <c r="D1000" i="19"/>
  <c r="D1001" i="19"/>
  <c r="D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405" i="19"/>
  <c r="C406" i="19"/>
  <c r="C407" i="19"/>
  <c r="C408" i="19"/>
  <c r="C409" i="19"/>
  <c r="C410" i="19"/>
  <c r="C411" i="19"/>
  <c r="C412" i="19"/>
  <c r="C413" i="19"/>
  <c r="C414" i="19"/>
  <c r="C415" i="19"/>
  <c r="C416" i="19"/>
  <c r="C417" i="19"/>
  <c r="C418" i="19"/>
  <c r="C419" i="19"/>
  <c r="C420" i="19"/>
  <c r="C421" i="19"/>
  <c r="C422" i="19"/>
  <c r="C423" i="19"/>
  <c r="C424" i="19"/>
  <c r="C425" i="19"/>
  <c r="C426" i="19"/>
  <c r="C427" i="19"/>
  <c r="C428" i="19"/>
  <c r="C429" i="19"/>
  <c r="C430" i="19"/>
  <c r="C431" i="19"/>
  <c r="C432" i="19"/>
  <c r="C433" i="19"/>
  <c r="C434" i="19"/>
  <c r="C435" i="19"/>
  <c r="C436" i="19"/>
  <c r="C437" i="19"/>
  <c r="C438" i="19"/>
  <c r="C439" i="19"/>
  <c r="C440" i="19"/>
  <c r="C441" i="19"/>
  <c r="C442" i="19"/>
  <c r="C443" i="19"/>
  <c r="C444" i="19"/>
  <c r="C445" i="19"/>
  <c r="C446" i="19"/>
  <c r="C447" i="19"/>
  <c r="C448" i="19"/>
  <c r="C449" i="19"/>
  <c r="C450" i="19"/>
  <c r="C451" i="19"/>
  <c r="C452" i="19"/>
  <c r="C453" i="19"/>
  <c r="C454" i="19"/>
  <c r="C455" i="19"/>
  <c r="C456" i="19"/>
  <c r="C457" i="19"/>
  <c r="C458" i="19"/>
  <c r="C459" i="19"/>
  <c r="C460" i="19"/>
  <c r="C461" i="19"/>
  <c r="C462" i="19"/>
  <c r="C463" i="19"/>
  <c r="C464" i="19"/>
  <c r="C465" i="19"/>
  <c r="C466" i="19"/>
  <c r="C467" i="19"/>
  <c r="C468" i="19"/>
  <c r="C469" i="19"/>
  <c r="C470" i="19"/>
  <c r="C471" i="19"/>
  <c r="C472" i="19"/>
  <c r="C473" i="19"/>
  <c r="C474" i="19"/>
  <c r="C475" i="19"/>
  <c r="C476" i="19"/>
  <c r="C477" i="19"/>
  <c r="C478" i="19"/>
  <c r="C479" i="19"/>
  <c r="C480" i="19"/>
  <c r="C481" i="19"/>
  <c r="C482" i="19"/>
  <c r="C483" i="19"/>
  <c r="C484" i="19"/>
  <c r="C485" i="19"/>
  <c r="C486" i="19"/>
  <c r="C487" i="19"/>
  <c r="C488" i="19"/>
  <c r="C489" i="19"/>
  <c r="C490" i="19"/>
  <c r="C491" i="19"/>
  <c r="C492" i="19"/>
  <c r="C493" i="19"/>
  <c r="C494" i="19"/>
  <c r="C495" i="19"/>
  <c r="C496" i="19"/>
  <c r="C497" i="19"/>
  <c r="C498" i="19"/>
  <c r="C499" i="19"/>
  <c r="C500" i="19"/>
  <c r="C501" i="19"/>
  <c r="C502" i="19"/>
  <c r="C503" i="19"/>
  <c r="C504" i="19"/>
  <c r="C505" i="19"/>
  <c r="C506" i="19"/>
  <c r="C507" i="19"/>
  <c r="C508" i="19"/>
  <c r="C509" i="19"/>
  <c r="C510" i="19"/>
  <c r="C511" i="19"/>
  <c r="C512" i="19"/>
  <c r="C513" i="19"/>
  <c r="C514" i="19"/>
  <c r="C515" i="19"/>
  <c r="C516" i="19"/>
  <c r="C517" i="19"/>
  <c r="C518" i="19"/>
  <c r="C519" i="19"/>
  <c r="C520" i="19"/>
  <c r="C521" i="19"/>
  <c r="C522" i="19"/>
  <c r="C523" i="19"/>
  <c r="C524" i="19"/>
  <c r="C525" i="19"/>
  <c r="C526" i="19"/>
  <c r="C527" i="19"/>
  <c r="C528" i="19"/>
  <c r="C529" i="19"/>
  <c r="C530" i="19"/>
  <c r="C531" i="19"/>
  <c r="C532" i="19"/>
  <c r="C533" i="19"/>
  <c r="C534" i="19"/>
  <c r="C535" i="19"/>
  <c r="C536" i="19"/>
  <c r="C537" i="19"/>
  <c r="C538" i="19"/>
  <c r="C539" i="19"/>
  <c r="C540" i="19"/>
  <c r="C541" i="19"/>
  <c r="C542" i="19"/>
  <c r="C543" i="19"/>
  <c r="C544" i="19"/>
  <c r="C545" i="19"/>
  <c r="C546" i="19"/>
  <c r="C547" i="19"/>
  <c r="C548" i="19"/>
  <c r="C549" i="19"/>
  <c r="C550" i="19"/>
  <c r="C551" i="19"/>
  <c r="C552" i="19"/>
  <c r="C553" i="19"/>
  <c r="C554" i="19"/>
  <c r="C555" i="19"/>
  <c r="C556" i="19"/>
  <c r="C557" i="19"/>
  <c r="C558" i="19"/>
  <c r="C559" i="19"/>
  <c r="C560" i="19"/>
  <c r="C561" i="19"/>
  <c r="C562" i="19"/>
  <c r="C563" i="19"/>
  <c r="C564" i="19"/>
  <c r="C565" i="19"/>
  <c r="C566" i="19"/>
  <c r="C567" i="19"/>
  <c r="C568" i="19"/>
  <c r="C569" i="19"/>
  <c r="C570" i="19"/>
  <c r="C571" i="19"/>
  <c r="C572" i="19"/>
  <c r="C573" i="19"/>
  <c r="C574" i="19"/>
  <c r="C575" i="19"/>
  <c r="C576" i="19"/>
  <c r="C577" i="19"/>
  <c r="C578" i="19"/>
  <c r="C579" i="19"/>
  <c r="C580" i="19"/>
  <c r="C581" i="19"/>
  <c r="C582" i="19"/>
  <c r="C583" i="19"/>
  <c r="C584" i="19"/>
  <c r="C585" i="19"/>
  <c r="C586" i="19"/>
  <c r="C587" i="19"/>
  <c r="C588" i="19"/>
  <c r="C589" i="19"/>
  <c r="C590" i="19"/>
  <c r="C591" i="19"/>
  <c r="C592" i="19"/>
  <c r="C593" i="19"/>
  <c r="C594" i="19"/>
  <c r="C595" i="19"/>
  <c r="C596" i="19"/>
  <c r="C597" i="19"/>
  <c r="C598" i="19"/>
  <c r="C599" i="19"/>
  <c r="C600" i="19"/>
  <c r="C601" i="19"/>
  <c r="C602" i="19"/>
  <c r="C603" i="19"/>
  <c r="C604" i="19"/>
  <c r="C605" i="19"/>
  <c r="C606" i="19"/>
  <c r="C607" i="19"/>
  <c r="C608" i="19"/>
  <c r="C609" i="19"/>
  <c r="C610" i="19"/>
  <c r="C611" i="19"/>
  <c r="C612" i="19"/>
  <c r="C613" i="19"/>
  <c r="C614" i="19"/>
  <c r="C615" i="19"/>
  <c r="C616" i="19"/>
  <c r="C617" i="19"/>
  <c r="C618" i="19"/>
  <c r="C619" i="19"/>
  <c r="C620" i="19"/>
  <c r="C621" i="19"/>
  <c r="C622" i="19"/>
  <c r="C623" i="19"/>
  <c r="C624" i="19"/>
  <c r="C625" i="19"/>
  <c r="C626" i="19"/>
  <c r="C627" i="19"/>
  <c r="C628" i="19"/>
  <c r="C629" i="19"/>
  <c r="C630" i="19"/>
  <c r="C631" i="19"/>
  <c r="C632" i="19"/>
  <c r="C633" i="19"/>
  <c r="C634" i="19"/>
  <c r="C635" i="19"/>
  <c r="C636" i="19"/>
  <c r="C637" i="19"/>
  <c r="C638" i="19"/>
  <c r="C639" i="19"/>
  <c r="C640" i="19"/>
  <c r="C641" i="19"/>
  <c r="C642" i="19"/>
  <c r="C643" i="19"/>
  <c r="C644" i="19"/>
  <c r="C645" i="19"/>
  <c r="C646" i="19"/>
  <c r="C647" i="19"/>
  <c r="C648" i="19"/>
  <c r="C649" i="19"/>
  <c r="C650" i="19"/>
  <c r="C651" i="19"/>
  <c r="C652" i="19"/>
  <c r="C653" i="19"/>
  <c r="C654" i="19"/>
  <c r="C655" i="19"/>
  <c r="C656" i="19"/>
  <c r="C657" i="19"/>
  <c r="C658" i="19"/>
  <c r="C659" i="19"/>
  <c r="C660" i="19"/>
  <c r="C661" i="19"/>
  <c r="C662" i="19"/>
  <c r="C663" i="19"/>
  <c r="C664" i="19"/>
  <c r="C665" i="19"/>
  <c r="C666" i="19"/>
  <c r="C667" i="19"/>
  <c r="C668" i="19"/>
  <c r="C669" i="19"/>
  <c r="C670" i="19"/>
  <c r="C671" i="19"/>
  <c r="C672" i="19"/>
  <c r="C673" i="19"/>
  <c r="C674" i="19"/>
  <c r="C675" i="19"/>
  <c r="C676" i="19"/>
  <c r="C677" i="19"/>
  <c r="C678" i="19"/>
  <c r="C679" i="19"/>
  <c r="C680" i="19"/>
  <c r="C681" i="19"/>
  <c r="C682" i="19"/>
  <c r="C683" i="19"/>
  <c r="C684" i="19"/>
  <c r="C685" i="19"/>
  <c r="C686" i="19"/>
  <c r="C687" i="19"/>
  <c r="C688" i="19"/>
  <c r="C689" i="19"/>
  <c r="C690" i="19"/>
  <c r="C691" i="19"/>
  <c r="C692" i="19"/>
  <c r="C693" i="19"/>
  <c r="C694" i="19"/>
  <c r="C695" i="19"/>
  <c r="C696" i="19"/>
  <c r="C697" i="19"/>
  <c r="C698" i="19"/>
  <c r="C699" i="19"/>
  <c r="C700" i="19"/>
  <c r="C701" i="19"/>
  <c r="C702" i="19"/>
  <c r="C703" i="19"/>
  <c r="C704" i="19"/>
  <c r="C705" i="19"/>
  <c r="C706" i="19"/>
  <c r="C707" i="19"/>
  <c r="C708" i="19"/>
  <c r="C709" i="19"/>
  <c r="C710" i="19"/>
  <c r="C711" i="19"/>
  <c r="C712" i="19"/>
  <c r="C713" i="19"/>
  <c r="C714" i="19"/>
  <c r="C715" i="19"/>
  <c r="C716" i="19"/>
  <c r="C717" i="19"/>
  <c r="C718" i="19"/>
  <c r="C719" i="19"/>
  <c r="C720" i="19"/>
  <c r="C721" i="19"/>
  <c r="C722" i="19"/>
  <c r="C723" i="19"/>
  <c r="C724" i="19"/>
  <c r="C725" i="19"/>
  <c r="C726" i="19"/>
  <c r="C727" i="19"/>
  <c r="C728" i="19"/>
  <c r="C729" i="19"/>
  <c r="C730" i="19"/>
  <c r="C731" i="19"/>
  <c r="C732" i="19"/>
  <c r="C733" i="19"/>
  <c r="C734" i="19"/>
  <c r="C735" i="19"/>
  <c r="C736" i="19"/>
  <c r="C737" i="19"/>
  <c r="C738" i="19"/>
  <c r="C739" i="19"/>
  <c r="C740" i="19"/>
  <c r="C741" i="19"/>
  <c r="C742" i="19"/>
  <c r="C743" i="19"/>
  <c r="C744" i="19"/>
  <c r="C745" i="19"/>
  <c r="C746" i="19"/>
  <c r="C747" i="19"/>
  <c r="C748" i="19"/>
  <c r="C749" i="19"/>
  <c r="C750" i="19"/>
  <c r="C751" i="19"/>
  <c r="C752" i="19"/>
  <c r="C753" i="19"/>
  <c r="C754" i="19"/>
  <c r="C755" i="19"/>
  <c r="C756" i="19"/>
  <c r="C757" i="19"/>
  <c r="C758" i="19"/>
  <c r="C759" i="19"/>
  <c r="C760" i="19"/>
  <c r="C761" i="19"/>
  <c r="C762" i="19"/>
  <c r="C763" i="19"/>
  <c r="C764" i="19"/>
  <c r="C765" i="19"/>
  <c r="C766" i="19"/>
  <c r="C767" i="19"/>
  <c r="C768" i="19"/>
  <c r="C769" i="19"/>
  <c r="C770" i="19"/>
  <c r="C771" i="19"/>
  <c r="C772" i="19"/>
  <c r="C773" i="19"/>
  <c r="C774" i="19"/>
  <c r="C775" i="19"/>
  <c r="C776" i="19"/>
  <c r="C777" i="19"/>
  <c r="C778" i="19"/>
  <c r="C779" i="19"/>
  <c r="C780" i="19"/>
  <c r="C781" i="19"/>
  <c r="C782" i="19"/>
  <c r="C783" i="19"/>
  <c r="C784" i="19"/>
  <c r="C785" i="19"/>
  <c r="C786" i="19"/>
  <c r="C787" i="19"/>
  <c r="C788" i="19"/>
  <c r="C789" i="19"/>
  <c r="C790" i="19"/>
  <c r="C791" i="19"/>
  <c r="C792" i="19"/>
  <c r="C793" i="19"/>
  <c r="C794" i="19"/>
  <c r="C795" i="19"/>
  <c r="C796" i="19"/>
  <c r="C797" i="19"/>
  <c r="C798" i="19"/>
  <c r="C799" i="19"/>
  <c r="C800" i="19"/>
  <c r="C801" i="19"/>
  <c r="C802" i="19"/>
  <c r="C803" i="19"/>
  <c r="C804" i="19"/>
  <c r="C805" i="19"/>
  <c r="C806" i="19"/>
  <c r="C807" i="19"/>
  <c r="C808" i="19"/>
  <c r="C809" i="19"/>
  <c r="C810" i="19"/>
  <c r="C811" i="19"/>
  <c r="C812" i="19"/>
  <c r="C813" i="19"/>
  <c r="C814" i="19"/>
  <c r="C815" i="19"/>
  <c r="C816" i="19"/>
  <c r="C817" i="19"/>
  <c r="C818" i="19"/>
  <c r="C819" i="19"/>
  <c r="C820" i="19"/>
  <c r="C821" i="19"/>
  <c r="C822" i="19"/>
  <c r="C823" i="19"/>
  <c r="C824" i="19"/>
  <c r="C825" i="19"/>
  <c r="C826" i="19"/>
  <c r="C827" i="19"/>
  <c r="C828" i="19"/>
  <c r="C829" i="19"/>
  <c r="C830" i="19"/>
  <c r="C831" i="19"/>
  <c r="C832" i="19"/>
  <c r="C833" i="19"/>
  <c r="C834" i="19"/>
  <c r="C835" i="19"/>
  <c r="C836" i="19"/>
  <c r="C837" i="19"/>
  <c r="C838" i="19"/>
  <c r="C839" i="19"/>
  <c r="C840" i="19"/>
  <c r="C841" i="19"/>
  <c r="C842" i="19"/>
  <c r="C843" i="19"/>
  <c r="C844" i="19"/>
  <c r="C845" i="19"/>
  <c r="C846" i="19"/>
  <c r="C847" i="19"/>
  <c r="C848" i="19"/>
  <c r="C849" i="19"/>
  <c r="C850" i="19"/>
  <c r="C851" i="19"/>
  <c r="C852" i="19"/>
  <c r="C853" i="19"/>
  <c r="C854" i="19"/>
  <c r="C855" i="19"/>
  <c r="C856" i="19"/>
  <c r="C857" i="19"/>
  <c r="C858" i="19"/>
  <c r="C859" i="19"/>
  <c r="C860" i="19"/>
  <c r="C861" i="19"/>
  <c r="C862" i="19"/>
  <c r="C863" i="19"/>
  <c r="C864" i="19"/>
  <c r="C865" i="19"/>
  <c r="C866" i="19"/>
  <c r="C867" i="19"/>
  <c r="C868" i="19"/>
  <c r="C869" i="19"/>
  <c r="C870" i="19"/>
  <c r="C871" i="19"/>
  <c r="C872" i="19"/>
  <c r="C873" i="19"/>
  <c r="C874" i="19"/>
  <c r="C875" i="19"/>
  <c r="C876" i="19"/>
  <c r="C877" i="19"/>
  <c r="C878" i="19"/>
  <c r="C879" i="19"/>
  <c r="C880" i="19"/>
  <c r="C881" i="19"/>
  <c r="C882" i="19"/>
  <c r="C883" i="19"/>
  <c r="C884" i="19"/>
  <c r="C885" i="19"/>
  <c r="C886" i="19"/>
  <c r="C887" i="19"/>
  <c r="C888" i="19"/>
  <c r="C889" i="19"/>
  <c r="C890" i="19"/>
  <c r="C891" i="19"/>
  <c r="C892" i="19"/>
  <c r="C893" i="19"/>
  <c r="C894" i="19"/>
  <c r="C895" i="19"/>
  <c r="C896" i="19"/>
  <c r="C897" i="19"/>
  <c r="C898" i="19"/>
  <c r="C899" i="19"/>
  <c r="C900" i="19"/>
  <c r="C901" i="19"/>
  <c r="C902" i="19"/>
  <c r="C903" i="19"/>
  <c r="C904" i="19"/>
  <c r="C905" i="19"/>
  <c r="C906" i="19"/>
  <c r="C907" i="19"/>
  <c r="C908" i="19"/>
  <c r="C909" i="19"/>
  <c r="C910" i="19"/>
  <c r="C911" i="19"/>
  <c r="C912" i="19"/>
  <c r="C913" i="19"/>
  <c r="C914" i="19"/>
  <c r="C915" i="19"/>
  <c r="C916" i="19"/>
  <c r="C917" i="19"/>
  <c r="C918" i="19"/>
  <c r="C919" i="19"/>
  <c r="C920" i="19"/>
  <c r="C921" i="19"/>
  <c r="C922" i="19"/>
  <c r="C923" i="19"/>
  <c r="C924" i="19"/>
  <c r="C925" i="19"/>
  <c r="C926" i="19"/>
  <c r="C927" i="19"/>
  <c r="C928" i="19"/>
  <c r="C929" i="19"/>
  <c r="C930" i="19"/>
  <c r="C931" i="19"/>
  <c r="C932" i="19"/>
  <c r="C933" i="19"/>
  <c r="C934" i="19"/>
  <c r="C935" i="19"/>
  <c r="C936" i="19"/>
  <c r="C937" i="19"/>
  <c r="C938" i="19"/>
  <c r="C939" i="19"/>
  <c r="C940" i="19"/>
  <c r="C941" i="19"/>
  <c r="C942" i="19"/>
  <c r="C943" i="19"/>
  <c r="C944" i="19"/>
  <c r="C945" i="19"/>
  <c r="C946" i="19"/>
  <c r="C947" i="19"/>
  <c r="C948" i="19"/>
  <c r="C949" i="19"/>
  <c r="C950" i="19"/>
  <c r="C951" i="19"/>
  <c r="C952" i="19"/>
  <c r="C953" i="19"/>
  <c r="C954" i="19"/>
  <c r="C955" i="19"/>
  <c r="C956" i="19"/>
  <c r="C957" i="19"/>
  <c r="C958" i="19"/>
  <c r="C959" i="19"/>
  <c r="C960" i="19"/>
  <c r="C961" i="19"/>
  <c r="C962" i="19"/>
  <c r="C963" i="19"/>
  <c r="C964" i="19"/>
  <c r="C965" i="19"/>
  <c r="C966" i="19"/>
  <c r="C967" i="19"/>
  <c r="C968" i="19"/>
  <c r="C969" i="19"/>
  <c r="C970" i="19"/>
  <c r="C971" i="19"/>
  <c r="C972" i="19"/>
  <c r="C973" i="19"/>
  <c r="C974" i="19"/>
  <c r="C975" i="19"/>
  <c r="C976" i="19"/>
  <c r="C977" i="19"/>
  <c r="C978" i="19"/>
  <c r="C979" i="19"/>
  <c r="C980" i="19"/>
  <c r="C981" i="19"/>
  <c r="C982" i="19"/>
  <c r="C983" i="19"/>
  <c r="C984" i="19"/>
  <c r="C985" i="19"/>
  <c r="C986" i="19"/>
  <c r="C987" i="19"/>
  <c r="C988" i="19"/>
  <c r="C989" i="19"/>
  <c r="C990" i="19"/>
  <c r="C991" i="19"/>
  <c r="C992" i="19"/>
  <c r="C993" i="19"/>
  <c r="C994" i="19"/>
  <c r="C995" i="19"/>
  <c r="C996" i="19"/>
  <c r="C997" i="19"/>
  <c r="C998" i="19"/>
  <c r="C999" i="19"/>
  <c r="C1000" i="19"/>
  <c r="C1001" i="19"/>
  <c r="C2" i="19"/>
  <c r="R402" i="19"/>
  <c r="R403" i="19"/>
  <c r="R404" i="19"/>
  <c r="R405" i="19"/>
  <c r="R426" i="19"/>
  <c r="R890" i="19"/>
  <c r="R900" i="19"/>
  <c r="R573" i="19"/>
  <c r="R980" i="19"/>
  <c r="R287" i="19"/>
  <c r="R53" i="19"/>
  <c r="R897" i="19"/>
  <c r="R662" i="19"/>
  <c r="R57" i="19"/>
  <c r="R697" i="19"/>
  <c r="R895" i="19"/>
  <c r="R619" i="19"/>
  <c r="R742" i="19"/>
  <c r="R166" i="19"/>
  <c r="R101" i="19"/>
  <c r="R2" i="19"/>
  <c r="R232" i="19"/>
  <c r="R909" i="19"/>
  <c r="R386" i="19"/>
  <c r="R744" i="19"/>
  <c r="R299" i="19"/>
  <c r="R173" i="19"/>
  <c r="R498" i="19"/>
  <c r="R821" i="19"/>
  <c r="R340" i="19"/>
  <c r="R384" i="19"/>
  <c r="R451" i="19"/>
  <c r="R700" i="19"/>
  <c r="R775" i="19"/>
  <c r="R851" i="19"/>
  <c r="R102" i="19"/>
  <c r="R475" i="19"/>
  <c r="R691" i="19"/>
  <c r="R366" i="19"/>
  <c r="R209" i="19"/>
  <c r="R763" i="19"/>
  <c r="R766" i="19"/>
  <c r="R487" i="19"/>
  <c r="R642" i="19"/>
  <c r="R855" i="19"/>
  <c r="R964" i="19"/>
  <c r="R112" i="19"/>
  <c r="R971" i="19"/>
  <c r="R948" i="19"/>
  <c r="R661" i="19"/>
  <c r="R175" i="19"/>
  <c r="R54" i="19"/>
  <c r="R324" i="19"/>
  <c r="R693" i="19"/>
  <c r="R874" i="19"/>
  <c r="R468" i="19"/>
  <c r="R844" i="19"/>
  <c r="R736" i="19"/>
  <c r="R986" i="19"/>
  <c r="R490" i="19"/>
  <c r="R653" i="19"/>
  <c r="R685" i="19"/>
  <c r="R686" i="19"/>
  <c r="R512" i="19"/>
  <c r="R539" i="19"/>
  <c r="R237" i="19"/>
  <c r="R639" i="19"/>
  <c r="R676" i="19"/>
  <c r="R841" i="19"/>
  <c r="R252" i="19"/>
  <c r="R453" i="19"/>
  <c r="R191" i="19"/>
  <c r="R760" i="19"/>
  <c r="R860" i="19"/>
  <c r="R991" i="19"/>
  <c r="R624" i="19"/>
  <c r="R35" i="19"/>
  <c r="R772" i="19"/>
  <c r="R843" i="19"/>
  <c r="R48" i="19"/>
  <c r="R606" i="19"/>
  <c r="R879" i="19"/>
  <c r="R640" i="19"/>
  <c r="R97" i="19"/>
  <c r="R556" i="19"/>
  <c r="R881" i="19"/>
  <c r="R142" i="19"/>
  <c r="R143" i="19"/>
  <c r="R144" i="19"/>
  <c r="R145" i="19"/>
  <c r="R578" i="19"/>
  <c r="R765" i="19"/>
  <c r="R893" i="19"/>
  <c r="R559" i="19"/>
  <c r="R621" i="19"/>
  <c r="R659" i="19"/>
  <c r="R509" i="19"/>
  <c r="R837" i="19"/>
  <c r="R531" i="19"/>
  <c r="R221" i="19"/>
  <c r="R303" i="19"/>
  <c r="R931" i="19"/>
  <c r="R545" i="19"/>
  <c r="R72" i="19"/>
  <c r="R327" i="19"/>
  <c r="R172" i="19"/>
  <c r="R4" i="19"/>
  <c r="R899" i="19"/>
  <c r="R397" i="19"/>
  <c r="R459" i="19"/>
  <c r="R23" i="19"/>
  <c r="R24" i="19"/>
  <c r="R25" i="19"/>
  <c r="R949" i="19"/>
  <c r="R884" i="19"/>
  <c r="R618" i="19"/>
  <c r="R762" i="19"/>
  <c r="R148" i="19"/>
  <c r="R274" i="19"/>
  <c r="R849" i="19"/>
  <c r="R768" i="19"/>
  <c r="R865" i="19"/>
  <c r="R50" i="19"/>
  <c r="R421" i="19"/>
  <c r="R430" i="19"/>
  <c r="R711" i="19"/>
  <c r="R120" i="19"/>
  <c r="R536" i="19"/>
  <c r="R74" i="19"/>
  <c r="R857" i="19"/>
  <c r="R876" i="19"/>
  <c r="R564" i="19"/>
  <c r="R137" i="19"/>
  <c r="R190" i="19"/>
  <c r="R977" i="19"/>
  <c r="R342" i="19"/>
  <c r="R850" i="19"/>
  <c r="R93" i="19"/>
  <c r="R294" i="19"/>
  <c r="R961" i="19"/>
  <c r="R448" i="19"/>
  <c r="R503" i="19"/>
  <c r="R504" i="19"/>
  <c r="R282" i="19"/>
  <c r="R791" i="19"/>
  <c r="R792" i="19"/>
  <c r="R138" i="19"/>
  <c r="R162" i="19"/>
  <c r="R250" i="19"/>
  <c r="R609" i="19"/>
  <c r="R382" i="19"/>
  <c r="R383" i="19"/>
  <c r="R413" i="19"/>
  <c r="R496" i="19"/>
  <c r="R418" i="19"/>
  <c r="R655" i="19"/>
  <c r="R694" i="19"/>
  <c r="R726" i="19"/>
  <c r="R716" i="19"/>
  <c r="R786" i="19"/>
  <c r="R79" i="19"/>
  <c r="R741" i="19"/>
  <c r="R467" i="19"/>
  <c r="R501" i="19"/>
  <c r="R526" i="19"/>
  <c r="R329" i="19"/>
  <c r="R32" i="19"/>
  <c r="R745" i="19"/>
  <c r="R778" i="19"/>
  <c r="R332" i="19"/>
  <c r="R244" i="19"/>
  <c r="R960" i="19"/>
  <c r="R40" i="19"/>
  <c r="R41" i="19"/>
  <c r="R824" i="19"/>
  <c r="R201" i="19"/>
  <c r="R848" i="19"/>
  <c r="R38" i="19"/>
  <c r="R805" i="19"/>
  <c r="R313" i="19"/>
  <c r="R436" i="19"/>
  <c r="R437" i="19"/>
  <c r="R46" i="19"/>
  <c r="R364" i="19"/>
  <c r="R151" i="19"/>
  <c r="R525" i="19"/>
  <c r="R417" i="19"/>
  <c r="R690" i="19"/>
  <c r="R770" i="19"/>
  <c r="R666" i="19"/>
  <c r="R859" i="19"/>
  <c r="R12" i="19"/>
  <c r="R94" i="19"/>
  <c r="R626" i="19"/>
  <c r="R910" i="19"/>
  <c r="R460" i="19"/>
  <c r="R321" i="19"/>
  <c r="R55" i="19"/>
  <c r="R409" i="19"/>
  <c r="R547" i="19"/>
  <c r="R959" i="19"/>
  <c r="R710" i="19"/>
  <c r="R646" i="19"/>
  <c r="R608" i="19"/>
  <c r="R616" i="19"/>
  <c r="R617" i="19"/>
  <c r="R441" i="19"/>
  <c r="R153" i="19"/>
  <c r="R815" i="19"/>
  <c r="R683" i="19"/>
  <c r="R827" i="19"/>
  <c r="R701" i="19"/>
  <c r="R416" i="19"/>
  <c r="R423" i="19"/>
  <c r="R774" i="19"/>
  <c r="R868" i="19"/>
  <c r="R127" i="19"/>
  <c r="R362" i="19"/>
  <c r="R66" i="19"/>
  <c r="R657" i="19"/>
  <c r="R702" i="19"/>
  <c r="R296" i="19"/>
  <c r="R577" i="19"/>
  <c r="R234" i="19"/>
  <c r="R235" i="19"/>
  <c r="R854" i="19"/>
  <c r="R993" i="19"/>
  <c r="R566" i="19"/>
  <c r="R652" i="19"/>
  <c r="R65" i="19"/>
  <c r="R226" i="19"/>
  <c r="R756" i="19"/>
  <c r="R392" i="19"/>
  <c r="R110" i="19"/>
  <c r="R131" i="19"/>
  <c r="R99" i="19"/>
  <c r="R565" i="19"/>
  <c r="R743" i="19"/>
  <c r="R159" i="19"/>
  <c r="R867" i="19"/>
  <c r="R866" i="19"/>
  <c r="R728" i="19"/>
  <c r="R823" i="19"/>
  <c r="R918" i="19"/>
  <c r="R713" i="19"/>
  <c r="R152" i="19"/>
  <c r="R326" i="19"/>
  <c r="R281" i="19"/>
  <c r="R87" i="19"/>
  <c r="R746" i="19"/>
  <c r="R962" i="19"/>
  <c r="R390" i="19"/>
  <c r="R669" i="19"/>
  <c r="R580" i="19"/>
  <c r="R208" i="19"/>
  <c r="R263" i="19"/>
  <c r="R464" i="19"/>
  <c r="R521" i="19"/>
  <c r="R926" i="19"/>
  <c r="R346" i="19"/>
  <c r="R985" i="19"/>
  <c r="R425" i="19"/>
  <c r="R507" i="19"/>
  <c r="R555" i="19"/>
  <c r="R542" i="19"/>
  <c r="R45" i="19"/>
  <c r="R319" i="19"/>
  <c r="R892" i="19"/>
  <c r="R627" i="19"/>
  <c r="R996" i="19"/>
  <c r="R955" i="19"/>
  <c r="R47" i="19"/>
  <c r="R29" i="19"/>
  <c r="R668" i="19"/>
  <c r="R500" i="19"/>
  <c r="R922" i="19"/>
  <c r="R968" i="19"/>
  <c r="R634" i="19"/>
  <c r="R995" i="19"/>
  <c r="R341" i="19"/>
  <c r="R212" i="19"/>
  <c r="R915" i="19"/>
  <c r="R916" i="19"/>
  <c r="R1000" i="19"/>
  <c r="R37" i="19"/>
  <c r="R61" i="19"/>
  <c r="R727" i="19"/>
  <c r="R445" i="19"/>
  <c r="R831" i="19"/>
  <c r="R730" i="19"/>
  <c r="R550" i="19"/>
  <c r="R957" i="19"/>
  <c r="R160" i="19"/>
  <c r="R846" i="19"/>
  <c r="R524" i="19"/>
  <c r="R292" i="19"/>
  <c r="R674" i="19"/>
  <c r="R630" i="19"/>
  <c r="R740" i="19"/>
  <c r="R277" i="19"/>
  <c r="R3" i="19"/>
  <c r="R552" i="19"/>
  <c r="R951" i="19"/>
  <c r="R938" i="19"/>
  <c r="R211" i="19"/>
  <c r="R51" i="19"/>
  <c r="R158" i="19"/>
  <c r="R109" i="19"/>
  <c r="R157" i="19"/>
  <c r="R522" i="19"/>
  <c r="R703" i="19"/>
  <c r="R458" i="19"/>
  <c r="R494" i="19"/>
  <c r="R731" i="19"/>
  <c r="R814" i="19"/>
  <c r="R118" i="19"/>
  <c r="R8" i="19"/>
  <c r="R14" i="19"/>
  <c r="R750" i="19"/>
  <c r="R773" i="19"/>
  <c r="R808" i="19"/>
  <c r="R156" i="19"/>
  <c r="R220" i="19"/>
  <c r="R111" i="19"/>
  <c r="R78" i="19"/>
  <c r="R6" i="19"/>
  <c r="R7" i="19"/>
  <c r="R248" i="19"/>
  <c r="R187" i="19"/>
  <c r="R353" i="19"/>
  <c r="R830" i="19"/>
  <c r="R584" i="19"/>
  <c r="R873" i="19"/>
  <c r="R779" i="19"/>
  <c r="R613" i="19"/>
  <c r="R246" i="19"/>
  <c r="R587" i="19"/>
  <c r="R293" i="19"/>
  <c r="R789" i="19"/>
  <c r="R751" i="19"/>
  <c r="R839" i="19"/>
  <c r="R431" i="19"/>
  <c r="R602" i="19"/>
  <c r="R261" i="19"/>
  <c r="R924" i="19"/>
  <c r="R219" i="19"/>
  <c r="R304" i="19"/>
  <c r="R422" i="19"/>
  <c r="R515" i="19"/>
  <c r="R207" i="19"/>
  <c r="R599" i="19"/>
  <c r="R103" i="19"/>
  <c r="R546" i="19"/>
  <c r="R206" i="19"/>
  <c r="R254" i="19"/>
  <c r="R480" i="19"/>
  <c r="R600" i="19"/>
  <c r="R601" i="19"/>
  <c r="R708" i="19"/>
  <c r="R840" i="19"/>
  <c r="R348" i="19"/>
  <c r="R809" i="19"/>
  <c r="R135" i="19"/>
  <c r="R499" i="19"/>
  <c r="R615" i="19"/>
  <c r="R906" i="19"/>
  <c r="R911" i="19"/>
  <c r="R305" i="19"/>
  <c r="R265" i="19"/>
  <c r="R785" i="19"/>
  <c r="R370" i="19"/>
  <c r="R297" i="19"/>
  <c r="R941" i="19"/>
  <c r="R420" i="19"/>
  <c r="R513" i="19"/>
  <c r="R62" i="19"/>
  <c r="R231" i="19"/>
  <c r="R291" i="19"/>
  <c r="R300" i="19"/>
  <c r="R216" i="19"/>
  <c r="R987" i="19"/>
  <c r="R557" i="19"/>
  <c r="R637" i="19"/>
  <c r="R230" i="19"/>
  <c r="R862" i="19"/>
  <c r="R155" i="19"/>
  <c r="R224" i="19"/>
  <c r="R280" i="19"/>
  <c r="R240" i="19"/>
  <c r="R942" i="19"/>
  <c r="R317" i="19"/>
  <c r="R343" i="19"/>
  <c r="R415" i="19"/>
  <c r="R834" i="19"/>
  <c r="R188" i="19"/>
  <c r="R858" i="19"/>
  <c r="R20" i="19"/>
  <c r="R429" i="19"/>
  <c r="R620" i="19"/>
  <c r="R535" i="19"/>
  <c r="R594" i="19"/>
  <c r="R595" i="19"/>
  <c r="R30" i="19"/>
  <c r="R134" i="19"/>
  <c r="R456" i="19"/>
  <c r="R625" i="19"/>
  <c r="R651" i="19"/>
  <c r="R847" i="19"/>
  <c r="R966" i="19"/>
  <c r="R622" i="19"/>
  <c r="R485" i="19"/>
  <c r="R749" i="19"/>
  <c r="R797" i="19"/>
  <c r="R432" i="19"/>
  <c r="R315" i="19"/>
  <c r="R478" i="19"/>
  <c r="R919" i="19"/>
  <c r="R165" i="19"/>
  <c r="R242" i="19"/>
  <c r="R375" i="19"/>
  <c r="R759" i="19"/>
  <c r="R945" i="19"/>
  <c r="R654" i="19"/>
  <c r="R484" i="19"/>
  <c r="R26" i="19"/>
  <c r="R347" i="19"/>
  <c r="R393" i="19"/>
  <c r="R245" i="19"/>
  <c r="R369" i="19"/>
  <c r="R732" i="19"/>
  <c r="R733" i="19"/>
  <c r="R338" i="19"/>
  <c r="R358" i="19"/>
  <c r="R735" i="19"/>
  <c r="R734" i="19"/>
  <c r="R196" i="19"/>
  <c r="R260" i="19"/>
  <c r="R592" i="19"/>
  <c r="R796" i="19"/>
  <c r="R399" i="19"/>
  <c r="R944" i="19"/>
  <c r="R800" i="19"/>
  <c r="R950" i="19"/>
  <c r="R256" i="19"/>
  <c r="R887" i="19"/>
  <c r="R965" i="19"/>
  <c r="R466" i="19"/>
  <c r="R658" i="19"/>
  <c r="R567" i="19"/>
  <c r="R532" i="19"/>
  <c r="R551" i="19"/>
  <c r="R934" i="19"/>
  <c r="R377" i="19"/>
  <c r="R266" i="19"/>
  <c r="R396" i="19"/>
  <c r="R914" i="19"/>
  <c r="R129" i="19"/>
  <c r="R146" i="19"/>
  <c r="R147" i="19"/>
  <c r="R864" i="19"/>
  <c r="R904" i="19"/>
  <c r="R788" i="19"/>
  <c r="R92" i="19"/>
  <c r="R443" i="19"/>
  <c r="R954" i="19"/>
  <c r="R330" i="19"/>
  <c r="R835" i="19"/>
  <c r="R969" i="19"/>
  <c r="R133" i="19"/>
  <c r="R411" i="19"/>
  <c r="R249" i="19"/>
  <c r="R288" i="19"/>
  <c r="R243" i="19"/>
  <c r="R113" i="19"/>
  <c r="R633" i="19"/>
  <c r="R88" i="19"/>
  <c r="R264" i="19"/>
  <c r="R309" i="19"/>
  <c r="R355" i="19"/>
  <c r="R482" i="19"/>
  <c r="R806" i="19"/>
  <c r="R920" i="19"/>
  <c r="R11" i="19"/>
  <c r="R218" i="19"/>
  <c r="R81" i="19"/>
  <c r="R988" i="19"/>
  <c r="R706" i="19"/>
  <c r="R149" i="19"/>
  <c r="R335" i="19"/>
  <c r="R52" i="19"/>
  <c r="R529" i="19"/>
  <c r="R414" i="19"/>
  <c r="R678" i="19"/>
  <c r="R822" i="19"/>
  <c r="R457" i="19"/>
  <c r="R905" i="19"/>
  <c r="R365" i="19"/>
  <c r="R650" i="19"/>
  <c r="R497" i="19"/>
  <c r="R593" i="19"/>
  <c r="R842" i="19"/>
  <c r="R85" i="19"/>
  <c r="R86" i="19"/>
  <c r="R89" i="19"/>
  <c r="R385" i="19"/>
  <c r="R247" i="19"/>
  <c r="R953" i="19"/>
  <c r="R380" i="19"/>
  <c r="R222" i="19"/>
  <c r="R408" i="19"/>
  <c r="R729" i="19"/>
  <c r="R787" i="19"/>
  <c r="R956" i="19"/>
  <c r="R204" i="19"/>
  <c r="R888" i="19"/>
  <c r="R10" i="19"/>
  <c r="R424" i="19"/>
  <c r="R279" i="19"/>
  <c r="R77" i="19"/>
  <c r="R164" i="19"/>
  <c r="R543" i="19"/>
  <c r="R132" i="19"/>
  <c r="R589" i="19"/>
  <c r="R872" i="19"/>
  <c r="R433" i="19"/>
  <c r="R992" i="19"/>
  <c r="R183" i="19"/>
  <c r="R596" i="19"/>
  <c r="R755" i="19"/>
  <c r="R882" i="19"/>
  <c r="R671" i="19"/>
  <c r="R790" i="19"/>
  <c r="R444" i="19"/>
  <c r="R544" i="19"/>
  <c r="R725" i="19"/>
  <c r="R976" i="19"/>
  <c r="R794" i="19"/>
  <c r="R812" i="19"/>
  <c r="R381" i="19"/>
  <c r="R603" i="19"/>
  <c r="R59" i="19"/>
  <c r="R597" i="19"/>
  <c r="R308" i="19"/>
  <c r="R576" i="19"/>
  <c r="R724" i="19"/>
  <c r="R553" i="19"/>
  <c r="R336" i="19"/>
  <c r="R520" i="19"/>
  <c r="R979" i="19"/>
  <c r="R378" i="19"/>
  <c r="R125" i="19"/>
  <c r="R973" i="19"/>
  <c r="R1001" i="19"/>
  <c r="R199" i="19"/>
  <c r="R681" i="19"/>
  <c r="R178" i="19"/>
  <c r="R5" i="19"/>
  <c r="R807" i="19"/>
  <c r="R638" i="19"/>
  <c r="R548" i="19"/>
  <c r="R170" i="19"/>
  <c r="R889" i="19"/>
  <c r="R999" i="19"/>
  <c r="R611" i="19"/>
  <c r="R896" i="19"/>
  <c r="R368" i="19"/>
  <c r="R923" i="19"/>
  <c r="R236" i="19"/>
  <c r="R753" i="19"/>
  <c r="R754" i="19"/>
  <c r="R337" i="19"/>
  <c r="R333" i="19"/>
  <c r="R312" i="19"/>
  <c r="R875" i="19"/>
  <c r="R465" i="19"/>
  <c r="R623" i="19"/>
  <c r="R818" i="19"/>
  <c r="R361" i="19"/>
  <c r="R917" i="19"/>
  <c r="R820" i="19"/>
  <c r="R163" i="19"/>
  <c r="R972" i="19"/>
  <c r="R982" i="19"/>
  <c r="R91" i="19"/>
  <c r="R373" i="19"/>
  <c r="R632" i="19"/>
  <c r="R568" i="19"/>
  <c r="R869" i="19"/>
  <c r="R73" i="19"/>
  <c r="R604" i="19"/>
  <c r="R389" i="19"/>
  <c r="R477" i="19"/>
  <c r="R168" i="19"/>
  <c r="R273" i="19"/>
  <c r="R442" i="19"/>
  <c r="R116" i="19"/>
  <c r="R663" i="19"/>
  <c r="R680" i="19"/>
  <c r="R538" i="19"/>
  <c r="R574" i="19"/>
  <c r="R541" i="19"/>
  <c r="R684" i="19"/>
  <c r="R704" i="19"/>
  <c r="R64" i="19"/>
  <c r="R320" i="19"/>
  <c r="R128" i="19"/>
  <c r="R105" i="19"/>
  <c r="R489" i="19"/>
  <c r="R780" i="19"/>
  <c r="R435" i="19"/>
  <c r="R833" i="19"/>
  <c r="R984" i="19"/>
  <c r="R124" i="19"/>
  <c r="R18" i="19"/>
  <c r="R819" i="19"/>
  <c r="R108" i="19"/>
  <c r="R339" i="19"/>
  <c r="R757" i="19"/>
  <c r="R258" i="19"/>
  <c r="R590" i="19"/>
  <c r="R114" i="19"/>
  <c r="R514" i="19"/>
  <c r="R195" i="19"/>
  <c r="R486" i="19"/>
  <c r="R28" i="19"/>
  <c r="R717" i="19"/>
  <c r="R810" i="19"/>
  <c r="R325" i="19"/>
  <c r="R34" i="19"/>
  <c r="R483" i="19"/>
  <c r="R878" i="19"/>
  <c r="R268" i="19"/>
  <c r="R709" i="19"/>
  <c r="R510" i="19"/>
  <c r="R394" i="19"/>
  <c r="R723" i="19"/>
  <c r="R692" i="19"/>
  <c r="R998" i="19"/>
  <c r="R69" i="19"/>
  <c r="R323" i="19"/>
  <c r="R718" i="19"/>
  <c r="R719" i="19"/>
  <c r="R720" i="19"/>
  <c r="R721" i="19"/>
  <c r="R722" i="19"/>
  <c r="R761" i="19"/>
  <c r="R804" i="19"/>
  <c r="R284" i="19"/>
  <c r="R98" i="19"/>
  <c r="R253" i="19"/>
  <c r="R345" i="19"/>
  <c r="R181" i="19"/>
  <c r="R95" i="19"/>
  <c r="R474" i="19"/>
  <c r="R42" i="19"/>
  <c r="R647" i="19"/>
  <c r="R223" i="19"/>
  <c r="R33" i="19"/>
  <c r="R439" i="19"/>
  <c r="R488" i="19"/>
  <c r="R870" i="19"/>
  <c r="R455" i="19"/>
  <c r="R913" i="19"/>
  <c r="R295" i="19"/>
  <c r="R771" i="19"/>
  <c r="R22" i="19"/>
  <c r="R39" i="19"/>
  <c r="R106" i="19"/>
  <c r="R495" i="19"/>
  <c r="R463" i="19"/>
  <c r="R836" i="19"/>
  <c r="R117" i="19"/>
  <c r="R569" i="19"/>
  <c r="R259" i="19"/>
  <c r="R197" i="19"/>
  <c r="R198" i="19"/>
  <c r="R880" i="19"/>
  <c r="R388" i="19"/>
  <c r="R838" i="19"/>
  <c r="R508" i="19"/>
  <c r="R813" i="19"/>
  <c r="R192" i="19"/>
  <c r="R372" i="19"/>
  <c r="R476" i="19"/>
  <c r="R331" i="19"/>
  <c r="R58" i="19"/>
  <c r="R562" i="19"/>
  <c r="R440" i="19"/>
  <c r="R614" i="19"/>
  <c r="R677" i="19"/>
  <c r="R802" i="19"/>
  <c r="R290" i="19"/>
  <c r="R379" i="19"/>
  <c r="R283" i="19"/>
  <c r="R737" i="19"/>
  <c r="R997" i="19"/>
  <c r="R115" i="19"/>
  <c r="R255" i="19"/>
  <c r="R699" i="19"/>
  <c r="R446" i="19"/>
  <c r="R447" i="19"/>
  <c r="R83" i="19"/>
  <c r="R799" i="19"/>
  <c r="R811" i="19"/>
  <c r="R43" i="19"/>
  <c r="R990" i="19"/>
  <c r="R519" i="19"/>
  <c r="R912" i="19"/>
  <c r="R994" i="19"/>
  <c r="R575" i="19"/>
  <c r="R891" i="19"/>
  <c r="R434" i="19"/>
  <c r="R214" i="19"/>
  <c r="R516" i="19"/>
  <c r="R928" i="19"/>
  <c r="R401" i="19"/>
  <c r="R67" i="19"/>
  <c r="R68" i="19"/>
  <c r="R407" i="19"/>
  <c r="R628" i="19"/>
  <c r="R629" i="19"/>
  <c r="R161" i="19"/>
  <c r="R981" i="19"/>
  <c r="R334" i="19"/>
  <c r="R989" i="19"/>
  <c r="R427" i="19"/>
  <c r="R907" i="19"/>
  <c r="R176" i="19"/>
  <c r="R739" i="19"/>
  <c r="R200" i="19"/>
  <c r="R871" i="19"/>
  <c r="R769" i="19"/>
  <c r="R82" i="19"/>
  <c r="R363" i="19"/>
  <c r="R695" i="19"/>
  <c r="R302" i="19"/>
  <c r="R15" i="19"/>
  <c r="R16" i="19"/>
  <c r="R17" i="19"/>
  <c r="R167" i="19"/>
  <c r="R952" i="19"/>
  <c r="R419" i="19"/>
  <c r="R670" i="19"/>
  <c r="R174" i="19"/>
  <c r="R470" i="19"/>
  <c r="R31" i="19"/>
  <c r="R391" i="19"/>
  <c r="R227" i="19"/>
  <c r="R228" i="19"/>
  <c r="R229" i="19"/>
  <c r="R367" i="19"/>
  <c r="R523" i="19"/>
  <c r="R665" i="19"/>
  <c r="R9" i="19"/>
  <c r="R856" i="19"/>
  <c r="R549" i="19"/>
  <c r="R738" i="19"/>
  <c r="R861" i="19"/>
  <c r="R49" i="19"/>
  <c r="R829" i="19"/>
  <c r="R63" i="19"/>
  <c r="R901" i="19"/>
  <c r="R376" i="19"/>
  <c r="R902" i="19"/>
  <c r="R44" i="19"/>
  <c r="R123" i="19"/>
  <c r="R310" i="19"/>
  <c r="R777" i="19"/>
  <c r="R186" i="19"/>
  <c r="R275" i="19"/>
  <c r="R276" i="19"/>
  <c r="R387" i="19"/>
  <c r="R782" i="19"/>
  <c r="R21" i="19"/>
  <c r="R289" i="19"/>
  <c r="R75" i="19"/>
  <c r="R748" i="19"/>
  <c r="R400" i="19"/>
  <c r="R438" i="19"/>
  <c r="R672" i="19"/>
  <c r="R13" i="19"/>
  <c r="R217" i="19"/>
  <c r="R649" i="19"/>
  <c r="R688" i="19"/>
  <c r="R119" i="19"/>
  <c r="R793" i="19"/>
  <c r="R412" i="19"/>
  <c r="R682" i="19"/>
  <c r="R933" i="19"/>
  <c r="R215" i="19"/>
  <c r="R591" i="19"/>
  <c r="R307" i="19"/>
  <c r="R886" i="19"/>
  <c r="R660" i="19"/>
  <c r="R712" i="19"/>
  <c r="R271" i="19"/>
  <c r="R687" i="19"/>
  <c r="R203" i="19"/>
  <c r="R270" i="19"/>
  <c r="R558" i="19"/>
  <c r="R586" i="19"/>
  <c r="R461" i="19"/>
  <c r="R696" i="19"/>
  <c r="R205" i="19"/>
  <c r="R100" i="19"/>
  <c r="R251" i="19"/>
  <c r="R179" i="19"/>
  <c r="R169" i="19"/>
  <c r="R479" i="19"/>
  <c r="R126" i="19"/>
  <c r="R306" i="19"/>
  <c r="R675" i="19"/>
  <c r="R817" i="19"/>
  <c r="R894" i="19"/>
  <c r="R210" i="19"/>
  <c r="R462" i="19"/>
  <c r="R533" i="19"/>
  <c r="R395" i="19"/>
  <c r="R452" i="19"/>
  <c r="R570" i="19"/>
  <c r="R96" i="19"/>
  <c r="R932" i="19"/>
  <c r="R705" i="19"/>
  <c r="R937" i="19"/>
  <c r="R472" i="19"/>
  <c r="R473" i="19"/>
  <c r="R641" i="19"/>
  <c r="R359" i="19"/>
  <c r="R398" i="19"/>
  <c r="R781" i="19"/>
  <c r="R141" i="19"/>
  <c r="R528" i="19"/>
  <c r="R958" i="19"/>
  <c r="R571" i="19"/>
  <c r="R371" i="19"/>
  <c r="R241" i="19"/>
  <c r="R572" i="19"/>
  <c r="R588" i="19"/>
  <c r="R921" i="19"/>
  <c r="R406" i="19"/>
  <c r="R272" i="19"/>
  <c r="R193" i="19"/>
  <c r="R194" i="19"/>
  <c r="R493" i="19"/>
  <c r="R598" i="19"/>
  <c r="R311" i="19"/>
  <c r="R707" i="19"/>
  <c r="R140" i="19"/>
  <c r="R863" i="19"/>
  <c r="R885" i="19"/>
  <c r="R929" i="19"/>
  <c r="R764" i="19"/>
  <c r="R845" i="19"/>
  <c r="R410" i="19"/>
  <c r="R582" i="19"/>
  <c r="R177" i="19"/>
  <c r="R795" i="19"/>
  <c r="R318" i="19"/>
  <c r="R776" i="19"/>
  <c r="R612" i="19"/>
  <c r="R816" i="19"/>
  <c r="R852" i="19"/>
  <c r="R930" i="19"/>
  <c r="R449" i="19"/>
  <c r="R471" i="19"/>
  <c r="R747" i="19"/>
  <c r="R635" i="19"/>
  <c r="R122" i="19"/>
  <c r="R947" i="19"/>
  <c r="R963" i="19"/>
  <c r="R518" i="19"/>
  <c r="R877" i="19"/>
  <c r="R454" i="19"/>
  <c r="R943" i="19"/>
  <c r="R121" i="19"/>
  <c r="R975" i="19"/>
  <c r="R56" i="19"/>
  <c r="R505" i="19"/>
  <c r="R506" i="19"/>
  <c r="R492" i="19"/>
  <c r="R758" i="19"/>
  <c r="R978" i="19"/>
  <c r="R213" i="19"/>
  <c r="R583" i="19"/>
  <c r="R853" i="19"/>
  <c r="R130" i="19"/>
  <c r="R491" i="19"/>
  <c r="R322" i="19"/>
  <c r="R511" i="19"/>
  <c r="R70" i="19"/>
  <c r="R581" i="19"/>
  <c r="R974" i="19"/>
  <c r="R357" i="19"/>
  <c r="R540" i="19"/>
  <c r="R561" i="19"/>
  <c r="R579" i="19"/>
  <c r="R19" i="19"/>
  <c r="R76" i="19"/>
  <c r="R328" i="19"/>
  <c r="R563" i="19"/>
  <c r="R783" i="19"/>
  <c r="R798" i="19"/>
  <c r="R898" i="19"/>
  <c r="R27" i="19"/>
  <c r="R150" i="19"/>
  <c r="R767" i="19"/>
  <c r="R182" i="19"/>
  <c r="R225" i="19"/>
  <c r="R354" i="19"/>
  <c r="R679" i="19"/>
  <c r="R298" i="19"/>
  <c r="R698" i="19"/>
  <c r="R107" i="19"/>
  <c r="R803" i="19"/>
  <c r="R927" i="19"/>
  <c r="R450" i="19"/>
  <c r="R689" i="19"/>
  <c r="R267" i="19"/>
  <c r="R180" i="19"/>
  <c r="R534" i="19"/>
  <c r="R349" i="19"/>
  <c r="R350" i="19"/>
  <c r="R351" i="19"/>
  <c r="R352" i="19"/>
  <c r="R967" i="19"/>
  <c r="R154" i="19"/>
  <c r="R983" i="19"/>
  <c r="R71" i="19"/>
  <c r="R645" i="19"/>
  <c r="R356" i="19"/>
  <c r="R714" i="19"/>
  <c r="R585" i="19"/>
  <c r="R286" i="19"/>
  <c r="R636" i="19"/>
  <c r="R656" i="19"/>
  <c r="R946" i="19"/>
  <c r="R554" i="19"/>
  <c r="R631" i="19"/>
  <c r="R80" i="19"/>
  <c r="R673" i="19"/>
  <c r="R316" i="19"/>
  <c r="R527" i="19"/>
  <c r="R883" i="19"/>
  <c r="R238" i="19"/>
  <c r="R171" i="19"/>
  <c r="R825" i="19"/>
  <c r="R428" i="19"/>
  <c r="R667" i="19"/>
  <c r="R189" i="19"/>
  <c r="R360" i="19"/>
  <c r="R530" i="19"/>
  <c r="R970" i="19"/>
  <c r="R643" i="19"/>
  <c r="R644" i="19"/>
  <c r="R784" i="19"/>
  <c r="R84" i="19"/>
  <c r="R607" i="19"/>
  <c r="R752" i="19"/>
  <c r="R939" i="19"/>
  <c r="R940" i="19"/>
  <c r="R139" i="19"/>
  <c r="R202" i="19"/>
  <c r="R285" i="19"/>
  <c r="R801" i="19"/>
  <c r="R908" i="19"/>
  <c r="R517" i="19"/>
  <c r="R648" i="19"/>
  <c r="R715" i="19"/>
  <c r="R239" i="19"/>
  <c r="R60" i="19"/>
  <c r="R233" i="19"/>
  <c r="R262" i="19"/>
  <c r="R828" i="19"/>
  <c r="R314" i="19"/>
  <c r="R610" i="19"/>
  <c r="R136" i="19"/>
  <c r="R502" i="19"/>
  <c r="R374" i="19"/>
  <c r="R664" i="19"/>
  <c r="R826" i="19"/>
  <c r="R936" i="19"/>
  <c r="R301" i="19"/>
  <c r="R935" i="19"/>
  <c r="R90" i="19"/>
  <c r="R344" i="19"/>
  <c r="R832" i="19"/>
  <c r="R36" i="19"/>
  <c r="R257" i="19"/>
  <c r="R269" i="19"/>
  <c r="R537" i="19"/>
  <c r="R925" i="19"/>
  <c r="R184" i="19"/>
  <c r="R185" i="19"/>
  <c r="R903" i="19"/>
  <c r="R278" i="19"/>
  <c r="R605" i="19"/>
  <c r="R560" i="19"/>
  <c r="R481" i="19"/>
  <c r="R104" i="19"/>
  <c r="R469" i="19"/>
  <c r="N41" i="19"/>
  <c r="O41" i="19" s="1"/>
  <c r="N488" i="19"/>
  <c r="O488" i="19" s="1"/>
  <c r="N197" i="19"/>
  <c r="O197" i="19" s="1"/>
  <c r="N198" i="19"/>
  <c r="O198" i="19" s="1"/>
  <c r="N115" i="19"/>
  <c r="O115" i="19" s="1"/>
  <c r="N863" i="19"/>
  <c r="O863" i="19" s="1"/>
  <c r="N673" i="19"/>
  <c r="O673" i="19" s="1"/>
  <c r="N426" i="19"/>
  <c r="O426" i="19" s="1"/>
  <c r="N824" i="19"/>
  <c r="O824" i="19" s="1"/>
  <c r="N361" i="19"/>
  <c r="O361" i="19" s="1"/>
  <c r="N309" i="19"/>
  <c r="O309" i="19" s="1"/>
  <c r="N828" i="19"/>
  <c r="O828" i="19" s="1"/>
  <c r="N911" i="19"/>
  <c r="O911" i="19" s="1"/>
  <c r="N767" i="19"/>
  <c r="O767" i="19" s="1"/>
  <c r="N607" i="19"/>
  <c r="O607" i="19" s="1"/>
  <c r="N685" i="19"/>
  <c r="O685" i="19" s="1"/>
  <c r="N815" i="19"/>
  <c r="O815" i="19" s="1"/>
  <c r="N762" i="19"/>
  <c r="O762" i="19" s="1"/>
  <c r="N85" i="19"/>
  <c r="O85" i="19" s="1"/>
  <c r="N86" i="19"/>
  <c r="O86" i="19" s="1"/>
  <c r="N89" i="19"/>
  <c r="O89" i="19" s="1"/>
  <c r="N59" i="19"/>
  <c r="O59" i="19" s="1"/>
  <c r="N471" i="19"/>
  <c r="O471" i="19" s="1"/>
  <c r="N200" i="19"/>
  <c r="O200" i="19" s="1"/>
  <c r="N243" i="19"/>
  <c r="O243" i="19" s="1"/>
  <c r="N851" i="19"/>
  <c r="O851" i="19" s="1"/>
  <c r="N959" i="19"/>
  <c r="O959" i="19" s="1"/>
  <c r="N925" i="19"/>
  <c r="O925" i="19" s="1"/>
  <c r="N700" i="19"/>
  <c r="O700" i="19" s="1"/>
  <c r="N15" i="19"/>
  <c r="O15" i="19" s="1"/>
  <c r="N16" i="19"/>
  <c r="O16" i="19" s="1"/>
  <c r="N17" i="19"/>
  <c r="O17" i="19" s="1"/>
  <c r="N388" i="19"/>
  <c r="O388" i="19" s="1"/>
  <c r="N942" i="19"/>
  <c r="O942" i="19" s="1"/>
  <c r="N345" i="19"/>
  <c r="O345" i="19" s="1"/>
  <c r="N1001" i="19"/>
  <c r="O1001" i="19" s="1"/>
  <c r="N881" i="19"/>
  <c r="O881" i="19" s="1"/>
  <c r="N304" i="19"/>
  <c r="O304" i="19" s="1"/>
  <c r="N461" i="19"/>
  <c r="O461" i="19" s="1"/>
  <c r="N514" i="19"/>
  <c r="O514" i="19" s="1"/>
  <c r="N610" i="19"/>
  <c r="O610" i="19" s="1"/>
  <c r="N4" i="19"/>
  <c r="O4" i="19" s="1"/>
  <c r="N665" i="19"/>
  <c r="O665" i="19" s="1"/>
  <c r="N751" i="19"/>
  <c r="O751" i="19" s="1"/>
  <c r="N776" i="19"/>
  <c r="O776" i="19" s="1"/>
  <c r="N296" i="19"/>
  <c r="O296" i="19" s="1"/>
  <c r="N74" i="19"/>
  <c r="O74" i="19" s="1"/>
  <c r="N800" i="19"/>
  <c r="O800" i="19" s="1"/>
  <c r="N481" i="19"/>
  <c r="O481" i="19" s="1"/>
  <c r="N469" i="19"/>
  <c r="O469" i="19" s="1"/>
  <c r="N545" i="19"/>
  <c r="O545" i="19" s="1"/>
  <c r="N436" i="19"/>
  <c r="O436" i="19" s="1"/>
  <c r="N437" i="19"/>
  <c r="O437" i="19" s="1"/>
  <c r="N73" i="19"/>
  <c r="O73" i="19" s="1"/>
  <c r="N842" i="19"/>
  <c r="O842" i="19" s="1"/>
  <c r="N922" i="19"/>
  <c r="O922" i="19" s="1"/>
  <c r="N832" i="19"/>
  <c r="O832" i="19" s="1"/>
  <c r="N975" i="19"/>
  <c r="O975" i="19" s="1"/>
  <c r="N894" i="19"/>
  <c r="O894" i="19" s="1"/>
  <c r="N236" i="19"/>
  <c r="O236" i="19" s="1"/>
  <c r="N763" i="19"/>
  <c r="O763" i="19" s="1"/>
  <c r="N744" i="19"/>
  <c r="O744" i="19" s="1"/>
  <c r="N61" i="19"/>
  <c r="O61" i="19" s="1"/>
  <c r="N353" i="19"/>
  <c r="O353" i="19" s="1"/>
  <c r="N56" i="19"/>
  <c r="O56" i="19" s="1"/>
  <c r="N107" i="19"/>
  <c r="O107" i="19" s="1"/>
  <c r="N712" i="19"/>
  <c r="O712" i="19" s="1"/>
  <c r="N441" i="19"/>
  <c r="O441" i="19" s="1"/>
  <c r="N392" i="19"/>
  <c r="O392" i="19" s="1"/>
  <c r="N857" i="19"/>
  <c r="O857" i="19" s="1"/>
  <c r="N872" i="19"/>
  <c r="O872" i="19" s="1"/>
  <c r="N88" i="19"/>
  <c r="O88" i="19" s="1"/>
  <c r="N33" i="19"/>
  <c r="O33" i="19" s="1"/>
  <c r="N508" i="19"/>
  <c r="O508" i="19" s="1"/>
  <c r="N562" i="19"/>
  <c r="O562" i="19" s="1"/>
  <c r="N668" i="19"/>
  <c r="O668" i="19" s="1"/>
  <c r="N221" i="19"/>
  <c r="O221" i="19" s="1"/>
  <c r="N613" i="19"/>
  <c r="O613" i="19" s="1"/>
  <c r="N213" i="19"/>
  <c r="O213" i="19" s="1"/>
  <c r="N48" i="19"/>
  <c r="O48" i="19" s="1"/>
  <c r="N868" i="19"/>
  <c r="O868" i="19" s="1"/>
  <c r="N151" i="19"/>
  <c r="O151" i="19" s="1"/>
  <c r="N431" i="19"/>
  <c r="O431" i="19" s="1"/>
  <c r="N993" i="19"/>
  <c r="O993" i="19" s="1"/>
  <c r="N503" i="19"/>
  <c r="O503" i="19" s="1"/>
  <c r="N504" i="19"/>
  <c r="O504" i="19" s="1"/>
  <c r="N105" i="19"/>
  <c r="O105" i="19" s="1"/>
  <c r="N320" i="19"/>
  <c r="O320" i="19" s="1"/>
  <c r="N932" i="19"/>
  <c r="O932" i="19" s="1"/>
  <c r="N615" i="19"/>
  <c r="O615" i="19" s="1"/>
  <c r="N11" i="19"/>
  <c r="O11" i="19" s="1"/>
  <c r="N432" i="19"/>
  <c r="O432" i="19" s="1"/>
  <c r="N324" i="19"/>
  <c r="O324" i="19" s="1"/>
  <c r="N834" i="19"/>
  <c r="O834" i="19" s="1"/>
  <c r="N746" i="19"/>
  <c r="O746" i="19" s="1"/>
  <c r="N953" i="19"/>
  <c r="O953" i="19" s="1"/>
  <c r="N465" i="19"/>
  <c r="O465" i="19" s="1"/>
  <c r="N838" i="19"/>
  <c r="O838" i="19" s="1"/>
  <c r="N81" i="19"/>
  <c r="O81" i="19" s="1"/>
  <c r="N833" i="19"/>
  <c r="O833" i="19" s="1"/>
  <c r="N731" i="19"/>
  <c r="O731" i="19" s="1"/>
  <c r="N310" i="19"/>
  <c r="O310" i="19" s="1"/>
  <c r="N136" i="19"/>
  <c r="O136" i="19" s="1"/>
  <c r="N329" i="19"/>
  <c r="O329" i="19" s="1"/>
  <c r="N785" i="19"/>
  <c r="O785" i="19" s="1"/>
  <c r="N600" i="19"/>
  <c r="O600" i="19" s="1"/>
  <c r="N772" i="19"/>
  <c r="O772" i="19" s="1"/>
  <c r="N478" i="19"/>
  <c r="O478" i="19" s="1"/>
  <c r="N918" i="19"/>
  <c r="O918" i="19" s="1"/>
  <c r="N648" i="19"/>
  <c r="O648" i="19" s="1"/>
  <c r="N120" i="19"/>
  <c r="O120" i="19" s="1"/>
  <c r="N861" i="19"/>
  <c r="O861" i="19" s="1"/>
  <c r="N676" i="19"/>
  <c r="O676" i="19" s="1"/>
  <c r="N163" i="19"/>
  <c r="O163" i="19" s="1"/>
  <c r="N467" i="19"/>
  <c r="O467" i="19" s="1"/>
  <c r="N393" i="19"/>
  <c r="O393" i="19" s="1"/>
  <c r="N150" i="19"/>
  <c r="O150" i="19" s="1"/>
  <c r="N701" i="19"/>
  <c r="O701" i="19" s="1"/>
  <c r="N227" i="19"/>
  <c r="O227" i="19" s="1"/>
  <c r="N228" i="19"/>
  <c r="O228" i="19" s="1"/>
  <c r="N229" i="19"/>
  <c r="O229" i="19" s="1"/>
  <c r="N632" i="19"/>
  <c r="O632" i="19" s="1"/>
  <c r="N285" i="19"/>
  <c r="O285" i="19" s="1"/>
  <c r="N893" i="19"/>
  <c r="O893" i="19" s="1"/>
  <c r="N899" i="19"/>
  <c r="O899" i="19" s="1"/>
  <c r="N456" i="19"/>
  <c r="O456" i="19" s="1"/>
  <c r="N793" i="19"/>
  <c r="O793" i="19" s="1"/>
  <c r="N928" i="19"/>
  <c r="O928" i="19" s="1"/>
  <c r="N342" i="19"/>
  <c r="O342" i="19" s="1"/>
  <c r="N121" i="19"/>
  <c r="O121" i="19" s="1"/>
  <c r="N132" i="19"/>
  <c r="O132" i="19" s="1"/>
  <c r="N759" i="19"/>
  <c r="O759" i="19" s="1"/>
  <c r="N761" i="19"/>
  <c r="O761" i="19" s="1"/>
  <c r="N344" i="19"/>
  <c r="O344" i="19" s="1"/>
  <c r="N125" i="19"/>
  <c r="O125" i="19" s="1"/>
  <c r="N614" i="19"/>
  <c r="O614" i="19" s="1"/>
  <c r="N322" i="19"/>
  <c r="O322" i="19" s="1"/>
  <c r="N5" i="19"/>
  <c r="O5" i="19" s="1"/>
  <c r="N821" i="19"/>
  <c r="O821" i="19" s="1"/>
  <c r="N946" i="19"/>
  <c r="O946" i="19" s="1"/>
  <c r="N135" i="19"/>
  <c r="O135" i="19" s="1"/>
  <c r="N534" i="19"/>
  <c r="O534" i="19" s="1"/>
  <c r="N260" i="19"/>
  <c r="O260" i="19" s="1"/>
  <c r="N982" i="19"/>
  <c r="O982" i="19" s="1"/>
  <c r="N760" i="19"/>
  <c r="O760" i="19" s="1"/>
  <c r="N594" i="19"/>
  <c r="O594" i="19" s="1"/>
  <c r="N595" i="19"/>
  <c r="O595" i="19" s="1"/>
  <c r="N398" i="19"/>
  <c r="O398" i="19" s="1"/>
  <c r="N396" i="19"/>
  <c r="O396" i="19" s="1"/>
  <c r="N484" i="19"/>
  <c r="O484" i="19" s="1"/>
  <c r="N788" i="19"/>
  <c r="O788" i="19" s="1"/>
  <c r="N119" i="19"/>
  <c r="O119" i="19" s="1"/>
  <c r="N455" i="19"/>
  <c r="O455" i="19" s="1"/>
  <c r="N523" i="19"/>
  <c r="O523" i="19" s="1"/>
  <c r="N421" i="19"/>
  <c r="O421" i="19" s="1"/>
  <c r="N362" i="19"/>
  <c r="O362" i="19" s="1"/>
  <c r="N771" i="19"/>
  <c r="O771" i="19" s="1"/>
  <c r="N848" i="19"/>
  <c r="O848" i="19" s="1"/>
  <c r="N28" i="19"/>
  <c r="O28" i="19" s="1"/>
  <c r="N542" i="19"/>
  <c r="O542" i="19" s="1"/>
  <c r="N596" i="19"/>
  <c r="O596" i="19" s="1"/>
  <c r="N307" i="19"/>
  <c r="O307" i="19" s="1"/>
  <c r="N397" i="19"/>
  <c r="O397" i="19" s="1"/>
  <c r="N204" i="19"/>
  <c r="O204" i="19" s="1"/>
  <c r="N681" i="19"/>
  <c r="O681" i="19" s="1"/>
  <c r="N869" i="19"/>
  <c r="O869" i="19" s="1"/>
  <c r="N903" i="19"/>
  <c r="O903" i="19" s="1"/>
  <c r="N895" i="19"/>
  <c r="O895" i="19" s="1"/>
  <c r="N357" i="19"/>
  <c r="O357" i="19" s="1"/>
  <c r="N856" i="19"/>
  <c r="O856" i="19" s="1"/>
  <c r="N686" i="19"/>
  <c r="O686" i="19" s="1"/>
  <c r="N96" i="19"/>
  <c r="O96" i="19" s="1"/>
  <c r="N752" i="19"/>
  <c r="O752" i="19" s="1"/>
  <c r="N326" i="19"/>
  <c r="O326" i="19" s="1"/>
  <c r="N339" i="19"/>
  <c r="O339" i="19" s="1"/>
  <c r="N750" i="19"/>
  <c r="O750" i="19" s="1"/>
  <c r="N330" i="19"/>
  <c r="O330" i="19" s="1"/>
  <c r="N547" i="19"/>
  <c r="O547" i="19" s="1"/>
  <c r="N926" i="19"/>
  <c r="O926" i="19" s="1"/>
  <c r="N6" i="19"/>
  <c r="O6" i="19" s="1"/>
  <c r="N7" i="19"/>
  <c r="O7" i="19" s="1"/>
  <c r="N64" i="19"/>
  <c r="O64" i="19" s="1"/>
  <c r="N933" i="19"/>
  <c r="O933" i="19" s="1"/>
  <c r="N476" i="19"/>
  <c r="O476" i="19" s="1"/>
  <c r="N57" i="19"/>
  <c r="O57" i="19" s="1"/>
  <c r="N694" i="19"/>
  <c r="O694" i="19" s="1"/>
  <c r="N583" i="19"/>
  <c r="O583" i="19" s="1"/>
  <c r="N80" i="19"/>
  <c r="O80" i="19" s="1"/>
  <c r="N152" i="19"/>
  <c r="O152" i="19" s="1"/>
  <c r="N627" i="19"/>
  <c r="O627" i="19" s="1"/>
  <c r="N35" i="19"/>
  <c r="O35" i="19" s="1"/>
  <c r="N779" i="19"/>
  <c r="O779" i="19" s="1"/>
  <c r="N561" i="19"/>
  <c r="O561" i="19" s="1"/>
  <c r="N331" i="19"/>
  <c r="O331" i="19" s="1"/>
  <c r="N655" i="19"/>
  <c r="O655" i="19" s="1"/>
  <c r="N718" i="19"/>
  <c r="O718" i="19" s="1"/>
  <c r="N719" i="19"/>
  <c r="O719" i="19" s="1"/>
  <c r="N720" i="19"/>
  <c r="O720" i="19" s="1"/>
  <c r="N721" i="19"/>
  <c r="O721" i="19" s="1"/>
  <c r="N722" i="19"/>
  <c r="O722" i="19" s="1"/>
  <c r="N18" i="19"/>
  <c r="O18" i="19" s="1"/>
  <c r="N902" i="19"/>
  <c r="O902" i="19" s="1"/>
  <c r="N947" i="19"/>
  <c r="O947" i="19" s="1"/>
  <c r="N847" i="19"/>
  <c r="O847" i="19" s="1"/>
  <c r="N552" i="19"/>
  <c r="O552" i="19" s="1"/>
  <c r="N725" i="19"/>
  <c r="O725" i="19" s="1"/>
  <c r="N755" i="19"/>
  <c r="O755" i="19" s="1"/>
  <c r="N225" i="19"/>
  <c r="O225" i="19" s="1"/>
  <c r="N377" i="19"/>
  <c r="O377" i="19" s="1"/>
  <c r="N66" i="19"/>
  <c r="O66" i="19" s="1"/>
  <c r="N684" i="19"/>
  <c r="O684" i="19" s="1"/>
  <c r="N246" i="19"/>
  <c r="O246" i="19" s="1"/>
  <c r="N328" i="19"/>
  <c r="O328" i="19" s="1"/>
  <c r="N702" i="19"/>
  <c r="O702" i="19" s="1"/>
  <c r="N464" i="19"/>
  <c r="O464" i="19" s="1"/>
  <c r="N31" i="19"/>
  <c r="O31" i="19" s="1"/>
  <c r="N408" i="19"/>
  <c r="O408" i="19" s="1"/>
  <c r="N810" i="19"/>
  <c r="O810" i="19" s="1"/>
  <c r="N184" i="19"/>
  <c r="O184" i="19" s="1"/>
  <c r="N185" i="19"/>
  <c r="O185" i="19" s="1"/>
  <c r="N591" i="19"/>
  <c r="O591" i="19" s="1"/>
  <c r="N965" i="19"/>
  <c r="O965" i="19" s="1"/>
  <c r="N129" i="19"/>
  <c r="O129" i="19" s="1"/>
  <c r="N555" i="19"/>
  <c r="O555" i="19" s="1"/>
  <c r="N323" i="19"/>
  <c r="O323" i="19" s="1"/>
  <c r="N51" i="19"/>
  <c r="O51" i="19" s="1"/>
  <c r="N740" i="19"/>
  <c r="O740" i="19" s="1"/>
  <c r="N106" i="19"/>
  <c r="O106" i="19" s="1"/>
  <c r="N574" i="19"/>
  <c r="O574" i="19" s="1"/>
  <c r="N782" i="19"/>
  <c r="O782" i="19" s="1"/>
  <c r="N884" i="19"/>
  <c r="O884" i="19" s="1"/>
  <c r="N224" i="19"/>
  <c r="O224" i="19" s="1"/>
  <c r="N116" i="19"/>
  <c r="O116" i="19" s="1"/>
  <c r="N930" i="19"/>
  <c r="O930" i="19" s="1"/>
  <c r="N843" i="19"/>
  <c r="O843" i="19" s="1"/>
  <c r="N160" i="19"/>
  <c r="O160" i="19" s="1"/>
  <c r="N241" i="19"/>
  <c r="O241" i="19" s="1"/>
  <c r="N380" i="19"/>
  <c r="O380" i="19" s="1"/>
  <c r="N277" i="19"/>
  <c r="O277" i="19" s="1"/>
  <c r="N216" i="19"/>
  <c r="O216" i="19" s="1"/>
  <c r="N196" i="19"/>
  <c r="O196" i="19" s="1"/>
  <c r="N873" i="19"/>
  <c r="O873" i="19" s="1"/>
  <c r="N904" i="19"/>
  <c r="O904" i="19" s="1"/>
  <c r="N316" i="19"/>
  <c r="O316" i="19" s="1"/>
  <c r="N599" i="19"/>
  <c r="O599" i="19" s="1"/>
  <c r="N395" i="19"/>
  <c r="O395" i="19" s="1"/>
  <c r="N264" i="19"/>
  <c r="O264" i="19" s="1"/>
  <c r="N620" i="19"/>
  <c r="O620" i="19" s="1"/>
  <c r="N995" i="19"/>
  <c r="O995" i="19" s="1"/>
  <c r="N674" i="19"/>
  <c r="O674" i="19" s="1"/>
  <c r="N223" i="19"/>
  <c r="O223" i="19" s="1"/>
  <c r="N278" i="19"/>
  <c r="O278" i="19" s="1"/>
  <c r="N586" i="19"/>
  <c r="O586" i="19" s="1"/>
  <c r="N829" i="19"/>
  <c r="O829" i="19" s="1"/>
  <c r="N214" i="19"/>
  <c r="O214" i="19" s="1"/>
  <c r="N996" i="19"/>
  <c r="O996" i="19" s="1"/>
  <c r="N267" i="19"/>
  <c r="O267" i="19" s="1"/>
  <c r="N215" i="19"/>
  <c r="O215" i="19" s="1"/>
  <c r="N474" i="19"/>
  <c r="O474" i="19" s="1"/>
  <c r="N905" i="19"/>
  <c r="O905" i="19" s="1"/>
  <c r="N693" i="19"/>
  <c r="O693" i="19" s="1"/>
  <c r="N501" i="19"/>
  <c r="O501" i="19" s="1"/>
  <c r="N640" i="19"/>
  <c r="O640" i="19" s="1"/>
  <c r="N71" i="19"/>
  <c r="O71" i="19" s="1"/>
  <c r="N957" i="19"/>
  <c r="O957" i="19" s="1"/>
  <c r="N704" i="19"/>
  <c r="O704" i="19" s="1"/>
  <c r="N878" i="19"/>
  <c r="O878" i="19" s="1"/>
  <c r="N65" i="19"/>
  <c r="O65" i="19" s="1"/>
  <c r="N692" i="19"/>
  <c r="O692" i="19" s="1"/>
  <c r="N93" i="19"/>
  <c r="O93" i="19" s="1"/>
  <c r="N499" i="19"/>
  <c r="O499" i="19" s="1"/>
  <c r="N994" i="19"/>
  <c r="O994" i="19" s="1"/>
  <c r="N967" i="19"/>
  <c r="O967" i="19" s="1"/>
  <c r="N297" i="19"/>
  <c r="O297" i="19" s="1"/>
  <c r="N908" i="19"/>
  <c r="O908" i="19" s="1"/>
  <c r="N300" i="19"/>
  <c r="O300" i="19" s="1"/>
  <c r="N424" i="19"/>
  <c r="O424" i="19" s="1"/>
  <c r="N332" i="19"/>
  <c r="O332" i="19" s="1"/>
  <c r="N766" i="19"/>
  <c r="O766" i="19" s="1"/>
  <c r="N199" i="19"/>
  <c r="O199" i="19" s="1"/>
  <c r="N544" i="19"/>
  <c r="O544" i="19" s="1"/>
  <c r="N366" i="19"/>
  <c r="O366" i="19" s="1"/>
  <c r="N50" i="19"/>
  <c r="O50" i="19" s="1"/>
  <c r="N708" i="19"/>
  <c r="O708" i="19" s="1"/>
  <c r="N622" i="19"/>
  <c r="O622" i="19" s="1"/>
  <c r="N153" i="19"/>
  <c r="O153" i="19" s="1"/>
  <c r="N554" i="19"/>
  <c r="O554" i="19" s="1"/>
  <c r="N663" i="19"/>
  <c r="O663" i="19" s="1"/>
  <c r="N657" i="19"/>
  <c r="O657" i="19" s="1"/>
  <c r="N289" i="19"/>
  <c r="O289" i="19" s="1"/>
  <c r="N956" i="19"/>
  <c r="O956" i="19" s="1"/>
  <c r="N479" i="19"/>
  <c r="O479" i="19" s="1"/>
  <c r="N168" i="19"/>
  <c r="O168" i="19" s="1"/>
  <c r="N679" i="19"/>
  <c r="O679" i="19" s="1"/>
  <c r="N245" i="19"/>
  <c r="O245" i="19" s="1"/>
  <c r="N303" i="19"/>
  <c r="O303" i="19" s="1"/>
  <c r="N312" i="19"/>
  <c r="O312" i="19" s="1"/>
  <c r="N550" i="19"/>
  <c r="O550" i="19" s="1"/>
  <c r="N578" i="19"/>
  <c r="O578" i="19" s="1"/>
  <c r="N76" i="19"/>
  <c r="O76" i="19" s="1"/>
  <c r="N934" i="19"/>
  <c r="O934" i="19" s="1"/>
  <c r="N774" i="19"/>
  <c r="O774" i="19" s="1"/>
  <c r="N255" i="19"/>
  <c r="O255" i="19" s="1"/>
  <c r="N208" i="19"/>
  <c r="O208" i="19" s="1"/>
  <c r="N110" i="19"/>
  <c r="O110" i="19" s="1"/>
  <c r="N494" i="19"/>
  <c r="O494" i="19" s="1"/>
  <c r="N336" i="19"/>
  <c r="O336" i="19" s="1"/>
  <c r="N239" i="19"/>
  <c r="O239" i="19" s="1"/>
  <c r="N341" i="19"/>
  <c r="O341" i="19" s="1"/>
  <c r="N764" i="19"/>
  <c r="O764" i="19" s="1"/>
  <c r="N207" i="19"/>
  <c r="O207" i="19" s="1"/>
  <c r="N717" i="19"/>
  <c r="O717" i="19" s="1"/>
  <c r="N21" i="19"/>
  <c r="O21" i="19" s="1"/>
  <c r="N891" i="19"/>
  <c r="O891" i="19" s="1"/>
  <c r="N669" i="19"/>
  <c r="O669" i="19" s="1"/>
  <c r="N711" i="19"/>
  <c r="O711" i="19" s="1"/>
  <c r="N855" i="19"/>
  <c r="O855" i="19" s="1"/>
  <c r="N921" i="19"/>
  <c r="O921" i="19" s="1"/>
  <c r="N382" i="19"/>
  <c r="O382" i="19" s="1"/>
  <c r="N383" i="19"/>
  <c r="O383" i="19" s="1"/>
  <c r="N385" i="19"/>
  <c r="O385" i="19" s="1"/>
  <c r="N888" i="19"/>
  <c r="O888" i="19" s="1"/>
  <c r="N295" i="19"/>
  <c r="O295" i="19" s="1"/>
  <c r="N282" i="19"/>
  <c r="O282" i="19" s="1"/>
  <c r="N935" i="19"/>
  <c r="O935" i="19" s="1"/>
  <c r="N369" i="19"/>
  <c r="O369" i="19" s="1"/>
  <c r="N97" i="19"/>
  <c r="O97" i="19" s="1"/>
  <c r="N459" i="19"/>
  <c r="O459" i="19" s="1"/>
  <c r="N605" i="19"/>
  <c r="O605" i="19" s="1"/>
  <c r="N854" i="19"/>
  <c r="O854" i="19" s="1"/>
  <c r="N231" i="19"/>
  <c r="O231" i="19" s="1"/>
  <c r="N786" i="19"/>
  <c r="O786" i="19" s="1"/>
  <c r="N960" i="19"/>
  <c r="O960" i="19" s="1"/>
  <c r="N321" i="19"/>
  <c r="O321" i="19" s="1"/>
  <c r="N211" i="19"/>
  <c r="O211" i="19" s="1"/>
  <c r="N912" i="19"/>
  <c r="O912" i="19" s="1"/>
  <c r="N367" i="19"/>
  <c r="O367" i="19" s="1"/>
  <c r="N987" i="19"/>
  <c r="O987" i="19" s="1"/>
  <c r="N333" i="19"/>
  <c r="O333" i="19" s="1"/>
  <c r="N971" i="19"/>
  <c r="O971" i="19" s="1"/>
  <c r="N616" i="19"/>
  <c r="O616" i="19" s="1"/>
  <c r="N617" i="19"/>
  <c r="O617" i="19" s="1"/>
  <c r="N741" i="19"/>
  <c r="O741" i="19" s="1"/>
  <c r="N169" i="19"/>
  <c r="O169" i="19" s="1"/>
  <c r="N47" i="19"/>
  <c r="O47" i="19" s="1"/>
  <c r="N804" i="19"/>
  <c r="O804" i="19" s="1"/>
  <c r="N598" i="19"/>
  <c r="O598" i="19" s="1"/>
  <c r="N867" i="19"/>
  <c r="O867" i="19" s="1"/>
  <c r="N262" i="19"/>
  <c r="O262" i="19" s="1"/>
  <c r="N531" i="19"/>
  <c r="O531" i="19" s="1"/>
  <c r="N338" i="19"/>
  <c r="O338" i="19" s="1"/>
  <c r="N370" i="19"/>
  <c r="O370" i="19" s="1"/>
  <c r="N634" i="19"/>
  <c r="O634" i="19" s="1"/>
  <c r="N524" i="19"/>
  <c r="O524" i="19" s="1"/>
  <c r="N647" i="19"/>
  <c r="O647" i="19" s="1"/>
  <c r="N978" i="19"/>
  <c r="O978" i="19" s="1"/>
  <c r="N334" i="19"/>
  <c r="O334" i="19" s="1"/>
  <c r="N931" i="19"/>
  <c r="O931" i="19" s="1"/>
  <c r="N991" i="19"/>
  <c r="O991" i="19" s="1"/>
  <c r="N732" i="19"/>
  <c r="O732" i="19" s="1"/>
  <c r="N733" i="19"/>
  <c r="O733" i="19" s="1"/>
  <c r="N356" i="19"/>
  <c r="O356" i="19" s="1"/>
  <c r="N538" i="19"/>
  <c r="O538" i="19" s="1"/>
  <c r="N765" i="19"/>
  <c r="O765" i="19" s="1"/>
  <c r="N167" i="19"/>
  <c r="O167" i="19" s="1"/>
  <c r="N846" i="19"/>
  <c r="O846" i="19" s="1"/>
  <c r="N880" i="19"/>
  <c r="O880" i="19" s="1"/>
  <c r="N585" i="19"/>
  <c r="O585" i="19" s="1"/>
  <c r="N2" i="19"/>
  <c r="O2" i="19" s="1"/>
  <c r="N232" i="19"/>
  <c r="O232" i="19" s="1"/>
  <c r="N238" i="19"/>
  <c r="O238" i="19" s="1"/>
  <c r="N914" i="19"/>
  <c r="O914" i="19" s="1"/>
  <c r="N233" i="19"/>
  <c r="O233" i="19" s="1"/>
  <c r="N411" i="19"/>
  <c r="O411" i="19" s="1"/>
  <c r="N969" i="19"/>
  <c r="O969" i="19" s="1"/>
  <c r="N532" i="19"/>
  <c r="O532" i="19" s="1"/>
  <c r="N948" i="19"/>
  <c r="O948" i="19" s="1"/>
  <c r="N495" i="19"/>
  <c r="O495" i="19" s="1"/>
  <c r="N79" i="19"/>
  <c r="O79" i="19" s="1"/>
  <c r="N368" i="19"/>
  <c r="O368" i="19" s="1"/>
  <c r="N783" i="19"/>
  <c r="O783" i="19" s="1"/>
  <c r="N319" i="19"/>
  <c r="O319" i="19" s="1"/>
  <c r="N659" i="19"/>
  <c r="O659" i="19" s="1"/>
  <c r="N730" i="19"/>
  <c r="O730" i="19" s="1"/>
  <c r="N958" i="19"/>
  <c r="O958" i="19" s="1"/>
  <c r="N592" i="19"/>
  <c r="O592" i="19" s="1"/>
  <c r="N871" i="19"/>
  <c r="O871" i="19" s="1"/>
  <c r="N633" i="19"/>
  <c r="O633" i="19" s="1"/>
  <c r="N54" i="19"/>
  <c r="O54" i="19" s="1"/>
  <c r="N889" i="19"/>
  <c r="O889" i="19" s="1"/>
  <c r="N482" i="19"/>
  <c r="O482" i="19" s="1"/>
  <c r="N67" i="19"/>
  <c r="O67" i="19" s="1"/>
  <c r="N68" i="19"/>
  <c r="O68" i="19" s="1"/>
  <c r="N796" i="19"/>
  <c r="O796" i="19" s="1"/>
  <c r="N419" i="19"/>
  <c r="O419" i="19" s="1"/>
  <c r="N988" i="19"/>
  <c r="O988" i="19" s="1"/>
  <c r="N364" i="19"/>
  <c r="O364" i="19" s="1"/>
  <c r="N413" i="19"/>
  <c r="O413" i="19" s="1"/>
  <c r="N468" i="19"/>
  <c r="O468" i="19" s="1"/>
  <c r="N723" i="19"/>
  <c r="O723" i="19" s="1"/>
  <c r="N837" i="19"/>
  <c r="O837" i="19" s="1"/>
  <c r="N386" i="19"/>
  <c r="O386" i="19" s="1"/>
  <c r="N108" i="19"/>
  <c r="O108" i="19" s="1"/>
  <c r="N906" i="19"/>
  <c r="O906" i="19" s="1"/>
  <c r="N593" i="19"/>
  <c r="O593" i="19" s="1"/>
  <c r="N83" i="19"/>
  <c r="O83" i="19" s="1"/>
  <c r="N612" i="19"/>
  <c r="O612" i="19" s="1"/>
  <c r="N354" i="19"/>
  <c r="O354" i="19" s="1"/>
  <c r="N433" i="19"/>
  <c r="O433" i="19" s="1"/>
  <c r="N401" i="19"/>
  <c r="O401" i="19" s="1"/>
  <c r="N438" i="19"/>
  <c r="O438" i="19" s="1"/>
  <c r="N379" i="19"/>
  <c r="O379" i="19" s="1"/>
  <c r="N968" i="19"/>
  <c r="O968" i="19" s="1"/>
  <c r="N565" i="19"/>
  <c r="O565" i="19" s="1"/>
  <c r="N418" i="19"/>
  <c r="O418" i="19" s="1"/>
  <c r="N808" i="19"/>
  <c r="O808" i="19" s="1"/>
  <c r="N769" i="19"/>
  <c r="O769" i="19" s="1"/>
  <c r="N149" i="19"/>
  <c r="O149" i="19" s="1"/>
  <c r="N60" i="19"/>
  <c r="O60" i="19" s="1"/>
  <c r="N915" i="19"/>
  <c r="O915" i="19" s="1"/>
  <c r="N916" i="19"/>
  <c r="O916" i="19" s="1"/>
  <c r="N727" i="19"/>
  <c r="O727" i="19" s="1"/>
  <c r="N10" i="19"/>
  <c r="O10" i="19" s="1"/>
  <c r="N990" i="19"/>
  <c r="O990" i="19" s="1"/>
  <c r="N43" i="19"/>
  <c r="O43" i="19" s="1"/>
  <c r="N639" i="19"/>
  <c r="O639" i="19" s="1"/>
  <c r="N576" i="19"/>
  <c r="O576" i="19" s="1"/>
  <c r="N683" i="19"/>
  <c r="O683" i="19" s="1"/>
  <c r="N913" i="19"/>
  <c r="O913" i="19" s="1"/>
  <c r="N672" i="19"/>
  <c r="O672" i="19" s="1"/>
  <c r="N984" i="19"/>
  <c r="O984" i="19" s="1"/>
  <c r="N823" i="19"/>
  <c r="O823" i="19" s="1"/>
  <c r="N588" i="19"/>
  <c r="O588" i="19" s="1"/>
  <c r="N728" i="19"/>
  <c r="O728" i="19" s="1"/>
  <c r="N179" i="19"/>
  <c r="O179" i="19" s="1"/>
  <c r="N758" i="19"/>
  <c r="O758" i="19" s="1"/>
  <c r="N976" i="19"/>
  <c r="O976" i="19" s="1"/>
  <c r="N697" i="19"/>
  <c r="O697" i="19" s="1"/>
  <c r="N191" i="19"/>
  <c r="O191" i="19" s="1"/>
  <c r="N378" i="19"/>
  <c r="O378" i="19" s="1"/>
  <c r="N606" i="19"/>
  <c r="O606" i="19" s="1"/>
  <c r="N569" i="19"/>
  <c r="O569" i="19" s="1"/>
  <c r="N923" i="19"/>
  <c r="O923" i="19" s="1"/>
  <c r="N799" i="19"/>
  <c r="O799" i="19" s="1"/>
  <c r="N566" i="19"/>
  <c r="O566" i="19" s="1"/>
  <c r="N962" i="19"/>
  <c r="O962" i="19" s="1"/>
  <c r="N78" i="19"/>
  <c r="O78" i="19" s="1"/>
  <c r="N784" i="19"/>
  <c r="O784" i="19" s="1"/>
  <c r="N69" i="19"/>
  <c r="O69" i="19" s="1"/>
  <c r="N882" i="19"/>
  <c r="O882" i="19" s="1"/>
  <c r="N691" i="19"/>
  <c r="O691" i="19" s="1"/>
  <c r="N696" i="19"/>
  <c r="O696" i="19" s="1"/>
  <c r="N707" i="19"/>
  <c r="O707" i="19" s="1"/>
  <c r="N811" i="19"/>
  <c r="O811" i="19" s="1"/>
  <c r="N892" i="19"/>
  <c r="O892" i="19" s="1"/>
  <c r="N20" i="19"/>
  <c r="O20" i="19" s="1"/>
  <c r="N162" i="19"/>
  <c r="O162" i="19" s="1"/>
  <c r="N825" i="19"/>
  <c r="O825" i="19" s="1"/>
  <c r="N45" i="19"/>
  <c r="O45" i="19" s="1"/>
  <c r="N72" i="19"/>
  <c r="O72" i="19" s="1"/>
  <c r="N797" i="19"/>
  <c r="O797" i="19" s="1"/>
  <c r="N133" i="19"/>
  <c r="O133" i="19" s="1"/>
  <c r="N12" i="19"/>
  <c r="O12" i="19" s="1"/>
  <c r="N62" i="19"/>
  <c r="O62" i="19" s="1"/>
  <c r="N281" i="19"/>
  <c r="O281" i="19" s="1"/>
  <c r="N247" i="19"/>
  <c r="O247" i="19" s="1"/>
  <c r="N817" i="19"/>
  <c r="O817" i="19" s="1"/>
  <c r="N535" i="19"/>
  <c r="O535" i="19" s="1"/>
  <c r="N22" i="19"/>
  <c r="O22" i="19" s="1"/>
  <c r="N27" i="19"/>
  <c r="O27" i="19" s="1"/>
  <c r="N579" i="19"/>
  <c r="O579" i="19" s="1"/>
  <c r="N831" i="19"/>
  <c r="O831" i="19" s="1"/>
  <c r="N449" i="19"/>
  <c r="O449" i="19" s="1"/>
  <c r="N415" i="19"/>
  <c r="O415" i="19" s="1"/>
  <c r="N257" i="19"/>
  <c r="O257" i="19" s="1"/>
  <c r="N389" i="19"/>
  <c r="O389" i="19" s="1"/>
  <c r="N348" i="19"/>
  <c r="O348" i="19" s="1"/>
  <c r="N23" i="19"/>
  <c r="O23" i="19" s="1"/>
  <c r="N24" i="19"/>
  <c r="O24" i="19" s="1"/>
  <c r="N25" i="19"/>
  <c r="O25" i="19" s="1"/>
  <c r="N710" i="19"/>
  <c r="O710" i="19" s="1"/>
  <c r="N896" i="19"/>
  <c r="O896" i="19" s="1"/>
  <c r="N756" i="19"/>
  <c r="O756" i="19" s="1"/>
  <c r="N549" i="19"/>
  <c r="O549" i="19" s="1"/>
  <c r="N699" i="19"/>
  <c r="O699" i="19" s="1"/>
  <c r="N375" i="19"/>
  <c r="O375" i="19" s="1"/>
  <c r="N567" i="19"/>
  <c r="O567" i="19" s="1"/>
  <c r="N103" i="19"/>
  <c r="O103" i="19" s="1"/>
  <c r="N850" i="19"/>
  <c r="O850" i="19" s="1"/>
  <c r="N127" i="19"/>
  <c r="O127" i="19" s="1"/>
  <c r="N551" i="19"/>
  <c r="O551" i="19" s="1"/>
  <c r="N943" i="19"/>
  <c r="O943" i="19" s="1"/>
  <c r="N887" i="19"/>
  <c r="O887" i="19" s="1"/>
  <c r="N355" i="19"/>
  <c r="O355" i="19" s="1"/>
  <c r="N244" i="19"/>
  <c r="O244" i="19" s="1"/>
  <c r="N434" i="19"/>
  <c r="O434" i="19" s="1"/>
  <c r="N181" i="19"/>
  <c r="O181" i="19" s="1"/>
  <c r="N650" i="19"/>
  <c r="O650" i="19" s="1"/>
  <c r="N637" i="19"/>
  <c r="O637" i="19" s="1"/>
  <c r="N30" i="19"/>
  <c r="O30" i="19" s="1"/>
  <c r="N402" i="19"/>
  <c r="O402" i="19" s="1"/>
  <c r="N403" i="19"/>
  <c r="O403" i="19" s="1"/>
  <c r="N404" i="19"/>
  <c r="O404" i="19" s="1"/>
  <c r="N405" i="19"/>
  <c r="O405" i="19" s="1"/>
  <c r="N963" i="19"/>
  <c r="O963" i="19" s="1"/>
  <c r="N279" i="19"/>
  <c r="O279" i="19" s="1"/>
  <c r="N775" i="19"/>
  <c r="O775" i="19" s="1"/>
  <c r="N444" i="19"/>
  <c r="O444" i="19" s="1"/>
  <c r="N652" i="19"/>
  <c r="O652" i="19" s="1"/>
  <c r="N159" i="19"/>
  <c r="O159" i="19" s="1"/>
  <c r="N165" i="19"/>
  <c r="O165" i="19" s="1"/>
  <c r="N175" i="19"/>
  <c r="O175" i="19" s="1"/>
  <c r="N714" i="19"/>
  <c r="O714" i="19" s="1"/>
  <c r="N781" i="19"/>
  <c r="O781" i="19" s="1"/>
  <c r="N927" i="19"/>
  <c r="O927" i="19" s="1"/>
  <c r="N202" i="19"/>
  <c r="O202" i="19" s="1"/>
  <c r="N180" i="19"/>
  <c r="O180" i="19" s="1"/>
  <c r="N543" i="19"/>
  <c r="O543" i="19" s="1"/>
  <c r="N651" i="19"/>
  <c r="O651" i="19" s="1"/>
  <c r="N628" i="19"/>
  <c r="O628" i="19" s="1"/>
  <c r="N629" i="19"/>
  <c r="O629" i="19" s="1"/>
  <c r="N949" i="19"/>
  <c r="O949" i="19" s="1"/>
  <c r="N113" i="19"/>
  <c r="O113" i="19" s="1"/>
  <c r="N337" i="19"/>
  <c r="O337" i="19" s="1"/>
  <c r="N315" i="19"/>
  <c r="O315" i="19" s="1"/>
  <c r="N970" i="19"/>
  <c r="O970" i="19" s="1"/>
  <c r="N475" i="19"/>
  <c r="O475" i="19" s="1"/>
  <c r="N587" i="19"/>
  <c r="O587" i="19" s="1"/>
  <c r="N897" i="19"/>
  <c r="O897" i="19" s="1"/>
  <c r="N298" i="19"/>
  <c r="O298" i="19" s="1"/>
  <c r="N795" i="19"/>
  <c r="O795" i="19" s="1"/>
  <c r="N709" i="19"/>
  <c r="O709" i="19" s="1"/>
  <c r="N801" i="19"/>
  <c r="O801" i="19" s="1"/>
  <c r="N572" i="19"/>
  <c r="O572" i="19" s="1"/>
  <c r="N929" i="19"/>
  <c r="O929" i="19" s="1"/>
  <c r="N653" i="19"/>
  <c r="O653" i="19" s="1"/>
  <c r="N457" i="19"/>
  <c r="O457" i="19" s="1"/>
  <c r="N49" i="19"/>
  <c r="O49" i="19" s="1"/>
  <c r="N123" i="19"/>
  <c r="O123" i="19" s="1"/>
  <c r="N559" i="19"/>
  <c r="O559" i="19" s="1"/>
  <c r="N608" i="19"/>
  <c r="O608" i="19" s="1"/>
  <c r="N998" i="19"/>
  <c r="O998" i="19" s="1"/>
  <c r="N463" i="19"/>
  <c r="O463" i="19" s="1"/>
  <c r="N445" i="19"/>
  <c r="O445" i="19" s="1"/>
  <c r="N835" i="19"/>
  <c r="O835" i="19" s="1"/>
  <c r="N288" i="19"/>
  <c r="O288" i="19" s="1"/>
  <c r="N972" i="19"/>
  <c r="O972" i="19" s="1"/>
  <c r="N117" i="19"/>
  <c r="O117" i="19" s="1"/>
  <c r="N973" i="19"/>
  <c r="O973" i="19" s="1"/>
  <c r="N729" i="19"/>
  <c r="O729" i="19" s="1"/>
  <c r="N636" i="19"/>
  <c r="O636" i="19" s="1"/>
  <c r="N416" i="19"/>
  <c r="O416" i="19" s="1"/>
  <c r="N950" i="19"/>
  <c r="O950" i="19" s="1"/>
  <c r="N626" i="19"/>
  <c r="O626" i="19" s="1"/>
  <c r="N875" i="19"/>
  <c r="O875" i="19" s="1"/>
  <c r="N203" i="19"/>
  <c r="O203" i="19" s="1"/>
  <c r="N649" i="19"/>
  <c r="O649" i="19" s="1"/>
  <c r="N553" i="19"/>
  <c r="O553" i="19" s="1"/>
  <c r="N803" i="19"/>
  <c r="O803" i="19" s="1"/>
  <c r="N440" i="19"/>
  <c r="O440" i="19" s="1"/>
  <c r="N716" i="19"/>
  <c r="O716" i="19" s="1"/>
  <c r="N138" i="19"/>
  <c r="O138" i="19" s="1"/>
  <c r="N291" i="19"/>
  <c r="O291" i="19" s="1"/>
  <c r="N3" i="19"/>
  <c r="O3" i="19" s="1"/>
  <c r="N485" i="19"/>
  <c r="O485" i="19" s="1"/>
  <c r="N82" i="19"/>
  <c r="O82" i="19" s="1"/>
  <c r="N325" i="19"/>
  <c r="O325" i="19" s="1"/>
  <c r="N205" i="19"/>
  <c r="O205" i="19" s="1"/>
  <c r="N292" i="19"/>
  <c r="O292" i="19" s="1"/>
  <c r="N293" i="19"/>
  <c r="O293" i="19" s="1"/>
  <c r="N318" i="19"/>
  <c r="O318" i="19" s="1"/>
  <c r="N451" i="19"/>
  <c r="O451" i="19" s="1"/>
  <c r="N234" i="19"/>
  <c r="O234" i="19" s="1"/>
  <c r="N631" i="19"/>
  <c r="O631" i="19" s="1"/>
  <c r="N807" i="19"/>
  <c r="O807" i="19" s="1"/>
  <c r="N780" i="19"/>
  <c r="O780" i="19" s="1"/>
  <c r="N290" i="19"/>
  <c r="O290" i="19" s="1"/>
  <c r="N939" i="19"/>
  <c r="O939" i="19" s="1"/>
  <c r="N940" i="19"/>
  <c r="O940" i="19" s="1"/>
  <c r="N809" i="19"/>
  <c r="O809" i="19" s="1"/>
  <c r="N164" i="19"/>
  <c r="O164" i="19" s="1"/>
  <c r="N836" i="19"/>
  <c r="O836" i="19" s="1"/>
  <c r="N874" i="19"/>
  <c r="O874" i="19" s="1"/>
  <c r="N818" i="19"/>
  <c r="O818" i="19" s="1"/>
  <c r="N217" i="19"/>
  <c r="O217" i="19" s="1"/>
  <c r="N1000" i="19"/>
  <c r="O1000" i="19" s="1"/>
  <c r="N91" i="19"/>
  <c r="O91" i="19" s="1"/>
  <c r="N945" i="19"/>
  <c r="O945" i="19" s="1"/>
  <c r="N250" i="19"/>
  <c r="O250" i="19" s="1"/>
  <c r="N515" i="19"/>
  <c r="O515" i="19" s="1"/>
  <c r="N509" i="19"/>
  <c r="O509" i="19" s="1"/>
  <c r="N575" i="19"/>
  <c r="O575" i="19" s="1"/>
  <c r="N220" i="19"/>
  <c r="O220" i="19" s="1"/>
  <c r="N384" i="19"/>
  <c r="O384" i="19" s="1"/>
  <c r="N251" i="19"/>
  <c r="O251" i="19" s="1"/>
  <c r="N558" i="19"/>
  <c r="O558" i="19" s="1"/>
  <c r="N126" i="19"/>
  <c r="O126" i="19" s="1"/>
  <c r="N573" i="19"/>
  <c r="O573" i="19" s="1"/>
  <c r="N34" i="19"/>
  <c r="O34" i="19" s="1"/>
  <c r="N777" i="19"/>
  <c r="O777" i="19" s="1"/>
  <c r="N87" i="19"/>
  <c r="O87" i="19" s="1"/>
  <c r="N327" i="19"/>
  <c r="O327" i="19" s="1"/>
  <c r="N294" i="19"/>
  <c r="O294" i="19" s="1"/>
  <c r="N529" i="19"/>
  <c r="O529" i="19" s="1"/>
  <c r="N966" i="19"/>
  <c r="O966" i="19" s="1"/>
  <c r="N218" i="19"/>
  <c r="O218" i="19" s="1"/>
  <c r="N581" i="19"/>
  <c r="O581" i="19" s="1"/>
  <c r="N122" i="19"/>
  <c r="O122" i="19" s="1"/>
  <c r="N52" i="19"/>
  <c r="O52" i="19" s="1"/>
  <c r="N55" i="19"/>
  <c r="O55" i="19" s="1"/>
  <c r="N910" i="19"/>
  <c r="O910" i="19" s="1"/>
  <c r="N118" i="19"/>
  <c r="O118" i="19" s="1"/>
  <c r="N423" i="19"/>
  <c r="O423" i="19" s="1"/>
  <c r="N219" i="19"/>
  <c r="O219" i="19" s="1"/>
  <c r="N862" i="19"/>
  <c r="O862" i="19" s="1"/>
  <c r="N604" i="19"/>
  <c r="O604" i="19" s="1"/>
  <c r="N789" i="19"/>
  <c r="O789" i="19" s="1"/>
  <c r="N470" i="19"/>
  <c r="O470" i="19" s="1"/>
  <c r="N983" i="19"/>
  <c r="O983" i="19" s="1"/>
  <c r="N603" i="19"/>
  <c r="O603" i="19" s="1"/>
  <c r="N230" i="19"/>
  <c r="O230" i="19" s="1"/>
  <c r="N112" i="19"/>
  <c r="O112" i="19" s="1"/>
  <c r="N724" i="19"/>
  <c r="O724" i="19" s="1"/>
  <c r="N280" i="19"/>
  <c r="O280" i="19" s="1"/>
  <c r="N429" i="19"/>
  <c r="O429" i="19" s="1"/>
  <c r="N964" i="19"/>
  <c r="O964" i="19" s="1"/>
  <c r="N154" i="19"/>
  <c r="O154" i="19" s="1"/>
  <c r="N349" i="19"/>
  <c r="O349" i="19" s="1"/>
  <c r="N350" i="19"/>
  <c r="O350" i="19" s="1"/>
  <c r="N351" i="19"/>
  <c r="O351" i="19" s="1"/>
  <c r="N352" i="19"/>
  <c r="O352" i="19" s="1"/>
  <c r="N654" i="19"/>
  <c r="O654" i="19" s="1"/>
  <c r="N390" i="19"/>
  <c r="O390" i="19" s="1"/>
  <c r="N602" i="19"/>
  <c r="O602" i="19" s="1"/>
  <c r="N311" i="19"/>
  <c r="O311" i="19" s="1"/>
  <c r="N166" i="19"/>
  <c r="O166" i="19" s="1"/>
  <c r="N109" i="19"/>
  <c r="O109" i="19" s="1"/>
  <c r="N726" i="19"/>
  <c r="O726" i="19" s="1"/>
  <c r="N510" i="19"/>
  <c r="O510" i="19" s="1"/>
  <c r="N937" i="19"/>
  <c r="O937" i="19" s="1"/>
  <c r="N989" i="19"/>
  <c r="O989" i="19" s="1"/>
  <c r="N630" i="19"/>
  <c r="O630" i="19" s="1"/>
  <c r="N240" i="19"/>
  <c r="O240" i="19" s="1"/>
  <c r="N656" i="19"/>
  <c r="O656" i="19" s="1"/>
  <c r="N266" i="19"/>
  <c r="O266" i="19" s="1"/>
  <c r="N306" i="19"/>
  <c r="O306" i="19" s="1"/>
  <c r="N75" i="19"/>
  <c r="O75" i="19" s="1"/>
  <c r="N938" i="19"/>
  <c r="O938" i="19" s="1"/>
  <c r="N188" i="19"/>
  <c r="O188" i="19" s="1"/>
  <c r="N173" i="19"/>
  <c r="O173" i="19" s="1"/>
  <c r="N399" i="19"/>
  <c r="O399" i="19" s="1"/>
  <c r="N814" i="19"/>
  <c r="O814" i="19" s="1"/>
  <c r="N39" i="19"/>
  <c r="O39" i="19" s="1"/>
  <c r="N662" i="19"/>
  <c r="O662" i="19" s="1"/>
  <c r="N666" i="19"/>
  <c r="O666" i="19" s="1"/>
  <c r="N901" i="19"/>
  <c r="O901" i="19" s="1"/>
  <c r="N985" i="19"/>
  <c r="O985" i="19" s="1"/>
  <c r="N492" i="19"/>
  <c r="O492" i="19" s="1"/>
  <c r="N286" i="19"/>
  <c r="O286" i="19" s="1"/>
  <c r="N944" i="19"/>
  <c r="O944" i="19" s="1"/>
  <c r="N63" i="19"/>
  <c r="O63" i="19" s="1"/>
  <c r="N870" i="19"/>
  <c r="O870" i="19" s="1"/>
  <c r="N237" i="19"/>
  <c r="O237" i="19" s="1"/>
  <c r="N472" i="19"/>
  <c r="O472" i="19" s="1"/>
  <c r="N473" i="19"/>
  <c r="O473" i="19" s="1"/>
  <c r="N513" i="19"/>
  <c r="O513" i="19" s="1"/>
  <c r="N739" i="19"/>
  <c r="O739" i="19" s="1"/>
  <c r="N491" i="19"/>
  <c r="O491" i="19" s="1"/>
  <c r="N359" i="19"/>
  <c r="O359" i="19" s="1"/>
  <c r="N172" i="19"/>
  <c r="O172" i="19" s="1"/>
  <c r="N387" i="19"/>
  <c r="O387" i="19" s="1"/>
  <c r="N584" i="19"/>
  <c r="O584" i="19" s="1"/>
  <c r="N443" i="19"/>
  <c r="O443" i="19" s="1"/>
  <c r="N452" i="19"/>
  <c r="O452" i="19" s="1"/>
  <c r="N917" i="19"/>
  <c r="O917" i="19" s="1"/>
  <c r="N381" i="19"/>
  <c r="O381" i="19" s="1"/>
  <c r="N183" i="19"/>
  <c r="O183" i="19" s="1"/>
  <c r="N680" i="19"/>
  <c r="O680" i="19" s="1"/>
  <c r="N19" i="19"/>
  <c r="O19" i="19" s="1"/>
  <c r="N58" i="19"/>
  <c r="O58" i="19" s="1"/>
  <c r="N734" i="19"/>
  <c r="O734" i="19" s="1"/>
  <c r="N580" i="19"/>
  <c r="O580" i="19" s="1"/>
  <c r="N924" i="19"/>
  <c r="O924" i="19" s="1"/>
  <c r="N102" i="19"/>
  <c r="O102" i="19" s="1"/>
  <c r="N511" i="19"/>
  <c r="O511" i="19" s="1"/>
  <c r="N268" i="19"/>
  <c r="O268" i="19" s="1"/>
  <c r="N980" i="19"/>
  <c r="O980" i="19" s="1"/>
  <c r="N556" i="19"/>
  <c r="O556" i="19" s="1"/>
  <c r="N284" i="19"/>
  <c r="O284" i="19" s="1"/>
  <c r="N374" i="19"/>
  <c r="O374" i="19" s="1"/>
  <c r="N520" i="19"/>
  <c r="O520" i="19" s="1"/>
  <c r="N46" i="19"/>
  <c r="O46" i="19" s="1"/>
  <c r="N317" i="19"/>
  <c r="O317" i="19" s="1"/>
  <c r="N830" i="19"/>
  <c r="O830" i="19" s="1"/>
  <c r="N258" i="19"/>
  <c r="O258" i="19" s="1"/>
  <c r="N526" i="19"/>
  <c r="O526" i="19" s="1"/>
  <c r="N705" i="19"/>
  <c r="O705" i="19" s="1"/>
  <c r="N521" i="19"/>
  <c r="O521" i="19" s="1"/>
  <c r="N757" i="19"/>
  <c r="O757" i="19" s="1"/>
  <c r="N94" i="19"/>
  <c r="O94" i="19" s="1"/>
  <c r="N715" i="19"/>
  <c r="O715" i="19" s="1"/>
  <c r="N961" i="19"/>
  <c r="O961" i="19" s="1"/>
  <c r="N299" i="19"/>
  <c r="O299" i="19" s="1"/>
  <c r="N530" i="19"/>
  <c r="O530" i="19" s="1"/>
  <c r="N864" i="19"/>
  <c r="O864" i="19" s="1"/>
  <c r="N95" i="19"/>
  <c r="O95" i="19" s="1"/>
  <c r="N736" i="19"/>
  <c r="O736" i="19" s="1"/>
  <c r="N866" i="19"/>
  <c r="O866" i="19" s="1"/>
  <c r="N619" i="19"/>
  <c r="O619" i="19" s="1"/>
  <c r="N898" i="19"/>
  <c r="O898" i="19" s="1"/>
  <c r="N852" i="19"/>
  <c r="O852" i="19" s="1"/>
  <c r="N876" i="19"/>
  <c r="O876" i="19" s="1"/>
  <c r="N840" i="19"/>
  <c r="O840" i="19" s="1"/>
  <c r="N42" i="19"/>
  <c r="O42" i="19" s="1"/>
  <c r="N400" i="19"/>
  <c r="O400" i="19" s="1"/>
  <c r="N518" i="19"/>
  <c r="O518" i="19" s="1"/>
  <c r="N977" i="19"/>
  <c r="O977" i="19" s="1"/>
  <c r="N253" i="19"/>
  <c r="O253" i="19" s="1"/>
  <c r="N414" i="19"/>
  <c r="O414" i="19" s="1"/>
  <c r="N812" i="19"/>
  <c r="O812" i="19" s="1"/>
  <c r="N738" i="19"/>
  <c r="O738" i="19" s="1"/>
  <c r="N454" i="19"/>
  <c r="O454" i="19" s="1"/>
  <c r="N391" i="19"/>
  <c r="O391" i="19" s="1"/>
  <c r="N735" i="19"/>
  <c r="O735" i="19" s="1"/>
  <c r="N242" i="19"/>
  <c r="O242" i="19" s="1"/>
  <c r="N272" i="19"/>
  <c r="O272" i="19" s="1"/>
  <c r="N820" i="19"/>
  <c r="O820" i="19" s="1"/>
  <c r="N822" i="19"/>
  <c r="O822" i="19" s="1"/>
  <c r="N853" i="19"/>
  <c r="O853" i="19" s="1"/>
  <c r="N53" i="19"/>
  <c r="O53" i="19" s="1"/>
  <c r="N597" i="19"/>
  <c r="O597" i="19" s="1"/>
  <c r="N486" i="19"/>
  <c r="O486" i="19" s="1"/>
  <c r="N406" i="19"/>
  <c r="O406" i="19" s="1"/>
  <c r="N32" i="19"/>
  <c r="O32" i="19" s="1"/>
  <c r="N90" i="19"/>
  <c r="O90" i="19" s="1"/>
  <c r="N498" i="19"/>
  <c r="O498" i="19" s="1"/>
  <c r="N161" i="19"/>
  <c r="O161" i="19" s="1"/>
  <c r="N713" i="19"/>
  <c r="O713" i="19" s="1"/>
  <c r="N519" i="19"/>
  <c r="O519" i="19" s="1"/>
  <c r="N540" i="19"/>
  <c r="O540" i="19" s="1"/>
  <c r="N624" i="19"/>
  <c r="O624" i="19" s="1"/>
  <c r="N806" i="19"/>
  <c r="O806" i="19" s="1"/>
  <c r="N919" i="19"/>
  <c r="O919" i="19" s="1"/>
  <c r="N844" i="19"/>
  <c r="O844" i="19" s="1"/>
  <c r="N528" i="19"/>
  <c r="O528" i="19" s="1"/>
  <c r="N460" i="19"/>
  <c r="O460" i="19" s="1"/>
  <c r="N909" i="19"/>
  <c r="O909" i="19" s="1"/>
  <c r="N358" i="19"/>
  <c r="O358" i="19" s="1"/>
  <c r="N671" i="19"/>
  <c r="O671" i="19" s="1"/>
  <c r="N442" i="19"/>
  <c r="O442" i="19" s="1"/>
  <c r="N955" i="19"/>
  <c r="O955" i="19" s="1"/>
  <c r="N137" i="19"/>
  <c r="O137" i="19" s="1"/>
  <c r="N883" i="19"/>
  <c r="O883" i="19" s="1"/>
  <c r="N517" i="19"/>
  <c r="O517" i="19" s="1"/>
  <c r="N372" i="19"/>
  <c r="O372" i="19" s="1"/>
  <c r="N360" i="19"/>
  <c r="O360" i="19" s="1"/>
  <c r="N305" i="19"/>
  <c r="O305" i="19" s="1"/>
  <c r="N609" i="19"/>
  <c r="O609" i="19" s="1"/>
  <c r="N249" i="19"/>
  <c r="O249" i="19" s="1"/>
  <c r="N77" i="19"/>
  <c r="O77" i="19" s="1"/>
  <c r="N201" i="19"/>
  <c r="O201" i="19" s="1"/>
  <c r="N860" i="19"/>
  <c r="O860" i="19" s="1"/>
  <c r="N845" i="19"/>
  <c r="O845" i="19" s="1"/>
  <c r="N131" i="19"/>
  <c r="O131" i="19" s="1"/>
  <c r="N791" i="19"/>
  <c r="O791" i="19" s="1"/>
  <c r="N792" i="19"/>
  <c r="O792" i="19" s="1"/>
  <c r="N373" i="19"/>
  <c r="O373" i="19" s="1"/>
  <c r="N371" i="19"/>
  <c r="O371" i="19" s="1"/>
  <c r="N248" i="19"/>
  <c r="O248" i="19" s="1"/>
  <c r="N658" i="19"/>
  <c r="O658" i="19" s="1"/>
  <c r="N900" i="19"/>
  <c r="O900" i="19" s="1"/>
  <c r="N670" i="19"/>
  <c r="O670" i="19" s="1"/>
  <c r="N44" i="19"/>
  <c r="O44" i="19" s="1"/>
  <c r="N301" i="19"/>
  <c r="O301" i="19" s="1"/>
  <c r="N813" i="19"/>
  <c r="O813" i="19" s="1"/>
  <c r="N533" i="19"/>
  <c r="O533" i="19" s="1"/>
  <c r="N490" i="19"/>
  <c r="O490" i="19" s="1"/>
  <c r="N157" i="19"/>
  <c r="O157" i="19" s="1"/>
  <c r="N941" i="19"/>
  <c r="O941" i="19" s="1"/>
  <c r="N951" i="19"/>
  <c r="O951" i="19" s="1"/>
  <c r="N577" i="19"/>
  <c r="O577" i="19" s="1"/>
  <c r="N14" i="19"/>
  <c r="O14" i="19" s="1"/>
  <c r="N195" i="19"/>
  <c r="O195" i="19" s="1"/>
  <c r="N412" i="19"/>
  <c r="O412" i="19" s="1"/>
  <c r="N439" i="19"/>
  <c r="O439" i="19" s="1"/>
  <c r="N158" i="19"/>
  <c r="O158" i="19" s="1"/>
  <c r="N114" i="19"/>
  <c r="O114" i="19" s="1"/>
  <c r="N537" i="19"/>
  <c r="O537" i="19" s="1"/>
  <c r="N742" i="19"/>
  <c r="O742" i="19" s="1"/>
  <c r="N877" i="19"/>
  <c r="O877" i="19" s="1"/>
  <c r="N546" i="19"/>
  <c r="O546" i="19" s="1"/>
  <c r="N512" i="19"/>
  <c r="O512" i="19" s="1"/>
  <c r="N618" i="19"/>
  <c r="O618" i="19" s="1"/>
  <c r="N420" i="19"/>
  <c r="O420" i="19" s="1"/>
  <c r="N986" i="19"/>
  <c r="O986" i="19" s="1"/>
  <c r="N675" i="19"/>
  <c r="O675" i="19" s="1"/>
  <c r="N502" i="19"/>
  <c r="O502" i="19" s="1"/>
  <c r="N422" i="19"/>
  <c r="O422" i="19" s="1"/>
  <c r="N410" i="19"/>
  <c r="O410" i="19" s="1"/>
  <c r="N638" i="19"/>
  <c r="O638" i="19" s="1"/>
  <c r="N134" i="19"/>
  <c r="O134" i="19" s="1"/>
  <c r="N156" i="19"/>
  <c r="O156" i="19" s="1"/>
  <c r="N254" i="19"/>
  <c r="O254" i="19" s="1"/>
  <c r="N489" i="19"/>
  <c r="O489" i="19" s="1"/>
  <c r="N189" i="19"/>
  <c r="O189" i="19" s="1"/>
  <c r="N548" i="19"/>
  <c r="O548" i="19" s="1"/>
  <c r="N570" i="19"/>
  <c r="O570" i="19" s="1"/>
  <c r="N37" i="19"/>
  <c r="O37" i="19" s="1"/>
  <c r="N178" i="19"/>
  <c r="O178" i="19" s="1"/>
  <c r="N26" i="19"/>
  <c r="O26" i="19" s="1"/>
  <c r="N146" i="19"/>
  <c r="O146" i="19" s="1"/>
  <c r="N147" i="19"/>
  <c r="O147" i="19" s="1"/>
  <c r="N222" i="19"/>
  <c r="O222" i="19" s="1"/>
  <c r="N879" i="19"/>
  <c r="O879" i="19" s="1"/>
  <c r="N589" i="19"/>
  <c r="O589" i="19" s="1"/>
  <c r="N661" i="19"/>
  <c r="O661" i="19" s="1"/>
  <c r="N99" i="19"/>
  <c r="O99" i="19" s="1"/>
  <c r="N36" i="19"/>
  <c r="O36" i="19" s="1"/>
  <c r="N155" i="19"/>
  <c r="O155" i="19" s="1"/>
  <c r="N340" i="19"/>
  <c r="O340" i="19" s="1"/>
  <c r="N335" i="19"/>
  <c r="O335" i="19" s="1"/>
  <c r="N621" i="19"/>
  <c r="O621" i="19" s="1"/>
  <c r="N920" i="19"/>
  <c r="O920" i="19" s="1"/>
  <c r="N235" i="19"/>
  <c r="O235" i="19" s="1"/>
  <c r="N747" i="19"/>
  <c r="O747" i="19" s="1"/>
  <c r="N541" i="19"/>
  <c r="O541" i="19" s="1"/>
  <c r="N462" i="19"/>
  <c r="O462" i="19" s="1"/>
  <c r="N13" i="19"/>
  <c r="O13" i="19" s="1"/>
  <c r="N458" i="19"/>
  <c r="O458" i="19" s="1"/>
  <c r="N446" i="19"/>
  <c r="O446" i="19" s="1"/>
  <c r="N447" i="19"/>
  <c r="O447" i="19" s="1"/>
  <c r="N477" i="19"/>
  <c r="O477" i="19" s="1"/>
  <c r="N590" i="19"/>
  <c r="O590" i="19" s="1"/>
  <c r="N706" i="19"/>
  <c r="O706" i="19" s="1"/>
  <c r="N568" i="19"/>
  <c r="O568" i="19" s="1"/>
  <c r="N376" i="19"/>
  <c r="O376" i="19" s="1"/>
  <c r="N38" i="19"/>
  <c r="O38" i="19" s="1"/>
  <c r="N826" i="19"/>
  <c r="O826" i="19" s="1"/>
  <c r="N687" i="19"/>
  <c r="O687" i="19" s="1"/>
  <c r="N493" i="19"/>
  <c r="O493" i="19" s="1"/>
  <c r="N936" i="19"/>
  <c r="O936" i="19" s="1"/>
  <c r="N748" i="19"/>
  <c r="O748" i="19" s="1"/>
  <c r="N259" i="19"/>
  <c r="O259" i="19" s="1"/>
  <c r="N9" i="19"/>
  <c r="O9" i="19" s="1"/>
  <c r="N703" i="19"/>
  <c r="O703" i="19" s="1"/>
  <c r="N314" i="19"/>
  <c r="O314" i="19" s="1"/>
  <c r="N695" i="19"/>
  <c r="O695" i="19" s="1"/>
  <c r="N890" i="19"/>
  <c r="O890" i="19" s="1"/>
  <c r="N505" i="19"/>
  <c r="O505" i="19" s="1"/>
  <c r="N506" i="19"/>
  <c r="O506" i="19" s="1"/>
  <c r="N773" i="19"/>
  <c r="O773" i="19" s="1"/>
  <c r="N100" i="19"/>
  <c r="O100" i="19" s="1"/>
  <c r="N623" i="19"/>
  <c r="O623" i="19" s="1"/>
  <c r="N886" i="19"/>
  <c r="O886" i="19" s="1"/>
  <c r="N274" i="19"/>
  <c r="O274" i="19" s="1"/>
  <c r="N749" i="19"/>
  <c r="O749" i="19" s="1"/>
  <c r="N522" i="19"/>
  <c r="O522" i="19" s="1"/>
  <c r="N865" i="19"/>
  <c r="O865" i="19" s="1"/>
  <c r="N805" i="19"/>
  <c r="O805" i="19" s="1"/>
  <c r="N171" i="19"/>
  <c r="O171" i="19" s="1"/>
  <c r="N743" i="19"/>
  <c r="O743" i="19" s="1"/>
  <c r="N417" i="19"/>
  <c r="O417" i="19" s="1"/>
  <c r="N667" i="19"/>
  <c r="O667" i="19" s="1"/>
  <c r="N827" i="19"/>
  <c r="O827" i="19" s="1"/>
  <c r="N689" i="19"/>
  <c r="O689" i="19" s="1"/>
  <c r="N790" i="19"/>
  <c r="O790" i="19" s="1"/>
  <c r="N104" i="19"/>
  <c r="O104" i="19" s="1"/>
  <c r="N642" i="19"/>
  <c r="O642" i="19" s="1"/>
  <c r="N29" i="19"/>
  <c r="O29" i="19" s="1"/>
  <c r="N363" i="19"/>
  <c r="O363" i="19" s="1"/>
  <c r="N778" i="19"/>
  <c r="O778" i="19" s="1"/>
  <c r="N209" i="19"/>
  <c r="O209" i="19" s="1"/>
  <c r="N690" i="19"/>
  <c r="O690" i="19" s="1"/>
  <c r="N496" i="19"/>
  <c r="O496" i="19" s="1"/>
  <c r="N753" i="19"/>
  <c r="O753" i="19" s="1"/>
  <c r="N754" i="19"/>
  <c r="O754" i="19" s="1"/>
  <c r="N997" i="19"/>
  <c r="O997" i="19" s="1"/>
  <c r="N483" i="19"/>
  <c r="O483" i="19" s="1"/>
  <c r="N148" i="19"/>
  <c r="O148" i="19" s="1"/>
  <c r="N226" i="19"/>
  <c r="O226" i="19" s="1"/>
  <c r="N128" i="19"/>
  <c r="O128" i="19" s="1"/>
  <c r="N564" i="19"/>
  <c r="O564" i="19" s="1"/>
  <c r="N601" i="19"/>
  <c r="O601" i="19" s="1"/>
  <c r="N261" i="19"/>
  <c r="O261" i="19" s="1"/>
  <c r="N448" i="19"/>
  <c r="O448" i="19" s="1"/>
  <c r="N660" i="19"/>
  <c r="O660" i="19" s="1"/>
  <c r="N557" i="19"/>
  <c r="O557" i="19" s="1"/>
  <c r="N124" i="19"/>
  <c r="O124" i="19" s="1"/>
  <c r="N849" i="19"/>
  <c r="O849" i="19" s="1"/>
  <c r="N563" i="19"/>
  <c r="O563" i="19" s="1"/>
  <c r="N174" i="19"/>
  <c r="O174" i="19" s="1"/>
  <c r="N768" i="19"/>
  <c r="O768" i="19" s="1"/>
  <c r="N798" i="19"/>
  <c r="O798" i="19" s="1"/>
  <c r="N858" i="19"/>
  <c r="O858" i="19" s="1"/>
  <c r="N271" i="19"/>
  <c r="O271" i="19" s="1"/>
  <c r="N98" i="19"/>
  <c r="O98" i="19" s="1"/>
  <c r="N839" i="19"/>
  <c r="O839" i="19" s="1"/>
  <c r="N256" i="19"/>
  <c r="O256" i="19" s="1"/>
  <c r="N270" i="19"/>
  <c r="O270" i="19" s="1"/>
  <c r="N885" i="19"/>
  <c r="O885" i="19" s="1"/>
  <c r="N308" i="19"/>
  <c r="O308" i="19" s="1"/>
  <c r="N430" i="19"/>
  <c r="O430" i="19" s="1"/>
  <c r="N111" i="19"/>
  <c r="O111" i="19" s="1"/>
  <c r="N302" i="19"/>
  <c r="O302" i="19" s="1"/>
  <c r="N252" i="19"/>
  <c r="O252" i="19" s="1"/>
  <c r="N582" i="19"/>
  <c r="O582" i="19" s="1"/>
  <c r="N907" i="19"/>
  <c r="O907" i="19" s="1"/>
  <c r="N425" i="19"/>
  <c r="O425" i="19" s="1"/>
  <c r="N130" i="19"/>
  <c r="O130" i="19" s="1"/>
  <c r="N981" i="19"/>
  <c r="O981" i="19" s="1"/>
  <c r="N682" i="19"/>
  <c r="O682" i="19" s="1"/>
  <c r="N770" i="19"/>
  <c r="O770" i="19" s="1"/>
  <c r="N677" i="19"/>
  <c r="O677" i="19" s="1"/>
  <c r="N70" i="19"/>
  <c r="O70" i="19" s="1"/>
  <c r="N480" i="19"/>
  <c r="O480" i="19" s="1"/>
  <c r="N435" i="19"/>
  <c r="O435" i="19" s="1"/>
  <c r="N193" i="19"/>
  <c r="O193" i="19" s="1"/>
  <c r="N194" i="19"/>
  <c r="O194" i="19" s="1"/>
  <c r="N787" i="19"/>
  <c r="O787" i="19" s="1"/>
  <c r="N428" i="19"/>
  <c r="O428" i="19" s="1"/>
  <c r="N688" i="19"/>
  <c r="O688" i="19" s="1"/>
  <c r="N182" i="19"/>
  <c r="O182" i="19" s="1"/>
  <c r="N409" i="19"/>
  <c r="O409" i="19" s="1"/>
  <c r="N176" i="19"/>
  <c r="O176" i="19" s="1"/>
  <c r="N269" i="19"/>
  <c r="O269" i="19" s="1"/>
  <c r="N343" i="19"/>
  <c r="O343" i="19" s="1"/>
  <c r="N287" i="19"/>
  <c r="O287" i="19" s="1"/>
  <c r="N664" i="19"/>
  <c r="O664" i="19" s="1"/>
  <c r="N497" i="19"/>
  <c r="O497" i="19" s="1"/>
  <c r="N539" i="19"/>
  <c r="O539" i="19" s="1"/>
  <c r="N635" i="19"/>
  <c r="O635" i="19" s="1"/>
  <c r="N92" i="19"/>
  <c r="O92" i="19" s="1"/>
  <c r="N141" i="19"/>
  <c r="O141" i="19" s="1"/>
  <c r="N802" i="19"/>
  <c r="O802" i="19" s="1"/>
  <c r="N678" i="19"/>
  <c r="O678" i="19" s="1"/>
  <c r="N275" i="19"/>
  <c r="O275" i="19" s="1"/>
  <c r="N276" i="19"/>
  <c r="O276" i="19" s="1"/>
  <c r="N263" i="19"/>
  <c r="O263" i="19" s="1"/>
  <c r="N979" i="19"/>
  <c r="O979" i="19" s="1"/>
  <c r="N394" i="19"/>
  <c r="O394" i="19" s="1"/>
  <c r="N450" i="19"/>
  <c r="O450" i="19" s="1"/>
  <c r="N952" i="19"/>
  <c r="O952" i="19" s="1"/>
  <c r="N84" i="19"/>
  <c r="O84" i="19" s="1"/>
  <c r="N347" i="19"/>
  <c r="O347" i="19" s="1"/>
  <c r="N487" i="19"/>
  <c r="O487" i="19" s="1"/>
  <c r="N313" i="19"/>
  <c r="O313" i="19" s="1"/>
  <c r="N819" i="19"/>
  <c r="O819" i="19" s="1"/>
  <c r="N407" i="19"/>
  <c r="O407" i="19" s="1"/>
  <c r="N427" i="19"/>
  <c r="O427" i="19" s="1"/>
  <c r="N527" i="19"/>
  <c r="O527" i="19" s="1"/>
  <c r="N466" i="19"/>
  <c r="O466" i="19" s="1"/>
  <c r="N516" i="19"/>
  <c r="O516" i="19" s="1"/>
  <c r="N140" i="19"/>
  <c r="O140" i="19" s="1"/>
  <c r="N139" i="19"/>
  <c r="O139" i="19" s="1"/>
  <c r="N142" i="19"/>
  <c r="O142" i="19" s="1"/>
  <c r="N143" i="19"/>
  <c r="O143" i="19" s="1"/>
  <c r="N144" i="19"/>
  <c r="O144" i="19" s="1"/>
  <c r="N145" i="19"/>
  <c r="O145" i="19" s="1"/>
  <c r="N816" i="19"/>
  <c r="O816" i="19" s="1"/>
  <c r="N177" i="19"/>
  <c r="O177" i="19" s="1"/>
  <c r="N365" i="19"/>
  <c r="O365" i="19" s="1"/>
  <c r="N698" i="19"/>
  <c r="O698" i="19" s="1"/>
  <c r="N992" i="19"/>
  <c r="O992" i="19" s="1"/>
  <c r="N212" i="19"/>
  <c r="O212" i="19" s="1"/>
  <c r="N525" i="19"/>
  <c r="O525" i="19" s="1"/>
  <c r="N101" i="19"/>
  <c r="O101" i="19" s="1"/>
  <c r="N999" i="19"/>
  <c r="O999" i="19" s="1"/>
  <c r="N974" i="19"/>
  <c r="O974" i="19" s="1"/>
  <c r="N190" i="19"/>
  <c r="O190" i="19" s="1"/>
  <c r="N859" i="19"/>
  <c r="O859" i="19" s="1"/>
  <c r="N745" i="19"/>
  <c r="O745" i="19" s="1"/>
  <c r="N283" i="19"/>
  <c r="O283" i="19" s="1"/>
  <c r="N186" i="19"/>
  <c r="O186" i="19" s="1"/>
  <c r="N841" i="19"/>
  <c r="O841" i="19" s="1"/>
  <c r="N210" i="19"/>
  <c r="O210" i="19" s="1"/>
  <c r="N536" i="19"/>
  <c r="O536" i="19" s="1"/>
  <c r="N625" i="19"/>
  <c r="O625" i="19" s="1"/>
  <c r="N187" i="19"/>
  <c r="O187" i="19" s="1"/>
  <c r="N500" i="19"/>
  <c r="O500" i="19" s="1"/>
  <c r="N265" i="19"/>
  <c r="O265" i="19" s="1"/>
  <c r="N192" i="19"/>
  <c r="O192" i="19" s="1"/>
  <c r="N560" i="19"/>
  <c r="O560" i="19" s="1"/>
  <c r="N346" i="19"/>
  <c r="O346" i="19" s="1"/>
  <c r="N794" i="19"/>
  <c r="O794" i="19" s="1"/>
  <c r="N571" i="19"/>
  <c r="O571" i="19" s="1"/>
  <c r="N206" i="19"/>
  <c r="O206" i="19" s="1"/>
  <c r="N611" i="19"/>
  <c r="O611" i="19" s="1"/>
  <c r="N8" i="19"/>
  <c r="O8" i="19" s="1"/>
  <c r="N453" i="19"/>
  <c r="O453" i="19" s="1"/>
  <c r="N643" i="19"/>
  <c r="O643" i="19" s="1"/>
  <c r="N644" i="19"/>
  <c r="O644" i="19" s="1"/>
  <c r="N273" i="19"/>
  <c r="O273" i="19" s="1"/>
  <c r="N641" i="19"/>
  <c r="O641" i="19" s="1"/>
  <c r="N170" i="19"/>
  <c r="O170" i="19" s="1"/>
  <c r="N507" i="19"/>
  <c r="O507" i="19" s="1"/>
  <c r="N645" i="19"/>
  <c r="O645" i="19" s="1"/>
  <c r="N646" i="19"/>
  <c r="O646" i="19" s="1"/>
  <c r="N737" i="19"/>
  <c r="O737" i="19" s="1"/>
  <c r="N954" i="19"/>
  <c r="O954" i="19" s="1"/>
  <c r="M41" i="19"/>
  <c r="M488" i="19"/>
  <c r="M197" i="19"/>
  <c r="M198" i="19"/>
  <c r="M115" i="19"/>
  <c r="M863" i="19"/>
  <c r="M673" i="19"/>
  <c r="M426" i="19"/>
  <c r="M824" i="19"/>
  <c r="M361" i="19"/>
  <c r="M309" i="19"/>
  <c r="M828" i="19"/>
  <c r="M911" i="19"/>
  <c r="M767" i="19"/>
  <c r="M607" i="19"/>
  <c r="M685" i="19"/>
  <c r="M815" i="19"/>
  <c r="M762" i="19"/>
  <c r="M85" i="19"/>
  <c r="M86" i="19"/>
  <c r="M89" i="19"/>
  <c r="M59" i="19"/>
  <c r="M471" i="19"/>
  <c r="M200" i="19"/>
  <c r="M243" i="19"/>
  <c r="M851" i="19"/>
  <c r="M959" i="19"/>
  <c r="M925" i="19"/>
  <c r="M700" i="19"/>
  <c r="M15" i="19"/>
  <c r="M16" i="19"/>
  <c r="M17" i="19"/>
  <c r="M388" i="19"/>
  <c r="M942" i="19"/>
  <c r="M345" i="19"/>
  <c r="M1001" i="19"/>
  <c r="M881" i="19"/>
  <c r="M304" i="19"/>
  <c r="M461" i="19"/>
  <c r="M514" i="19"/>
  <c r="M610" i="19"/>
  <c r="M4" i="19"/>
  <c r="M665" i="19"/>
  <c r="M751" i="19"/>
  <c r="M776" i="19"/>
  <c r="M296" i="19"/>
  <c r="M74" i="19"/>
  <c r="M800" i="19"/>
  <c r="M481" i="19"/>
  <c r="M469" i="19"/>
  <c r="M545" i="19"/>
  <c r="M436" i="19"/>
  <c r="M437" i="19"/>
  <c r="M73" i="19"/>
  <c r="M842" i="19"/>
  <c r="M922" i="19"/>
  <c r="M832" i="19"/>
  <c r="M975" i="19"/>
  <c r="M894" i="19"/>
  <c r="M236" i="19"/>
  <c r="M763" i="19"/>
  <c r="M744" i="19"/>
  <c r="M61" i="19"/>
  <c r="M353" i="19"/>
  <c r="M56" i="19"/>
  <c r="M107" i="19"/>
  <c r="M712" i="19"/>
  <c r="M441" i="19"/>
  <c r="M392" i="19"/>
  <c r="M857" i="19"/>
  <c r="M872" i="19"/>
  <c r="M88" i="19"/>
  <c r="M33" i="19"/>
  <c r="M508" i="19"/>
  <c r="M562" i="19"/>
  <c r="M668" i="19"/>
  <c r="M221" i="19"/>
  <c r="M613" i="19"/>
  <c r="M213" i="19"/>
  <c r="M48" i="19"/>
  <c r="M868" i="19"/>
  <c r="M151" i="19"/>
  <c r="M431" i="19"/>
  <c r="M993" i="19"/>
  <c r="M503" i="19"/>
  <c r="M504" i="19"/>
  <c r="M105" i="19"/>
  <c r="M320" i="19"/>
  <c r="M932" i="19"/>
  <c r="M615" i="19"/>
  <c r="M11" i="19"/>
  <c r="M432" i="19"/>
  <c r="M324" i="19"/>
  <c r="M834" i="19"/>
  <c r="M746" i="19"/>
  <c r="M953" i="19"/>
  <c r="M465" i="19"/>
  <c r="M838" i="19"/>
  <c r="M81" i="19"/>
  <c r="M833" i="19"/>
  <c r="M731" i="19"/>
  <c r="M310" i="19"/>
  <c r="M136" i="19"/>
  <c r="M329" i="19"/>
  <c r="M785" i="19"/>
  <c r="M600" i="19"/>
  <c r="M772" i="19"/>
  <c r="M478" i="19"/>
  <c r="M918" i="19"/>
  <c r="M648" i="19"/>
  <c r="M120" i="19"/>
  <c r="M861" i="19"/>
  <c r="M676" i="19"/>
  <c r="M163" i="19"/>
  <c r="M467" i="19"/>
  <c r="M393" i="19"/>
  <c r="M150" i="19"/>
  <c r="M701" i="19"/>
  <c r="M227" i="19"/>
  <c r="M228" i="19"/>
  <c r="M229" i="19"/>
  <c r="M632" i="19"/>
  <c r="M285" i="19"/>
  <c r="M893" i="19"/>
  <c r="M899" i="19"/>
  <c r="M456" i="19"/>
  <c r="M793" i="19"/>
  <c r="M928" i="19"/>
  <c r="M342" i="19"/>
  <c r="M121" i="19"/>
  <c r="M132" i="19"/>
  <c r="M759" i="19"/>
  <c r="M761" i="19"/>
  <c r="M344" i="19"/>
  <c r="M125" i="19"/>
  <c r="M614" i="19"/>
  <c r="M322" i="19"/>
  <c r="M5" i="19"/>
  <c r="M821" i="19"/>
  <c r="M946" i="19"/>
  <c r="M135" i="19"/>
  <c r="M534" i="19"/>
  <c r="M260" i="19"/>
  <c r="M982" i="19"/>
  <c r="M760" i="19"/>
  <c r="M594" i="19"/>
  <c r="M595" i="19"/>
  <c r="M398" i="19"/>
  <c r="M396" i="19"/>
  <c r="M484" i="19"/>
  <c r="M788" i="19"/>
  <c r="M119" i="19"/>
  <c r="M455" i="19"/>
  <c r="M523" i="19"/>
  <c r="M421" i="19"/>
  <c r="M362" i="19"/>
  <c r="M771" i="19"/>
  <c r="M848" i="19"/>
  <c r="M28" i="19"/>
  <c r="M542" i="19"/>
  <c r="M596" i="19"/>
  <c r="M307" i="19"/>
  <c r="M397" i="19"/>
  <c r="M204" i="19"/>
  <c r="M681" i="19"/>
  <c r="M869" i="19"/>
  <c r="M903" i="19"/>
  <c r="M895" i="19"/>
  <c r="M357" i="19"/>
  <c r="M856" i="19"/>
  <c r="M686" i="19"/>
  <c r="M96" i="19"/>
  <c r="M752" i="19"/>
  <c r="M326" i="19"/>
  <c r="M339" i="19"/>
  <c r="M750" i="19"/>
  <c r="M330" i="19"/>
  <c r="M547" i="19"/>
  <c r="M926" i="19"/>
  <c r="M6" i="19"/>
  <c r="M7" i="19"/>
  <c r="M64" i="19"/>
  <c r="M933" i="19"/>
  <c r="M476" i="19"/>
  <c r="M57" i="19"/>
  <c r="M694" i="19"/>
  <c r="M583" i="19"/>
  <c r="M80" i="19"/>
  <c r="M152" i="19"/>
  <c r="M627" i="19"/>
  <c r="M35" i="19"/>
  <c r="M779" i="19"/>
  <c r="M561" i="19"/>
  <c r="M331" i="19"/>
  <c r="M655" i="19"/>
  <c r="M718" i="19"/>
  <c r="M719" i="19"/>
  <c r="M720" i="19"/>
  <c r="M721" i="19"/>
  <c r="M722" i="19"/>
  <c r="M18" i="19"/>
  <c r="M902" i="19"/>
  <c r="M947" i="19"/>
  <c r="M847" i="19"/>
  <c r="M552" i="19"/>
  <c r="M725" i="19"/>
  <c r="M755" i="19"/>
  <c r="M225" i="19"/>
  <c r="M377" i="19"/>
  <c r="M66" i="19"/>
  <c r="M684" i="19"/>
  <c r="M246" i="19"/>
  <c r="M328" i="19"/>
  <c r="M702" i="19"/>
  <c r="M464" i="19"/>
  <c r="M31" i="19"/>
  <c r="M408" i="19"/>
  <c r="M810" i="19"/>
  <c r="M184" i="19"/>
  <c r="M185" i="19"/>
  <c r="M591" i="19"/>
  <c r="M965" i="19"/>
  <c r="M129" i="19"/>
  <c r="M555" i="19"/>
  <c r="M323" i="19"/>
  <c r="M51" i="19"/>
  <c r="M740" i="19"/>
  <c r="M106" i="19"/>
  <c r="M574" i="19"/>
  <c r="M782" i="19"/>
  <c r="M884" i="19"/>
  <c r="M224" i="19"/>
  <c r="M116" i="19"/>
  <c r="M930" i="19"/>
  <c r="M843" i="19"/>
  <c r="M160" i="19"/>
  <c r="M241" i="19"/>
  <c r="M380" i="19"/>
  <c r="M277" i="19"/>
  <c r="M216" i="19"/>
  <c r="M196" i="19"/>
  <c r="M873" i="19"/>
  <c r="M904" i="19"/>
  <c r="M316" i="19"/>
  <c r="M599" i="19"/>
  <c r="M395" i="19"/>
  <c r="M264" i="19"/>
  <c r="M620" i="19"/>
  <c r="M995" i="19"/>
  <c r="M674" i="19"/>
  <c r="M223" i="19"/>
  <c r="M278" i="19"/>
  <c r="M586" i="19"/>
  <c r="M829" i="19"/>
  <c r="M214" i="19"/>
  <c r="M996" i="19"/>
  <c r="M267" i="19"/>
  <c r="M215" i="19"/>
  <c r="M474" i="19"/>
  <c r="M905" i="19"/>
  <c r="M693" i="19"/>
  <c r="M501" i="19"/>
  <c r="M640" i="19"/>
  <c r="M71" i="19"/>
  <c r="M957" i="19"/>
  <c r="M704" i="19"/>
  <c r="M878" i="19"/>
  <c r="M65" i="19"/>
  <c r="M692" i="19"/>
  <c r="M93" i="19"/>
  <c r="M499" i="19"/>
  <c r="M994" i="19"/>
  <c r="M967" i="19"/>
  <c r="M297" i="19"/>
  <c r="M908" i="19"/>
  <c r="M300" i="19"/>
  <c r="M424" i="19"/>
  <c r="M332" i="19"/>
  <c r="M766" i="19"/>
  <c r="M199" i="19"/>
  <c r="M544" i="19"/>
  <c r="M366" i="19"/>
  <c r="M50" i="19"/>
  <c r="M708" i="19"/>
  <c r="M622" i="19"/>
  <c r="M153" i="19"/>
  <c r="M554" i="19"/>
  <c r="M663" i="19"/>
  <c r="M657" i="19"/>
  <c r="M289" i="19"/>
  <c r="M956" i="19"/>
  <c r="M479" i="19"/>
  <c r="M168" i="19"/>
  <c r="M679" i="19"/>
  <c r="M245" i="19"/>
  <c r="M303" i="19"/>
  <c r="M312" i="19"/>
  <c r="M550" i="19"/>
  <c r="M578" i="19"/>
  <c r="M76" i="19"/>
  <c r="M934" i="19"/>
  <c r="M774" i="19"/>
  <c r="M255" i="19"/>
  <c r="M208" i="19"/>
  <c r="M110" i="19"/>
  <c r="M494" i="19"/>
  <c r="M336" i="19"/>
  <c r="M239" i="19"/>
  <c r="M341" i="19"/>
  <c r="M764" i="19"/>
  <c r="M207" i="19"/>
  <c r="M717" i="19"/>
  <c r="M21" i="19"/>
  <c r="M891" i="19"/>
  <c r="M669" i="19"/>
  <c r="M711" i="19"/>
  <c r="M855" i="19"/>
  <c r="M921" i="19"/>
  <c r="M382" i="19"/>
  <c r="M383" i="19"/>
  <c r="M385" i="19"/>
  <c r="M888" i="19"/>
  <c r="M295" i="19"/>
  <c r="M282" i="19"/>
  <c r="M935" i="19"/>
  <c r="M369" i="19"/>
  <c r="M97" i="19"/>
  <c r="M459" i="19"/>
  <c r="M605" i="19"/>
  <c r="M854" i="19"/>
  <c r="M231" i="19"/>
  <c r="M786" i="19"/>
  <c r="M960" i="19"/>
  <c r="M321" i="19"/>
  <c r="M211" i="19"/>
  <c r="M912" i="19"/>
  <c r="M367" i="19"/>
  <c r="M987" i="19"/>
  <c r="M333" i="19"/>
  <c r="M971" i="19"/>
  <c r="M616" i="19"/>
  <c r="M617" i="19"/>
  <c r="M741" i="19"/>
  <c r="M169" i="19"/>
  <c r="M47" i="19"/>
  <c r="M804" i="19"/>
  <c r="M598" i="19"/>
  <c r="M867" i="19"/>
  <c r="M262" i="19"/>
  <c r="M531" i="19"/>
  <c r="M338" i="19"/>
  <c r="M370" i="19"/>
  <c r="M634" i="19"/>
  <c r="M524" i="19"/>
  <c r="M647" i="19"/>
  <c r="M978" i="19"/>
  <c r="M334" i="19"/>
  <c r="M931" i="19"/>
  <c r="M991" i="19"/>
  <c r="M732" i="19"/>
  <c r="M733" i="19"/>
  <c r="M356" i="19"/>
  <c r="M538" i="19"/>
  <c r="M765" i="19"/>
  <c r="M167" i="19"/>
  <c r="M846" i="19"/>
  <c r="M880" i="19"/>
  <c r="M585" i="19"/>
  <c r="M2" i="19"/>
  <c r="M232" i="19"/>
  <c r="M238" i="19"/>
  <c r="M914" i="19"/>
  <c r="M233" i="19"/>
  <c r="M411" i="19"/>
  <c r="M969" i="19"/>
  <c r="M532" i="19"/>
  <c r="M948" i="19"/>
  <c r="M495" i="19"/>
  <c r="M79" i="19"/>
  <c r="M368" i="19"/>
  <c r="M783" i="19"/>
  <c r="M319" i="19"/>
  <c r="M659" i="19"/>
  <c r="M730" i="19"/>
  <c r="M958" i="19"/>
  <c r="M592" i="19"/>
  <c r="M871" i="19"/>
  <c r="M633" i="19"/>
  <c r="M54" i="19"/>
  <c r="M889" i="19"/>
  <c r="M482" i="19"/>
  <c r="M67" i="19"/>
  <c r="M68" i="19"/>
  <c r="M796" i="19"/>
  <c r="M419" i="19"/>
  <c r="M988" i="19"/>
  <c r="M364" i="19"/>
  <c r="M413" i="19"/>
  <c r="M468" i="19"/>
  <c r="M723" i="19"/>
  <c r="M837" i="19"/>
  <c r="M386" i="19"/>
  <c r="M108" i="19"/>
  <c r="M906" i="19"/>
  <c r="M593" i="19"/>
  <c r="M83" i="19"/>
  <c r="M612" i="19"/>
  <c r="M354" i="19"/>
  <c r="M433" i="19"/>
  <c r="M401" i="19"/>
  <c r="M438" i="19"/>
  <c r="M379" i="19"/>
  <c r="M968" i="19"/>
  <c r="M565" i="19"/>
  <c r="M418" i="19"/>
  <c r="M808" i="19"/>
  <c r="M769" i="19"/>
  <c r="M149" i="19"/>
  <c r="M60" i="19"/>
  <c r="M915" i="19"/>
  <c r="M916" i="19"/>
  <c r="M727" i="19"/>
  <c r="M10" i="19"/>
  <c r="M990" i="19"/>
  <c r="M43" i="19"/>
  <c r="M639" i="19"/>
  <c r="M576" i="19"/>
  <c r="M683" i="19"/>
  <c r="M913" i="19"/>
  <c r="M672" i="19"/>
  <c r="M984" i="19"/>
  <c r="M823" i="19"/>
  <c r="M588" i="19"/>
  <c r="M728" i="19"/>
  <c r="M179" i="19"/>
  <c r="M758" i="19"/>
  <c r="M976" i="19"/>
  <c r="M697" i="19"/>
  <c r="M191" i="19"/>
  <c r="M378" i="19"/>
  <c r="M606" i="19"/>
  <c r="M569" i="19"/>
  <c r="M923" i="19"/>
  <c r="M799" i="19"/>
  <c r="M566" i="19"/>
  <c r="M962" i="19"/>
  <c r="M78" i="19"/>
  <c r="M784" i="19"/>
  <c r="M69" i="19"/>
  <c r="M882" i="19"/>
  <c r="M691" i="19"/>
  <c r="M696" i="19"/>
  <c r="M707" i="19"/>
  <c r="M811" i="19"/>
  <c r="M892" i="19"/>
  <c r="M20" i="19"/>
  <c r="M162" i="19"/>
  <c r="M825" i="19"/>
  <c r="M45" i="19"/>
  <c r="M72" i="19"/>
  <c r="M797" i="19"/>
  <c r="M133" i="19"/>
  <c r="M12" i="19"/>
  <c r="M62" i="19"/>
  <c r="M281" i="19"/>
  <c r="M247" i="19"/>
  <c r="M817" i="19"/>
  <c r="M535" i="19"/>
  <c r="M22" i="19"/>
  <c r="M27" i="19"/>
  <c r="M579" i="19"/>
  <c r="M831" i="19"/>
  <c r="M449" i="19"/>
  <c r="M415" i="19"/>
  <c r="M257" i="19"/>
  <c r="M389" i="19"/>
  <c r="M348" i="19"/>
  <c r="M23" i="19"/>
  <c r="M24" i="19"/>
  <c r="M25" i="19"/>
  <c r="M710" i="19"/>
  <c r="M896" i="19"/>
  <c r="M756" i="19"/>
  <c r="M549" i="19"/>
  <c r="M699" i="19"/>
  <c r="M375" i="19"/>
  <c r="M567" i="19"/>
  <c r="M103" i="19"/>
  <c r="M850" i="19"/>
  <c r="M127" i="19"/>
  <c r="M551" i="19"/>
  <c r="M943" i="19"/>
  <c r="M887" i="19"/>
  <c r="M355" i="19"/>
  <c r="M244" i="19"/>
  <c r="M434" i="19"/>
  <c r="M181" i="19"/>
  <c r="M650" i="19"/>
  <c r="M637" i="19"/>
  <c r="M30" i="19"/>
  <c r="M402" i="19"/>
  <c r="M403" i="19"/>
  <c r="M404" i="19"/>
  <c r="M405" i="19"/>
  <c r="M963" i="19"/>
  <c r="M279" i="19"/>
  <c r="M775" i="19"/>
  <c r="M444" i="19"/>
  <c r="M652" i="19"/>
  <c r="M159" i="19"/>
  <c r="M165" i="19"/>
  <c r="M175" i="19"/>
  <c r="M714" i="19"/>
  <c r="M781" i="19"/>
  <c r="M927" i="19"/>
  <c r="M202" i="19"/>
  <c r="M180" i="19"/>
  <c r="M543" i="19"/>
  <c r="M651" i="19"/>
  <c r="M628" i="19"/>
  <c r="M629" i="19"/>
  <c r="M949" i="19"/>
  <c r="M113" i="19"/>
  <c r="M337" i="19"/>
  <c r="M315" i="19"/>
  <c r="M970" i="19"/>
  <c r="M475" i="19"/>
  <c r="M587" i="19"/>
  <c r="M897" i="19"/>
  <c r="M298" i="19"/>
  <c r="M795" i="19"/>
  <c r="M709" i="19"/>
  <c r="M801" i="19"/>
  <c r="M572" i="19"/>
  <c r="M929" i="19"/>
  <c r="M653" i="19"/>
  <c r="M457" i="19"/>
  <c r="M49" i="19"/>
  <c r="M123" i="19"/>
  <c r="M559" i="19"/>
  <c r="M608" i="19"/>
  <c r="M998" i="19"/>
  <c r="M463" i="19"/>
  <c r="M445" i="19"/>
  <c r="M835" i="19"/>
  <c r="M288" i="19"/>
  <c r="M972" i="19"/>
  <c r="M117" i="19"/>
  <c r="M973" i="19"/>
  <c r="M729" i="19"/>
  <c r="M636" i="19"/>
  <c r="M416" i="19"/>
  <c r="M950" i="19"/>
  <c r="M626" i="19"/>
  <c r="M875" i="19"/>
  <c r="M203" i="19"/>
  <c r="M649" i="19"/>
  <c r="M553" i="19"/>
  <c r="M803" i="19"/>
  <c r="M440" i="19"/>
  <c r="M716" i="19"/>
  <c r="M138" i="19"/>
  <c r="M291" i="19"/>
  <c r="M3" i="19"/>
  <c r="M485" i="19"/>
  <c r="M82" i="19"/>
  <c r="M325" i="19"/>
  <c r="M205" i="19"/>
  <c r="M292" i="19"/>
  <c r="M293" i="19"/>
  <c r="M318" i="19"/>
  <c r="M451" i="19"/>
  <c r="M234" i="19"/>
  <c r="M631" i="19"/>
  <c r="M807" i="19"/>
  <c r="M780" i="19"/>
  <c r="M290" i="19"/>
  <c r="M939" i="19"/>
  <c r="M940" i="19"/>
  <c r="M809" i="19"/>
  <c r="M164" i="19"/>
  <c r="M836" i="19"/>
  <c r="M874" i="19"/>
  <c r="M818" i="19"/>
  <c r="M217" i="19"/>
  <c r="M1000" i="19"/>
  <c r="M91" i="19"/>
  <c r="M945" i="19"/>
  <c r="M250" i="19"/>
  <c r="M515" i="19"/>
  <c r="M509" i="19"/>
  <c r="M575" i="19"/>
  <c r="M220" i="19"/>
  <c r="M384" i="19"/>
  <c r="M251" i="19"/>
  <c r="M558" i="19"/>
  <c r="M126" i="19"/>
  <c r="M573" i="19"/>
  <c r="M34" i="19"/>
  <c r="M777" i="19"/>
  <c r="M87" i="19"/>
  <c r="M327" i="19"/>
  <c r="M294" i="19"/>
  <c r="M529" i="19"/>
  <c r="M966" i="19"/>
  <c r="M218" i="19"/>
  <c r="M581" i="19"/>
  <c r="M122" i="19"/>
  <c r="M52" i="19"/>
  <c r="M55" i="19"/>
  <c r="M910" i="19"/>
  <c r="M118" i="19"/>
  <c r="M423" i="19"/>
  <c r="M219" i="19"/>
  <c r="M862" i="19"/>
  <c r="M604" i="19"/>
  <c r="M789" i="19"/>
  <c r="M470" i="19"/>
  <c r="M983" i="19"/>
  <c r="M603" i="19"/>
  <c r="M230" i="19"/>
  <c r="M112" i="19"/>
  <c r="M724" i="19"/>
  <c r="M280" i="19"/>
  <c r="M429" i="19"/>
  <c r="M964" i="19"/>
  <c r="M154" i="19"/>
  <c r="M349" i="19"/>
  <c r="M350" i="19"/>
  <c r="M351" i="19"/>
  <c r="M352" i="19"/>
  <c r="M654" i="19"/>
  <c r="M390" i="19"/>
  <c r="M602" i="19"/>
  <c r="M311" i="19"/>
  <c r="M166" i="19"/>
  <c r="M109" i="19"/>
  <c r="M726" i="19"/>
  <c r="M510" i="19"/>
  <c r="M937" i="19"/>
  <c r="M989" i="19"/>
  <c r="M630" i="19"/>
  <c r="M240" i="19"/>
  <c r="M656" i="19"/>
  <c r="M266" i="19"/>
  <c r="M306" i="19"/>
  <c r="M75" i="19"/>
  <c r="M938" i="19"/>
  <c r="M188" i="19"/>
  <c r="M173" i="19"/>
  <c r="M399" i="19"/>
  <c r="M814" i="19"/>
  <c r="M39" i="19"/>
  <c r="M662" i="19"/>
  <c r="M666" i="19"/>
  <c r="M901" i="19"/>
  <c r="M985" i="19"/>
  <c r="M492" i="19"/>
  <c r="M286" i="19"/>
  <c r="M944" i="19"/>
  <c r="M63" i="19"/>
  <c r="M870" i="19"/>
  <c r="M237" i="19"/>
  <c r="M472" i="19"/>
  <c r="M473" i="19"/>
  <c r="M513" i="19"/>
  <c r="M739" i="19"/>
  <c r="M491" i="19"/>
  <c r="M359" i="19"/>
  <c r="M172" i="19"/>
  <c r="M387" i="19"/>
  <c r="M584" i="19"/>
  <c r="M443" i="19"/>
  <c r="M452" i="19"/>
  <c r="M917" i="19"/>
  <c r="M381" i="19"/>
  <c r="M183" i="19"/>
  <c r="M680" i="19"/>
  <c r="M19" i="19"/>
  <c r="M58" i="19"/>
  <c r="M734" i="19"/>
  <c r="M580" i="19"/>
  <c r="M924" i="19"/>
  <c r="M102" i="19"/>
  <c r="M511" i="19"/>
  <c r="M268" i="19"/>
  <c r="M980" i="19"/>
  <c r="M556" i="19"/>
  <c r="M284" i="19"/>
  <c r="M374" i="19"/>
  <c r="M520" i="19"/>
  <c r="M46" i="19"/>
  <c r="M317" i="19"/>
  <c r="M830" i="19"/>
  <c r="M258" i="19"/>
  <c r="M526" i="19"/>
  <c r="M705" i="19"/>
  <c r="M521" i="19"/>
  <c r="M757" i="19"/>
  <c r="M94" i="19"/>
  <c r="M715" i="19"/>
  <c r="M961" i="19"/>
  <c r="M299" i="19"/>
  <c r="M530" i="19"/>
  <c r="M864" i="19"/>
  <c r="M95" i="19"/>
  <c r="M736" i="19"/>
  <c r="M866" i="19"/>
  <c r="M619" i="19"/>
  <c r="M898" i="19"/>
  <c r="M852" i="19"/>
  <c r="M876" i="19"/>
  <c r="M840" i="19"/>
  <c r="M42" i="19"/>
  <c r="M400" i="19"/>
  <c r="M518" i="19"/>
  <c r="M977" i="19"/>
  <c r="M253" i="19"/>
  <c r="M414" i="19"/>
  <c r="M812" i="19"/>
  <c r="M738" i="19"/>
  <c r="M454" i="19"/>
  <c r="M391" i="19"/>
  <c r="M735" i="19"/>
  <c r="M242" i="19"/>
  <c r="M272" i="19"/>
  <c r="M820" i="19"/>
  <c r="M822" i="19"/>
  <c r="M853" i="19"/>
  <c r="M53" i="19"/>
  <c r="M597" i="19"/>
  <c r="M486" i="19"/>
  <c r="M406" i="19"/>
  <c r="M32" i="19"/>
  <c r="M90" i="19"/>
  <c r="M498" i="19"/>
  <c r="M161" i="19"/>
  <c r="M713" i="19"/>
  <c r="M519" i="19"/>
  <c r="M540" i="19"/>
  <c r="M624" i="19"/>
  <c r="M806" i="19"/>
  <c r="M919" i="19"/>
  <c r="M844" i="19"/>
  <c r="M528" i="19"/>
  <c r="M460" i="19"/>
  <c r="M909" i="19"/>
  <c r="M358" i="19"/>
  <c r="M671" i="19"/>
  <c r="M442" i="19"/>
  <c r="M955" i="19"/>
  <c r="M137" i="19"/>
  <c r="M883" i="19"/>
  <c r="M517" i="19"/>
  <c r="M372" i="19"/>
  <c r="M360" i="19"/>
  <c r="M305" i="19"/>
  <c r="M609" i="19"/>
  <c r="M249" i="19"/>
  <c r="M77" i="19"/>
  <c r="M201" i="19"/>
  <c r="M860" i="19"/>
  <c r="M845" i="19"/>
  <c r="M131" i="19"/>
  <c r="M791" i="19"/>
  <c r="M792" i="19"/>
  <c r="M373" i="19"/>
  <c r="M371" i="19"/>
  <c r="M248" i="19"/>
  <c r="M658" i="19"/>
  <c r="M900" i="19"/>
  <c r="M670" i="19"/>
  <c r="M44" i="19"/>
  <c r="M301" i="19"/>
  <c r="M813" i="19"/>
  <c r="M533" i="19"/>
  <c r="M490" i="19"/>
  <c r="M157" i="19"/>
  <c r="M941" i="19"/>
  <c r="M951" i="19"/>
  <c r="M577" i="19"/>
  <c r="M14" i="19"/>
  <c r="M195" i="19"/>
  <c r="M412" i="19"/>
  <c r="M439" i="19"/>
  <c r="M158" i="19"/>
  <c r="M114" i="19"/>
  <c r="M537" i="19"/>
  <c r="M742" i="19"/>
  <c r="M877" i="19"/>
  <c r="M546" i="19"/>
  <c r="M512" i="19"/>
  <c r="M618" i="19"/>
  <c r="M420" i="19"/>
  <c r="M986" i="19"/>
  <c r="M675" i="19"/>
  <c r="M502" i="19"/>
  <c r="M422" i="19"/>
  <c r="M410" i="19"/>
  <c r="M638" i="19"/>
  <c r="M134" i="19"/>
  <c r="M156" i="19"/>
  <c r="M254" i="19"/>
  <c r="M489" i="19"/>
  <c r="M189" i="19"/>
  <c r="M548" i="19"/>
  <c r="M570" i="19"/>
  <c r="M37" i="19"/>
  <c r="M178" i="19"/>
  <c r="M26" i="19"/>
  <c r="M146" i="19"/>
  <c r="M147" i="19"/>
  <c r="M222" i="19"/>
  <c r="M879" i="19"/>
  <c r="M589" i="19"/>
  <c r="M661" i="19"/>
  <c r="M99" i="19"/>
  <c r="M36" i="19"/>
  <c r="M155" i="19"/>
  <c r="M340" i="19"/>
  <c r="M335" i="19"/>
  <c r="M621" i="19"/>
  <c r="M920" i="19"/>
  <c r="M235" i="19"/>
  <c r="M747" i="19"/>
  <c r="M541" i="19"/>
  <c r="M462" i="19"/>
  <c r="M13" i="19"/>
  <c r="M458" i="19"/>
  <c r="M446" i="19"/>
  <c r="M447" i="19"/>
  <c r="M477" i="19"/>
  <c r="M590" i="19"/>
  <c r="M706" i="19"/>
  <c r="M568" i="19"/>
  <c r="M376" i="19"/>
  <c r="M38" i="19"/>
  <c r="M826" i="19"/>
  <c r="M687" i="19"/>
  <c r="M493" i="19"/>
  <c r="M936" i="19"/>
  <c r="M748" i="19"/>
  <c r="M259" i="19"/>
  <c r="M9" i="19"/>
  <c r="M703" i="19"/>
  <c r="M314" i="19"/>
  <c r="M695" i="19"/>
  <c r="M890" i="19"/>
  <c r="M505" i="19"/>
  <c r="M506" i="19"/>
  <c r="M773" i="19"/>
  <c r="M100" i="19"/>
  <c r="M623" i="19"/>
  <c r="M886" i="19"/>
  <c r="M274" i="19"/>
  <c r="M749" i="19"/>
  <c r="M522" i="19"/>
  <c r="M865" i="19"/>
  <c r="M805" i="19"/>
  <c r="M171" i="19"/>
  <c r="M743" i="19"/>
  <c r="M417" i="19"/>
  <c r="M667" i="19"/>
  <c r="M827" i="19"/>
  <c r="M689" i="19"/>
  <c r="M790" i="19"/>
  <c r="M104" i="19"/>
  <c r="M642" i="19"/>
  <c r="M29" i="19"/>
  <c r="M363" i="19"/>
  <c r="M778" i="19"/>
  <c r="M209" i="19"/>
  <c r="M690" i="19"/>
  <c r="M496" i="19"/>
  <c r="M753" i="19"/>
  <c r="M754" i="19"/>
  <c r="M997" i="19"/>
  <c r="M483" i="19"/>
  <c r="M148" i="19"/>
  <c r="M226" i="19"/>
  <c r="M128" i="19"/>
  <c r="M564" i="19"/>
  <c r="M601" i="19"/>
  <c r="M261" i="19"/>
  <c r="M448" i="19"/>
  <c r="M660" i="19"/>
  <c r="M557" i="19"/>
  <c r="M124" i="19"/>
  <c r="M849" i="19"/>
  <c r="M563" i="19"/>
  <c r="M174" i="19"/>
  <c r="M768" i="19"/>
  <c r="M798" i="19"/>
  <c r="M858" i="19"/>
  <c r="M271" i="19"/>
  <c r="M98" i="19"/>
  <c r="M839" i="19"/>
  <c r="M256" i="19"/>
  <c r="M270" i="19"/>
  <c r="M885" i="19"/>
  <c r="M308" i="19"/>
  <c r="M430" i="19"/>
  <c r="M111" i="19"/>
  <c r="M302" i="19"/>
  <c r="M252" i="19"/>
  <c r="M582" i="19"/>
  <c r="M907" i="19"/>
  <c r="M425" i="19"/>
  <c r="M130" i="19"/>
  <c r="M981" i="19"/>
  <c r="M682" i="19"/>
  <c r="M770" i="19"/>
  <c r="M677" i="19"/>
  <c r="M70" i="19"/>
  <c r="M480" i="19"/>
  <c r="M435" i="19"/>
  <c r="M193" i="19"/>
  <c r="M194" i="19"/>
  <c r="M787" i="19"/>
  <c r="M428" i="19"/>
  <c r="M688" i="19"/>
  <c r="M182" i="19"/>
  <c r="M409" i="19"/>
  <c r="M176" i="19"/>
  <c r="M269" i="19"/>
  <c r="M343" i="19"/>
  <c r="M287" i="19"/>
  <c r="M664" i="19"/>
  <c r="M497" i="19"/>
  <c r="M539" i="19"/>
  <c r="M635" i="19"/>
  <c r="M92" i="19"/>
  <c r="M141" i="19"/>
  <c r="M802" i="19"/>
  <c r="M678" i="19"/>
  <c r="M275" i="19"/>
  <c r="M276" i="19"/>
  <c r="M263" i="19"/>
  <c r="M979" i="19"/>
  <c r="M394" i="19"/>
  <c r="M450" i="19"/>
  <c r="M952" i="19"/>
  <c r="M84" i="19"/>
  <c r="M347" i="19"/>
  <c r="M487" i="19"/>
  <c r="M313" i="19"/>
  <c r="M819" i="19"/>
  <c r="M407" i="19"/>
  <c r="M427" i="19"/>
  <c r="M527" i="19"/>
  <c r="M466" i="19"/>
  <c r="M516" i="19"/>
  <c r="M140" i="19"/>
  <c r="M139" i="19"/>
  <c r="M142" i="19"/>
  <c r="M143" i="19"/>
  <c r="M144" i="19"/>
  <c r="M145" i="19"/>
  <c r="M816" i="19"/>
  <c r="M177" i="19"/>
  <c r="M365" i="19"/>
  <c r="M698" i="19"/>
  <c r="M992" i="19"/>
  <c r="M212" i="19"/>
  <c r="M525" i="19"/>
  <c r="M101" i="19"/>
  <c r="M999" i="19"/>
  <c r="M974" i="19"/>
  <c r="M190" i="19"/>
  <c r="M859" i="19"/>
  <c r="M745" i="19"/>
  <c r="M283" i="19"/>
  <c r="M186" i="19"/>
  <c r="M841" i="19"/>
  <c r="M210" i="19"/>
  <c r="M536" i="19"/>
  <c r="M625" i="19"/>
  <c r="M187" i="19"/>
  <c r="M500" i="19"/>
  <c r="M265" i="19"/>
  <c r="M192" i="19"/>
  <c r="M560" i="19"/>
  <c r="M346" i="19"/>
  <c r="M794" i="19"/>
  <c r="M571" i="19"/>
  <c r="M206" i="19"/>
  <c r="M611" i="19"/>
  <c r="M8" i="19"/>
  <c r="M453" i="19"/>
  <c r="M643" i="19"/>
  <c r="M644" i="19"/>
  <c r="M273" i="19"/>
  <c r="M641" i="19"/>
  <c r="M170" i="19"/>
  <c r="M507" i="19"/>
  <c r="M645" i="19"/>
  <c r="M646" i="19"/>
  <c r="M737" i="19"/>
  <c r="M954" i="19"/>
  <c r="L41" i="19"/>
  <c r="Q41" i="19" s="1" a="1"/>
  <c r="Q41" i="19" s="1"/>
  <c r="L488" i="19"/>
  <c r="Q488" i="19" s="1" a="1"/>
  <c r="Q488" i="19" s="1"/>
  <c r="L197" i="19"/>
  <c r="Q197" i="19" s="1" a="1"/>
  <c r="Q197" i="19" s="1"/>
  <c r="L198" i="19"/>
  <c r="Q198" i="19" s="1" a="1"/>
  <c r="Q198" i="19" s="1"/>
  <c r="L115" i="19"/>
  <c r="Q115" i="19" s="1" a="1"/>
  <c r="Q115" i="19" s="1"/>
  <c r="L863" i="19"/>
  <c r="Q863" i="19" s="1" a="1"/>
  <c r="Q863" i="19" s="1"/>
  <c r="L673" i="19"/>
  <c r="Q673" i="19" s="1" a="1"/>
  <c r="Q673" i="19" s="1"/>
  <c r="L426" i="19"/>
  <c r="Q426" i="19" s="1" a="1"/>
  <c r="Q426" i="19" s="1"/>
  <c r="L824" i="19"/>
  <c r="Q824" i="19" s="1" a="1"/>
  <c r="Q824" i="19" s="1"/>
  <c r="L361" i="19"/>
  <c r="Q361" i="19" s="1" a="1"/>
  <c r="Q361" i="19" s="1"/>
  <c r="L309" i="19"/>
  <c r="Q309" i="19" s="1" a="1"/>
  <c r="Q309" i="19" s="1"/>
  <c r="L828" i="19"/>
  <c r="Q828" i="19" s="1" a="1"/>
  <c r="Q828" i="19" s="1"/>
  <c r="L911" i="19"/>
  <c r="Q911" i="19" s="1" a="1"/>
  <c r="Q911" i="19" s="1"/>
  <c r="L767" i="19"/>
  <c r="Q767" i="19" s="1" a="1"/>
  <c r="Q767" i="19" s="1"/>
  <c r="L607" i="19"/>
  <c r="Q607" i="19" s="1" a="1"/>
  <c r="Q607" i="19" s="1"/>
  <c r="L685" i="19"/>
  <c r="Q685" i="19" s="1" a="1"/>
  <c r="Q685" i="19" s="1"/>
  <c r="L815" i="19"/>
  <c r="Q815" i="19" s="1" a="1"/>
  <c r="Q815" i="19" s="1"/>
  <c r="L762" i="19"/>
  <c r="Q762" i="19" s="1" a="1"/>
  <c r="Q762" i="19" s="1"/>
  <c r="L85" i="19"/>
  <c r="Q85" i="19" s="1" a="1"/>
  <c r="Q85" i="19" s="1"/>
  <c r="L86" i="19"/>
  <c r="Q86" i="19" s="1" a="1"/>
  <c r="Q86" i="19" s="1"/>
  <c r="L89" i="19"/>
  <c r="Q89" i="19" s="1" a="1"/>
  <c r="Q89" i="19" s="1"/>
  <c r="L59" i="19"/>
  <c r="Q59" i="19" s="1" a="1"/>
  <c r="Q59" i="19" s="1"/>
  <c r="L471" i="19"/>
  <c r="Q471" i="19" s="1" a="1"/>
  <c r="Q471" i="19" s="1"/>
  <c r="L200" i="19"/>
  <c r="Q200" i="19" s="1" a="1"/>
  <c r="Q200" i="19" s="1"/>
  <c r="L243" i="19"/>
  <c r="Q243" i="19" s="1" a="1"/>
  <c r="Q243" i="19" s="1"/>
  <c r="L851" i="19"/>
  <c r="Q851" i="19" s="1" a="1"/>
  <c r="Q851" i="19" s="1"/>
  <c r="L959" i="19"/>
  <c r="Q959" i="19" s="1" a="1"/>
  <c r="Q959" i="19" s="1"/>
  <c r="L925" i="19"/>
  <c r="Q925" i="19" s="1" a="1"/>
  <c r="Q925" i="19" s="1"/>
  <c r="L700" i="19"/>
  <c r="Q700" i="19" s="1" a="1"/>
  <c r="Q700" i="19" s="1"/>
  <c r="L15" i="19"/>
  <c r="Q15" i="19" s="1" a="1"/>
  <c r="Q15" i="19" s="1"/>
  <c r="L16" i="19"/>
  <c r="Q16" i="19" s="1" a="1"/>
  <c r="Q16" i="19" s="1"/>
  <c r="L17" i="19"/>
  <c r="Q17" i="19" s="1" a="1"/>
  <c r="Q17" i="19" s="1"/>
  <c r="L388" i="19"/>
  <c r="Q388" i="19" s="1" a="1"/>
  <c r="Q388" i="19" s="1"/>
  <c r="L942" i="19"/>
  <c r="Q942" i="19" s="1" a="1"/>
  <c r="Q942" i="19" s="1"/>
  <c r="L345" i="19"/>
  <c r="Q345" i="19" s="1" a="1"/>
  <c r="Q345" i="19" s="1"/>
  <c r="L1001" i="19"/>
  <c r="Q1001" i="19" s="1" a="1"/>
  <c r="Q1001" i="19" s="1"/>
  <c r="L881" i="19"/>
  <c r="Q881" i="19" s="1" a="1"/>
  <c r="Q881" i="19" s="1"/>
  <c r="L304" i="19"/>
  <c r="Q304" i="19" s="1" a="1"/>
  <c r="Q304" i="19" s="1"/>
  <c r="L461" i="19"/>
  <c r="Q461" i="19" s="1" a="1"/>
  <c r="Q461" i="19" s="1"/>
  <c r="L514" i="19"/>
  <c r="Q514" i="19" s="1" a="1"/>
  <c r="Q514" i="19" s="1"/>
  <c r="L610" i="19"/>
  <c r="Q610" i="19" s="1" a="1"/>
  <c r="Q610" i="19" s="1"/>
  <c r="L4" i="19"/>
  <c r="Q4" i="19" s="1" a="1"/>
  <c r="Q4" i="19" s="1"/>
  <c r="L665" i="19"/>
  <c r="Q665" i="19" s="1" a="1"/>
  <c r="Q665" i="19" s="1"/>
  <c r="L751" i="19"/>
  <c r="Q751" i="19" s="1" a="1"/>
  <c r="Q751" i="19" s="1"/>
  <c r="L776" i="19"/>
  <c r="Q776" i="19" s="1" a="1"/>
  <c r="Q776" i="19" s="1"/>
  <c r="L296" i="19"/>
  <c r="Q296" i="19" s="1" a="1"/>
  <c r="Q296" i="19" s="1"/>
  <c r="L74" i="19"/>
  <c r="Q74" i="19" s="1" a="1"/>
  <c r="Q74" i="19" s="1"/>
  <c r="L800" i="19"/>
  <c r="Q800" i="19" s="1" a="1"/>
  <c r="Q800" i="19" s="1"/>
  <c r="L481" i="19"/>
  <c r="Q481" i="19" s="1" a="1"/>
  <c r="Q481" i="19" s="1"/>
  <c r="L469" i="19"/>
  <c r="Q469" i="19" s="1" a="1"/>
  <c r="Q469" i="19" s="1"/>
  <c r="L545" i="19"/>
  <c r="Q545" i="19" s="1" a="1"/>
  <c r="Q545" i="19" s="1"/>
  <c r="L436" i="19"/>
  <c r="Q436" i="19" s="1" a="1"/>
  <c r="Q436" i="19" s="1"/>
  <c r="L437" i="19"/>
  <c r="Q437" i="19" s="1" a="1"/>
  <c r="Q437" i="19" s="1"/>
  <c r="L73" i="19"/>
  <c r="Q73" i="19" s="1" a="1"/>
  <c r="Q73" i="19" s="1"/>
  <c r="L842" i="19"/>
  <c r="Q842" i="19" s="1" a="1"/>
  <c r="Q842" i="19" s="1"/>
  <c r="L922" i="19"/>
  <c r="Q922" i="19" s="1" a="1"/>
  <c r="Q922" i="19" s="1"/>
  <c r="L832" i="19"/>
  <c r="Q832" i="19" s="1" a="1"/>
  <c r="Q832" i="19" s="1"/>
  <c r="L975" i="19"/>
  <c r="Q975" i="19" s="1" a="1"/>
  <c r="Q975" i="19" s="1"/>
  <c r="L894" i="19"/>
  <c r="Q894" i="19" s="1" a="1"/>
  <c r="Q894" i="19" s="1"/>
  <c r="L236" i="19"/>
  <c r="Q236" i="19" s="1" a="1"/>
  <c r="Q236" i="19" s="1"/>
  <c r="L763" i="19"/>
  <c r="Q763" i="19" s="1" a="1"/>
  <c r="Q763" i="19" s="1"/>
  <c r="L744" i="19"/>
  <c r="Q744" i="19" s="1" a="1"/>
  <c r="Q744" i="19" s="1"/>
  <c r="L61" i="19"/>
  <c r="Q61" i="19" s="1" a="1"/>
  <c r="Q61" i="19" s="1"/>
  <c r="L353" i="19"/>
  <c r="Q353" i="19" s="1" a="1"/>
  <c r="Q353" i="19" s="1"/>
  <c r="L56" i="19"/>
  <c r="Q56" i="19" s="1" a="1"/>
  <c r="Q56" i="19" s="1"/>
  <c r="L107" i="19"/>
  <c r="Q107" i="19" s="1" a="1"/>
  <c r="Q107" i="19" s="1"/>
  <c r="L712" i="19"/>
  <c r="Q712" i="19" s="1" a="1"/>
  <c r="Q712" i="19" s="1"/>
  <c r="L441" i="19"/>
  <c r="Q441" i="19" s="1" a="1"/>
  <c r="Q441" i="19" s="1"/>
  <c r="L392" i="19"/>
  <c r="Q392" i="19" s="1" a="1"/>
  <c r="Q392" i="19" s="1"/>
  <c r="L857" i="19"/>
  <c r="Q857" i="19" s="1" a="1"/>
  <c r="Q857" i="19" s="1"/>
  <c r="L872" i="19"/>
  <c r="Q872" i="19" s="1" a="1"/>
  <c r="Q872" i="19" s="1"/>
  <c r="L88" i="19"/>
  <c r="Q88" i="19" s="1" a="1"/>
  <c r="Q88" i="19" s="1"/>
  <c r="L33" i="19"/>
  <c r="Q33" i="19" s="1" a="1"/>
  <c r="Q33" i="19" s="1"/>
  <c r="L508" i="19"/>
  <c r="Q508" i="19" s="1" a="1"/>
  <c r="Q508" i="19" s="1"/>
  <c r="L562" i="19"/>
  <c r="Q562" i="19" s="1" a="1"/>
  <c r="Q562" i="19" s="1"/>
  <c r="L668" i="19"/>
  <c r="Q668" i="19" s="1" a="1"/>
  <c r="Q668" i="19" s="1"/>
  <c r="L221" i="19"/>
  <c r="Q221" i="19" s="1" a="1"/>
  <c r="Q221" i="19" s="1"/>
  <c r="L613" i="19"/>
  <c r="Q613" i="19" s="1" a="1"/>
  <c r="Q613" i="19" s="1"/>
  <c r="L213" i="19"/>
  <c r="Q213" i="19" s="1" a="1"/>
  <c r="Q213" i="19" s="1"/>
  <c r="L48" i="19"/>
  <c r="Q48" i="19" s="1" a="1"/>
  <c r="Q48" i="19" s="1"/>
  <c r="L868" i="19"/>
  <c r="Q868" i="19" s="1" a="1"/>
  <c r="Q868" i="19" s="1"/>
  <c r="L151" i="19"/>
  <c r="Q151" i="19" s="1" a="1"/>
  <c r="Q151" i="19" s="1"/>
  <c r="L431" i="19"/>
  <c r="Q431" i="19" s="1" a="1"/>
  <c r="Q431" i="19" s="1"/>
  <c r="L993" i="19"/>
  <c r="Q993" i="19" s="1" a="1"/>
  <c r="Q993" i="19" s="1"/>
  <c r="L503" i="19"/>
  <c r="Q503" i="19" s="1" a="1"/>
  <c r="Q503" i="19" s="1"/>
  <c r="L504" i="19"/>
  <c r="Q504" i="19" s="1" a="1"/>
  <c r="Q504" i="19" s="1"/>
  <c r="L105" i="19"/>
  <c r="Q105" i="19" s="1" a="1"/>
  <c r="Q105" i="19" s="1"/>
  <c r="L320" i="19"/>
  <c r="Q320" i="19" s="1" a="1"/>
  <c r="Q320" i="19" s="1"/>
  <c r="L932" i="19"/>
  <c r="Q932" i="19" s="1" a="1"/>
  <c r="Q932" i="19" s="1"/>
  <c r="L615" i="19"/>
  <c r="Q615" i="19" s="1" a="1"/>
  <c r="Q615" i="19" s="1"/>
  <c r="L11" i="19"/>
  <c r="Q11" i="19" s="1" a="1"/>
  <c r="Q11" i="19" s="1"/>
  <c r="L432" i="19"/>
  <c r="Q432" i="19" s="1" a="1"/>
  <c r="Q432" i="19" s="1"/>
  <c r="L324" i="19"/>
  <c r="Q324" i="19" s="1" a="1"/>
  <c r="Q324" i="19" s="1"/>
  <c r="L834" i="19"/>
  <c r="Q834" i="19" s="1" a="1"/>
  <c r="Q834" i="19" s="1"/>
  <c r="L746" i="19"/>
  <c r="Q746" i="19" s="1" a="1"/>
  <c r="Q746" i="19" s="1"/>
  <c r="L953" i="19"/>
  <c r="Q953" i="19" s="1" a="1"/>
  <c r="Q953" i="19" s="1"/>
  <c r="L465" i="19"/>
  <c r="Q465" i="19" s="1" a="1"/>
  <c r="Q465" i="19" s="1"/>
  <c r="L838" i="19"/>
  <c r="Q838" i="19" s="1" a="1"/>
  <c r="Q838" i="19" s="1"/>
  <c r="L81" i="19"/>
  <c r="Q81" i="19" s="1" a="1"/>
  <c r="Q81" i="19" s="1"/>
  <c r="L833" i="19"/>
  <c r="Q833" i="19" s="1" a="1"/>
  <c r="Q833" i="19" s="1"/>
  <c r="L731" i="19"/>
  <c r="Q731" i="19" s="1" a="1"/>
  <c r="Q731" i="19" s="1"/>
  <c r="L310" i="19"/>
  <c r="Q310" i="19" s="1" a="1"/>
  <c r="Q310" i="19" s="1"/>
  <c r="L136" i="19"/>
  <c r="Q136" i="19" s="1" a="1"/>
  <c r="Q136" i="19" s="1"/>
  <c r="L329" i="19"/>
  <c r="Q329" i="19" s="1" a="1"/>
  <c r="Q329" i="19" s="1"/>
  <c r="L785" i="19"/>
  <c r="Q785" i="19" s="1" a="1"/>
  <c r="Q785" i="19" s="1"/>
  <c r="L600" i="19"/>
  <c r="Q600" i="19" s="1" a="1"/>
  <c r="Q600" i="19" s="1"/>
  <c r="L772" i="19"/>
  <c r="Q772" i="19" s="1" a="1"/>
  <c r="Q772" i="19" s="1"/>
  <c r="L478" i="19"/>
  <c r="Q478" i="19" s="1" a="1"/>
  <c r="Q478" i="19" s="1"/>
  <c r="L918" i="19"/>
  <c r="Q918" i="19" s="1" a="1"/>
  <c r="Q918" i="19" s="1"/>
  <c r="L648" i="19"/>
  <c r="Q648" i="19" s="1" a="1"/>
  <c r="Q648" i="19" s="1"/>
  <c r="L120" i="19"/>
  <c r="Q120" i="19" s="1" a="1"/>
  <c r="Q120" i="19" s="1"/>
  <c r="L861" i="19"/>
  <c r="Q861" i="19" s="1" a="1"/>
  <c r="Q861" i="19" s="1"/>
  <c r="L676" i="19"/>
  <c r="Q676" i="19" s="1" a="1"/>
  <c r="Q676" i="19" s="1"/>
  <c r="L163" i="19"/>
  <c r="Q163" i="19" s="1" a="1"/>
  <c r="Q163" i="19" s="1"/>
  <c r="L467" i="19"/>
  <c r="Q467" i="19" s="1" a="1"/>
  <c r="Q467" i="19" s="1"/>
  <c r="L393" i="19"/>
  <c r="Q393" i="19" s="1" a="1"/>
  <c r="Q393" i="19" s="1"/>
  <c r="L150" i="19"/>
  <c r="Q150" i="19" s="1" a="1"/>
  <c r="Q150" i="19" s="1"/>
  <c r="L701" i="19"/>
  <c r="Q701" i="19" s="1" a="1"/>
  <c r="Q701" i="19" s="1"/>
  <c r="L227" i="19"/>
  <c r="Q227" i="19" s="1" a="1"/>
  <c r="Q227" i="19" s="1"/>
  <c r="L228" i="19"/>
  <c r="Q228" i="19" s="1" a="1"/>
  <c r="Q228" i="19" s="1"/>
  <c r="L229" i="19"/>
  <c r="Q229" i="19" s="1" a="1"/>
  <c r="Q229" i="19" s="1"/>
  <c r="L632" i="19"/>
  <c r="Q632" i="19" s="1" a="1"/>
  <c r="Q632" i="19" s="1"/>
  <c r="L285" i="19"/>
  <c r="Q285" i="19" s="1" a="1"/>
  <c r="Q285" i="19" s="1"/>
  <c r="L893" i="19"/>
  <c r="Q893" i="19" s="1" a="1"/>
  <c r="Q893" i="19" s="1"/>
  <c r="L899" i="19"/>
  <c r="Q899" i="19" s="1" a="1"/>
  <c r="Q899" i="19" s="1"/>
  <c r="L456" i="19"/>
  <c r="Q456" i="19" s="1" a="1"/>
  <c r="Q456" i="19" s="1"/>
  <c r="L793" i="19"/>
  <c r="Q793" i="19" s="1" a="1"/>
  <c r="Q793" i="19" s="1"/>
  <c r="L928" i="19"/>
  <c r="Q928" i="19" s="1" a="1"/>
  <c r="Q928" i="19" s="1"/>
  <c r="L342" i="19"/>
  <c r="Q342" i="19" s="1" a="1"/>
  <c r="Q342" i="19" s="1"/>
  <c r="L121" i="19"/>
  <c r="Q121" i="19" s="1" a="1"/>
  <c r="Q121" i="19" s="1"/>
  <c r="L132" i="19"/>
  <c r="Q132" i="19" s="1" a="1"/>
  <c r="Q132" i="19" s="1"/>
  <c r="L759" i="19"/>
  <c r="Q759" i="19" s="1" a="1"/>
  <c r="Q759" i="19" s="1"/>
  <c r="L761" i="19"/>
  <c r="Q761" i="19" s="1" a="1"/>
  <c r="Q761" i="19" s="1"/>
  <c r="L344" i="19"/>
  <c r="Q344" i="19" s="1" a="1"/>
  <c r="Q344" i="19" s="1"/>
  <c r="L125" i="19"/>
  <c r="Q125" i="19" s="1" a="1"/>
  <c r="Q125" i="19" s="1"/>
  <c r="L614" i="19"/>
  <c r="Q614" i="19" s="1" a="1"/>
  <c r="Q614" i="19" s="1"/>
  <c r="L322" i="19"/>
  <c r="Q322" i="19" s="1" a="1"/>
  <c r="Q322" i="19" s="1"/>
  <c r="L5" i="19"/>
  <c r="Q5" i="19" s="1" a="1"/>
  <c r="Q5" i="19" s="1"/>
  <c r="L821" i="19"/>
  <c r="Q821" i="19" s="1" a="1"/>
  <c r="Q821" i="19" s="1"/>
  <c r="L946" i="19"/>
  <c r="Q946" i="19" s="1" a="1"/>
  <c r="Q946" i="19" s="1"/>
  <c r="L135" i="19"/>
  <c r="Q135" i="19" s="1" a="1"/>
  <c r="Q135" i="19" s="1"/>
  <c r="L534" i="19"/>
  <c r="Q534" i="19" s="1" a="1"/>
  <c r="Q534" i="19" s="1"/>
  <c r="L260" i="19"/>
  <c r="Q260" i="19" s="1" a="1"/>
  <c r="Q260" i="19" s="1"/>
  <c r="L982" i="19"/>
  <c r="Q982" i="19" s="1" a="1"/>
  <c r="Q982" i="19" s="1"/>
  <c r="L760" i="19"/>
  <c r="Q760" i="19" s="1" a="1"/>
  <c r="Q760" i="19" s="1"/>
  <c r="L594" i="19"/>
  <c r="Q594" i="19" s="1" a="1"/>
  <c r="Q594" i="19" s="1"/>
  <c r="L595" i="19"/>
  <c r="Q595" i="19" s="1" a="1"/>
  <c r="Q595" i="19" s="1"/>
  <c r="L398" i="19"/>
  <c r="Q398" i="19" s="1" a="1"/>
  <c r="Q398" i="19" s="1"/>
  <c r="L396" i="19"/>
  <c r="Q396" i="19" s="1" a="1"/>
  <c r="Q396" i="19" s="1"/>
  <c r="L484" i="19"/>
  <c r="Q484" i="19" s="1" a="1"/>
  <c r="Q484" i="19" s="1"/>
  <c r="L788" i="19"/>
  <c r="Q788" i="19" s="1" a="1"/>
  <c r="Q788" i="19" s="1"/>
  <c r="L119" i="19"/>
  <c r="Q119" i="19" s="1" a="1"/>
  <c r="Q119" i="19" s="1"/>
  <c r="L455" i="19"/>
  <c r="Q455" i="19" s="1" a="1"/>
  <c r="Q455" i="19" s="1"/>
  <c r="L523" i="19"/>
  <c r="Q523" i="19" s="1" a="1"/>
  <c r="Q523" i="19" s="1"/>
  <c r="L421" i="19"/>
  <c r="Q421" i="19" s="1" a="1"/>
  <c r="Q421" i="19" s="1"/>
  <c r="L362" i="19"/>
  <c r="Q362" i="19" s="1" a="1"/>
  <c r="Q362" i="19" s="1"/>
  <c r="L771" i="19"/>
  <c r="Q771" i="19" s="1" a="1"/>
  <c r="Q771" i="19" s="1"/>
  <c r="L848" i="19"/>
  <c r="Q848" i="19" s="1" a="1"/>
  <c r="Q848" i="19" s="1"/>
  <c r="L28" i="19"/>
  <c r="Q28" i="19" s="1" a="1"/>
  <c r="Q28" i="19" s="1"/>
  <c r="L542" i="19"/>
  <c r="Q542" i="19" s="1" a="1"/>
  <c r="Q542" i="19" s="1"/>
  <c r="L596" i="19"/>
  <c r="Q596" i="19" s="1" a="1"/>
  <c r="Q596" i="19" s="1"/>
  <c r="L307" i="19"/>
  <c r="Q307" i="19" s="1" a="1"/>
  <c r="Q307" i="19" s="1"/>
  <c r="L397" i="19"/>
  <c r="Q397" i="19" s="1" a="1"/>
  <c r="Q397" i="19" s="1"/>
  <c r="L204" i="19"/>
  <c r="Q204" i="19" s="1" a="1"/>
  <c r="Q204" i="19" s="1"/>
  <c r="L681" i="19"/>
  <c r="Q681" i="19" s="1" a="1"/>
  <c r="Q681" i="19" s="1"/>
  <c r="L869" i="19"/>
  <c r="Q869" i="19" s="1" a="1"/>
  <c r="Q869" i="19" s="1"/>
  <c r="L903" i="19"/>
  <c r="Q903" i="19" s="1" a="1"/>
  <c r="Q903" i="19" s="1"/>
  <c r="L895" i="19"/>
  <c r="Q895" i="19" s="1" a="1"/>
  <c r="Q895" i="19" s="1"/>
  <c r="L357" i="19"/>
  <c r="Q357" i="19" s="1" a="1"/>
  <c r="Q357" i="19" s="1"/>
  <c r="L856" i="19"/>
  <c r="Q856" i="19" s="1" a="1"/>
  <c r="Q856" i="19" s="1"/>
  <c r="L686" i="19"/>
  <c r="Q686" i="19" s="1" a="1"/>
  <c r="Q686" i="19" s="1"/>
  <c r="L96" i="19"/>
  <c r="Q96" i="19" s="1" a="1"/>
  <c r="Q96" i="19" s="1"/>
  <c r="L752" i="19"/>
  <c r="Q752" i="19" s="1" a="1"/>
  <c r="Q752" i="19" s="1"/>
  <c r="L326" i="19"/>
  <c r="Q326" i="19" s="1" a="1"/>
  <c r="Q326" i="19" s="1"/>
  <c r="L339" i="19"/>
  <c r="Q339" i="19" s="1" a="1"/>
  <c r="Q339" i="19" s="1"/>
  <c r="L750" i="19"/>
  <c r="Q750" i="19" s="1" a="1"/>
  <c r="Q750" i="19" s="1"/>
  <c r="L330" i="19"/>
  <c r="Q330" i="19" s="1" a="1"/>
  <c r="Q330" i="19" s="1"/>
  <c r="L547" i="19"/>
  <c r="Q547" i="19" s="1" a="1"/>
  <c r="Q547" i="19" s="1"/>
  <c r="L926" i="19"/>
  <c r="Q926" i="19" s="1" a="1"/>
  <c r="Q926" i="19" s="1"/>
  <c r="L6" i="19"/>
  <c r="Q6" i="19" s="1" a="1"/>
  <c r="Q6" i="19" s="1"/>
  <c r="L7" i="19"/>
  <c r="Q7" i="19" s="1" a="1"/>
  <c r="Q7" i="19" s="1"/>
  <c r="L64" i="19"/>
  <c r="Q64" i="19" s="1" a="1"/>
  <c r="Q64" i="19" s="1"/>
  <c r="L933" i="19"/>
  <c r="Q933" i="19" s="1" a="1"/>
  <c r="Q933" i="19" s="1"/>
  <c r="L476" i="19"/>
  <c r="Q476" i="19" s="1" a="1"/>
  <c r="Q476" i="19" s="1"/>
  <c r="L57" i="19"/>
  <c r="Q57" i="19" s="1" a="1"/>
  <c r="Q57" i="19" s="1"/>
  <c r="L694" i="19"/>
  <c r="Q694" i="19" s="1" a="1"/>
  <c r="Q694" i="19" s="1"/>
  <c r="L583" i="19"/>
  <c r="Q583" i="19" s="1" a="1"/>
  <c r="Q583" i="19" s="1"/>
  <c r="L80" i="19"/>
  <c r="Q80" i="19" s="1" a="1"/>
  <c r="Q80" i="19" s="1"/>
  <c r="L152" i="19"/>
  <c r="Q152" i="19" s="1" a="1"/>
  <c r="Q152" i="19" s="1"/>
  <c r="L627" i="19"/>
  <c r="Q627" i="19" s="1" a="1"/>
  <c r="Q627" i="19" s="1"/>
  <c r="L35" i="19"/>
  <c r="Q35" i="19" s="1" a="1"/>
  <c r="Q35" i="19" s="1"/>
  <c r="L779" i="19"/>
  <c r="Q779" i="19" s="1" a="1"/>
  <c r="Q779" i="19" s="1"/>
  <c r="L561" i="19"/>
  <c r="Q561" i="19" s="1" a="1"/>
  <c r="Q561" i="19" s="1"/>
  <c r="L331" i="19"/>
  <c r="Q331" i="19" s="1" a="1"/>
  <c r="Q331" i="19" s="1"/>
  <c r="L655" i="19"/>
  <c r="Q655" i="19" s="1" a="1"/>
  <c r="Q655" i="19" s="1"/>
  <c r="L718" i="19"/>
  <c r="Q718" i="19" s="1" a="1"/>
  <c r="Q718" i="19" s="1"/>
  <c r="L719" i="19"/>
  <c r="Q719" i="19" s="1" a="1"/>
  <c r="Q719" i="19" s="1"/>
  <c r="L720" i="19"/>
  <c r="Q720" i="19" s="1" a="1"/>
  <c r="Q720" i="19" s="1"/>
  <c r="L721" i="19"/>
  <c r="Q721" i="19" s="1" a="1"/>
  <c r="Q721" i="19" s="1"/>
  <c r="L722" i="19"/>
  <c r="Q722" i="19" s="1" a="1"/>
  <c r="Q722" i="19" s="1"/>
  <c r="L18" i="19"/>
  <c r="Q18" i="19" s="1" a="1"/>
  <c r="Q18" i="19" s="1"/>
  <c r="L902" i="19"/>
  <c r="Q902" i="19" s="1" a="1"/>
  <c r="Q902" i="19" s="1"/>
  <c r="L947" i="19"/>
  <c r="Q947" i="19" s="1" a="1"/>
  <c r="Q947" i="19" s="1"/>
  <c r="L847" i="19"/>
  <c r="Q847" i="19" s="1" a="1"/>
  <c r="Q847" i="19" s="1"/>
  <c r="L552" i="19"/>
  <c r="Q552" i="19" s="1" a="1"/>
  <c r="Q552" i="19" s="1"/>
  <c r="L725" i="19"/>
  <c r="Q725" i="19" s="1" a="1"/>
  <c r="Q725" i="19" s="1"/>
  <c r="L755" i="19"/>
  <c r="Q755" i="19" s="1" a="1"/>
  <c r="Q755" i="19" s="1"/>
  <c r="L225" i="19"/>
  <c r="Q225" i="19" s="1" a="1"/>
  <c r="Q225" i="19" s="1"/>
  <c r="L377" i="19"/>
  <c r="Q377" i="19" s="1" a="1"/>
  <c r="Q377" i="19" s="1"/>
  <c r="L66" i="19"/>
  <c r="Q66" i="19" s="1" a="1"/>
  <c r="Q66" i="19" s="1"/>
  <c r="L684" i="19"/>
  <c r="Q684" i="19" s="1" a="1"/>
  <c r="Q684" i="19" s="1"/>
  <c r="L246" i="19"/>
  <c r="Q246" i="19" s="1" a="1"/>
  <c r="Q246" i="19" s="1"/>
  <c r="L328" i="19"/>
  <c r="Q328" i="19" s="1" a="1"/>
  <c r="Q328" i="19" s="1"/>
  <c r="L702" i="19"/>
  <c r="Q702" i="19" s="1" a="1"/>
  <c r="Q702" i="19" s="1"/>
  <c r="L464" i="19"/>
  <c r="Q464" i="19" s="1" a="1"/>
  <c r="Q464" i="19" s="1"/>
  <c r="L31" i="19"/>
  <c r="Q31" i="19" s="1" a="1"/>
  <c r="Q31" i="19" s="1"/>
  <c r="L408" i="19"/>
  <c r="Q408" i="19" s="1" a="1"/>
  <c r="Q408" i="19" s="1"/>
  <c r="L810" i="19"/>
  <c r="Q810" i="19" s="1" a="1"/>
  <c r="Q810" i="19" s="1"/>
  <c r="L184" i="19"/>
  <c r="Q184" i="19" s="1" a="1"/>
  <c r="Q184" i="19" s="1"/>
  <c r="L185" i="19"/>
  <c r="Q185" i="19" s="1" a="1"/>
  <c r="Q185" i="19" s="1"/>
  <c r="L591" i="19"/>
  <c r="Q591" i="19" s="1" a="1"/>
  <c r="Q591" i="19" s="1"/>
  <c r="L965" i="19"/>
  <c r="Q965" i="19" s="1" a="1"/>
  <c r="Q965" i="19" s="1"/>
  <c r="L129" i="19"/>
  <c r="Q129" i="19" s="1" a="1"/>
  <c r="Q129" i="19" s="1"/>
  <c r="L555" i="19"/>
  <c r="Q555" i="19" s="1" a="1"/>
  <c r="Q555" i="19" s="1"/>
  <c r="L323" i="19"/>
  <c r="Q323" i="19" s="1" a="1"/>
  <c r="Q323" i="19" s="1"/>
  <c r="L51" i="19"/>
  <c r="Q51" i="19" s="1" a="1"/>
  <c r="Q51" i="19" s="1"/>
  <c r="L740" i="19"/>
  <c r="Q740" i="19" s="1" a="1"/>
  <c r="Q740" i="19" s="1"/>
  <c r="L106" i="19"/>
  <c r="Q106" i="19" s="1" a="1"/>
  <c r="Q106" i="19" s="1"/>
  <c r="L574" i="19"/>
  <c r="Q574" i="19" s="1" a="1"/>
  <c r="Q574" i="19" s="1"/>
  <c r="L782" i="19"/>
  <c r="Q782" i="19" s="1" a="1"/>
  <c r="Q782" i="19" s="1"/>
  <c r="L884" i="19"/>
  <c r="Q884" i="19" s="1" a="1"/>
  <c r="Q884" i="19" s="1"/>
  <c r="L224" i="19"/>
  <c r="Q224" i="19" s="1" a="1"/>
  <c r="Q224" i="19" s="1"/>
  <c r="L116" i="19"/>
  <c r="Q116" i="19" s="1" a="1"/>
  <c r="Q116" i="19" s="1"/>
  <c r="L930" i="19"/>
  <c r="Q930" i="19" s="1" a="1"/>
  <c r="Q930" i="19" s="1"/>
  <c r="L843" i="19"/>
  <c r="Q843" i="19" s="1" a="1"/>
  <c r="Q843" i="19" s="1"/>
  <c r="L160" i="19"/>
  <c r="Q160" i="19" s="1" a="1"/>
  <c r="Q160" i="19" s="1"/>
  <c r="L241" i="19"/>
  <c r="Q241" i="19" s="1" a="1"/>
  <c r="Q241" i="19" s="1"/>
  <c r="L380" i="19"/>
  <c r="Q380" i="19" s="1" a="1"/>
  <c r="Q380" i="19" s="1"/>
  <c r="L277" i="19"/>
  <c r="Q277" i="19" s="1" a="1"/>
  <c r="Q277" i="19" s="1"/>
  <c r="L216" i="19"/>
  <c r="Q216" i="19" s="1" a="1"/>
  <c r="Q216" i="19" s="1"/>
  <c r="L196" i="19"/>
  <c r="Q196" i="19" s="1" a="1"/>
  <c r="Q196" i="19" s="1"/>
  <c r="L873" i="19"/>
  <c r="Q873" i="19" s="1" a="1"/>
  <c r="Q873" i="19" s="1"/>
  <c r="L904" i="19"/>
  <c r="Q904" i="19" s="1" a="1"/>
  <c r="Q904" i="19" s="1"/>
  <c r="L316" i="19"/>
  <c r="Q316" i="19" s="1" a="1"/>
  <c r="Q316" i="19" s="1"/>
  <c r="L599" i="19"/>
  <c r="Q599" i="19" s="1" a="1"/>
  <c r="Q599" i="19" s="1"/>
  <c r="L395" i="19"/>
  <c r="Q395" i="19" s="1" a="1"/>
  <c r="Q395" i="19" s="1"/>
  <c r="L264" i="19"/>
  <c r="Q264" i="19" s="1" a="1"/>
  <c r="Q264" i="19" s="1"/>
  <c r="L620" i="19"/>
  <c r="Q620" i="19" s="1" a="1"/>
  <c r="Q620" i="19" s="1"/>
  <c r="L995" i="19"/>
  <c r="Q995" i="19" s="1" a="1"/>
  <c r="Q995" i="19" s="1"/>
  <c r="L674" i="19"/>
  <c r="Q674" i="19" s="1" a="1"/>
  <c r="Q674" i="19" s="1"/>
  <c r="L223" i="19"/>
  <c r="Q223" i="19" s="1" a="1"/>
  <c r="Q223" i="19" s="1"/>
  <c r="L278" i="19"/>
  <c r="Q278" i="19" s="1" a="1"/>
  <c r="Q278" i="19" s="1"/>
  <c r="L586" i="19"/>
  <c r="Q586" i="19" s="1" a="1"/>
  <c r="Q586" i="19" s="1"/>
  <c r="L829" i="19"/>
  <c r="Q829" i="19" s="1" a="1"/>
  <c r="Q829" i="19" s="1"/>
  <c r="L214" i="19"/>
  <c r="Q214" i="19" s="1" a="1"/>
  <c r="Q214" i="19" s="1"/>
  <c r="L996" i="19"/>
  <c r="Q996" i="19" s="1" a="1"/>
  <c r="Q996" i="19" s="1"/>
  <c r="L267" i="19"/>
  <c r="Q267" i="19" s="1" a="1"/>
  <c r="Q267" i="19" s="1"/>
  <c r="L215" i="19"/>
  <c r="Q215" i="19" s="1" a="1"/>
  <c r="Q215" i="19" s="1"/>
  <c r="L474" i="19"/>
  <c r="Q474" i="19" s="1" a="1"/>
  <c r="Q474" i="19" s="1"/>
  <c r="L905" i="19"/>
  <c r="Q905" i="19" s="1" a="1"/>
  <c r="Q905" i="19" s="1"/>
  <c r="L693" i="19"/>
  <c r="Q693" i="19" s="1" a="1"/>
  <c r="Q693" i="19" s="1"/>
  <c r="L501" i="19"/>
  <c r="Q501" i="19" s="1" a="1"/>
  <c r="Q501" i="19" s="1"/>
  <c r="L640" i="19"/>
  <c r="Q640" i="19" s="1" a="1"/>
  <c r="Q640" i="19" s="1"/>
  <c r="L71" i="19"/>
  <c r="Q71" i="19" s="1" a="1"/>
  <c r="Q71" i="19" s="1"/>
  <c r="L957" i="19"/>
  <c r="Q957" i="19" s="1" a="1"/>
  <c r="Q957" i="19" s="1"/>
  <c r="L704" i="19"/>
  <c r="Q704" i="19" s="1" a="1"/>
  <c r="Q704" i="19" s="1"/>
  <c r="L878" i="19"/>
  <c r="Q878" i="19" s="1" a="1"/>
  <c r="Q878" i="19" s="1"/>
  <c r="L65" i="19"/>
  <c r="Q65" i="19" s="1" a="1"/>
  <c r="Q65" i="19" s="1"/>
  <c r="L692" i="19"/>
  <c r="Q692" i="19" s="1" a="1"/>
  <c r="Q692" i="19" s="1"/>
  <c r="L93" i="19"/>
  <c r="Q93" i="19" s="1" a="1"/>
  <c r="Q93" i="19" s="1"/>
  <c r="L499" i="19"/>
  <c r="Q499" i="19" s="1" a="1"/>
  <c r="Q499" i="19" s="1"/>
  <c r="L994" i="19"/>
  <c r="Q994" i="19" s="1" a="1"/>
  <c r="Q994" i="19" s="1"/>
  <c r="L967" i="19"/>
  <c r="Q967" i="19" s="1" a="1"/>
  <c r="Q967" i="19" s="1"/>
  <c r="L297" i="19"/>
  <c r="Q297" i="19" s="1" a="1"/>
  <c r="Q297" i="19" s="1"/>
  <c r="L908" i="19"/>
  <c r="Q908" i="19" s="1" a="1"/>
  <c r="Q908" i="19" s="1"/>
  <c r="L300" i="19"/>
  <c r="Q300" i="19" s="1" a="1"/>
  <c r="Q300" i="19" s="1"/>
  <c r="L424" i="19"/>
  <c r="Q424" i="19" s="1" a="1"/>
  <c r="Q424" i="19" s="1"/>
  <c r="L332" i="19"/>
  <c r="Q332" i="19" s="1" a="1"/>
  <c r="Q332" i="19" s="1"/>
  <c r="L766" i="19"/>
  <c r="Q766" i="19" s="1" a="1"/>
  <c r="Q766" i="19" s="1"/>
  <c r="L199" i="19"/>
  <c r="Q199" i="19" s="1" a="1"/>
  <c r="Q199" i="19" s="1"/>
  <c r="L544" i="19"/>
  <c r="Q544" i="19" s="1" a="1"/>
  <c r="Q544" i="19" s="1"/>
  <c r="L366" i="19"/>
  <c r="Q366" i="19" s="1" a="1"/>
  <c r="Q366" i="19" s="1"/>
  <c r="L50" i="19"/>
  <c r="Q50" i="19" s="1" a="1"/>
  <c r="Q50" i="19" s="1"/>
  <c r="L708" i="19"/>
  <c r="Q708" i="19" s="1" a="1"/>
  <c r="Q708" i="19" s="1"/>
  <c r="L622" i="19"/>
  <c r="Q622" i="19" s="1" a="1"/>
  <c r="Q622" i="19" s="1"/>
  <c r="L153" i="19"/>
  <c r="Q153" i="19" s="1" a="1"/>
  <c r="Q153" i="19" s="1"/>
  <c r="L554" i="19"/>
  <c r="Q554" i="19" s="1" a="1"/>
  <c r="Q554" i="19" s="1"/>
  <c r="L663" i="19"/>
  <c r="Q663" i="19" s="1" a="1"/>
  <c r="Q663" i="19" s="1"/>
  <c r="L657" i="19"/>
  <c r="Q657" i="19" s="1" a="1"/>
  <c r="Q657" i="19" s="1"/>
  <c r="L289" i="19"/>
  <c r="Q289" i="19" s="1" a="1"/>
  <c r="Q289" i="19" s="1"/>
  <c r="L956" i="19"/>
  <c r="Q956" i="19" s="1" a="1"/>
  <c r="Q956" i="19" s="1"/>
  <c r="L479" i="19"/>
  <c r="Q479" i="19" s="1" a="1"/>
  <c r="Q479" i="19" s="1"/>
  <c r="L168" i="19"/>
  <c r="Q168" i="19" s="1" a="1"/>
  <c r="Q168" i="19" s="1"/>
  <c r="L679" i="19"/>
  <c r="Q679" i="19" s="1" a="1"/>
  <c r="Q679" i="19" s="1"/>
  <c r="L245" i="19"/>
  <c r="Q245" i="19" s="1" a="1"/>
  <c r="Q245" i="19" s="1"/>
  <c r="L303" i="19"/>
  <c r="Q303" i="19" s="1" a="1"/>
  <c r="Q303" i="19" s="1"/>
  <c r="L312" i="19"/>
  <c r="Q312" i="19" s="1" a="1"/>
  <c r="Q312" i="19" s="1"/>
  <c r="L550" i="19"/>
  <c r="Q550" i="19" s="1" a="1"/>
  <c r="Q550" i="19" s="1"/>
  <c r="L578" i="19"/>
  <c r="Q578" i="19" s="1" a="1"/>
  <c r="Q578" i="19" s="1"/>
  <c r="L76" i="19"/>
  <c r="Q76" i="19" s="1" a="1"/>
  <c r="Q76" i="19" s="1"/>
  <c r="L934" i="19"/>
  <c r="Q934" i="19" s="1" a="1"/>
  <c r="Q934" i="19" s="1"/>
  <c r="L774" i="19"/>
  <c r="Q774" i="19" s="1" a="1"/>
  <c r="Q774" i="19" s="1"/>
  <c r="L255" i="19"/>
  <c r="Q255" i="19" s="1" a="1"/>
  <c r="Q255" i="19" s="1"/>
  <c r="L208" i="19"/>
  <c r="Q208" i="19" s="1" a="1"/>
  <c r="Q208" i="19" s="1"/>
  <c r="L110" i="19"/>
  <c r="Q110" i="19" s="1" a="1"/>
  <c r="Q110" i="19" s="1"/>
  <c r="L494" i="19"/>
  <c r="Q494" i="19" s="1" a="1"/>
  <c r="Q494" i="19" s="1"/>
  <c r="L336" i="19"/>
  <c r="Q336" i="19" s="1" a="1"/>
  <c r="Q336" i="19" s="1"/>
  <c r="L239" i="19"/>
  <c r="Q239" i="19" s="1" a="1"/>
  <c r="Q239" i="19" s="1"/>
  <c r="L341" i="19"/>
  <c r="Q341" i="19" s="1" a="1"/>
  <c r="Q341" i="19" s="1"/>
  <c r="L764" i="19"/>
  <c r="Q764" i="19" s="1" a="1"/>
  <c r="Q764" i="19" s="1"/>
  <c r="L207" i="19"/>
  <c r="Q207" i="19" s="1" a="1"/>
  <c r="Q207" i="19" s="1"/>
  <c r="L717" i="19"/>
  <c r="Q717" i="19" s="1" a="1"/>
  <c r="Q717" i="19" s="1"/>
  <c r="L21" i="19"/>
  <c r="Q21" i="19" s="1" a="1"/>
  <c r="Q21" i="19" s="1"/>
  <c r="L891" i="19"/>
  <c r="Q891" i="19" s="1" a="1"/>
  <c r="Q891" i="19" s="1"/>
  <c r="L669" i="19"/>
  <c r="Q669" i="19" s="1" a="1"/>
  <c r="Q669" i="19" s="1"/>
  <c r="L711" i="19"/>
  <c r="Q711" i="19" s="1" a="1"/>
  <c r="Q711" i="19" s="1"/>
  <c r="L855" i="19"/>
  <c r="Q855" i="19" s="1" a="1"/>
  <c r="Q855" i="19" s="1"/>
  <c r="L921" i="19"/>
  <c r="Q921" i="19" s="1" a="1"/>
  <c r="Q921" i="19" s="1"/>
  <c r="L382" i="19"/>
  <c r="Q382" i="19" s="1" a="1"/>
  <c r="Q382" i="19" s="1"/>
  <c r="L383" i="19"/>
  <c r="Q383" i="19" s="1" a="1"/>
  <c r="Q383" i="19" s="1"/>
  <c r="L385" i="19"/>
  <c r="Q385" i="19" s="1" a="1"/>
  <c r="Q385" i="19" s="1"/>
  <c r="L888" i="19"/>
  <c r="Q888" i="19" s="1" a="1"/>
  <c r="Q888" i="19" s="1"/>
  <c r="L295" i="19"/>
  <c r="Q295" i="19" s="1" a="1"/>
  <c r="Q295" i="19" s="1"/>
  <c r="L282" i="19"/>
  <c r="Q282" i="19" s="1" a="1"/>
  <c r="Q282" i="19" s="1"/>
  <c r="L935" i="19"/>
  <c r="Q935" i="19" s="1" a="1"/>
  <c r="Q935" i="19" s="1"/>
  <c r="L369" i="19"/>
  <c r="Q369" i="19" s="1" a="1"/>
  <c r="Q369" i="19" s="1"/>
  <c r="L97" i="19"/>
  <c r="Q97" i="19" s="1" a="1"/>
  <c r="Q97" i="19" s="1"/>
  <c r="L459" i="19"/>
  <c r="Q459" i="19" s="1" a="1"/>
  <c r="Q459" i="19" s="1"/>
  <c r="L605" i="19"/>
  <c r="Q605" i="19" s="1" a="1"/>
  <c r="Q605" i="19" s="1"/>
  <c r="L854" i="19"/>
  <c r="Q854" i="19" s="1" a="1"/>
  <c r="Q854" i="19" s="1"/>
  <c r="L231" i="19"/>
  <c r="Q231" i="19" s="1" a="1"/>
  <c r="Q231" i="19" s="1"/>
  <c r="L786" i="19"/>
  <c r="Q786" i="19" s="1" a="1"/>
  <c r="Q786" i="19" s="1"/>
  <c r="L960" i="19"/>
  <c r="Q960" i="19" s="1" a="1"/>
  <c r="Q960" i="19" s="1"/>
  <c r="L321" i="19"/>
  <c r="Q321" i="19" s="1" a="1"/>
  <c r="Q321" i="19" s="1"/>
  <c r="L211" i="19"/>
  <c r="Q211" i="19" s="1" a="1"/>
  <c r="Q211" i="19" s="1"/>
  <c r="L912" i="19"/>
  <c r="Q912" i="19" s="1" a="1"/>
  <c r="Q912" i="19" s="1"/>
  <c r="L367" i="19"/>
  <c r="Q367" i="19" s="1" a="1"/>
  <c r="Q367" i="19" s="1"/>
  <c r="L987" i="19"/>
  <c r="Q987" i="19" s="1" a="1"/>
  <c r="Q987" i="19" s="1"/>
  <c r="L333" i="19"/>
  <c r="Q333" i="19" s="1" a="1"/>
  <c r="Q333" i="19" s="1"/>
  <c r="L971" i="19"/>
  <c r="Q971" i="19" s="1" a="1"/>
  <c r="Q971" i="19" s="1"/>
  <c r="L616" i="19"/>
  <c r="Q616" i="19" s="1" a="1"/>
  <c r="Q616" i="19" s="1"/>
  <c r="L617" i="19"/>
  <c r="Q617" i="19" s="1" a="1"/>
  <c r="Q617" i="19" s="1"/>
  <c r="L741" i="19"/>
  <c r="Q741" i="19" s="1" a="1"/>
  <c r="Q741" i="19" s="1"/>
  <c r="L169" i="19"/>
  <c r="Q169" i="19" s="1" a="1"/>
  <c r="Q169" i="19" s="1"/>
  <c r="L47" i="19"/>
  <c r="Q47" i="19" s="1" a="1"/>
  <c r="Q47" i="19" s="1"/>
  <c r="L804" i="19"/>
  <c r="Q804" i="19" s="1" a="1"/>
  <c r="Q804" i="19" s="1"/>
  <c r="L598" i="19"/>
  <c r="Q598" i="19" s="1" a="1"/>
  <c r="Q598" i="19" s="1"/>
  <c r="L867" i="19"/>
  <c r="Q867" i="19" s="1" a="1"/>
  <c r="Q867" i="19" s="1"/>
  <c r="L262" i="19"/>
  <c r="Q262" i="19" s="1" a="1"/>
  <c r="Q262" i="19" s="1"/>
  <c r="L531" i="19"/>
  <c r="Q531" i="19" s="1" a="1"/>
  <c r="Q531" i="19" s="1"/>
  <c r="L338" i="19"/>
  <c r="Q338" i="19" s="1" a="1"/>
  <c r="Q338" i="19" s="1"/>
  <c r="L370" i="19"/>
  <c r="Q370" i="19" s="1" a="1"/>
  <c r="Q370" i="19" s="1"/>
  <c r="L634" i="19"/>
  <c r="Q634" i="19" s="1" a="1"/>
  <c r="Q634" i="19" s="1"/>
  <c r="L524" i="19"/>
  <c r="Q524" i="19" s="1" a="1"/>
  <c r="Q524" i="19" s="1"/>
  <c r="L647" i="19"/>
  <c r="Q647" i="19" s="1" a="1"/>
  <c r="Q647" i="19" s="1"/>
  <c r="L978" i="19"/>
  <c r="Q978" i="19" s="1" a="1"/>
  <c r="Q978" i="19" s="1"/>
  <c r="L334" i="19"/>
  <c r="Q334" i="19" s="1" a="1"/>
  <c r="Q334" i="19" s="1"/>
  <c r="L931" i="19"/>
  <c r="Q931" i="19" s="1" a="1"/>
  <c r="Q931" i="19" s="1"/>
  <c r="L991" i="19"/>
  <c r="Q991" i="19" s="1" a="1"/>
  <c r="Q991" i="19" s="1"/>
  <c r="L732" i="19"/>
  <c r="Q732" i="19" s="1" a="1"/>
  <c r="Q732" i="19" s="1"/>
  <c r="L733" i="19"/>
  <c r="Q733" i="19" s="1" a="1"/>
  <c r="Q733" i="19" s="1"/>
  <c r="L356" i="19"/>
  <c r="Q356" i="19" s="1" a="1"/>
  <c r="Q356" i="19" s="1"/>
  <c r="L538" i="19"/>
  <c r="Q538" i="19" s="1" a="1"/>
  <c r="Q538" i="19" s="1"/>
  <c r="L765" i="19"/>
  <c r="Q765" i="19" s="1" a="1"/>
  <c r="Q765" i="19" s="1"/>
  <c r="L167" i="19"/>
  <c r="Q167" i="19" s="1" a="1"/>
  <c r="Q167" i="19" s="1"/>
  <c r="L846" i="19"/>
  <c r="Q846" i="19" s="1" a="1"/>
  <c r="Q846" i="19" s="1"/>
  <c r="L880" i="19"/>
  <c r="Q880" i="19" s="1" a="1"/>
  <c r="Q880" i="19" s="1"/>
  <c r="L585" i="19"/>
  <c r="Q585" i="19" s="1" a="1"/>
  <c r="Q585" i="19" s="1"/>
  <c r="L2" i="19"/>
  <c r="Q2" i="19" s="1" a="1"/>
  <c r="Q2" i="19" s="1"/>
  <c r="L232" i="19"/>
  <c r="Q232" i="19" s="1" a="1"/>
  <c r="Q232" i="19" s="1"/>
  <c r="L238" i="19"/>
  <c r="Q238" i="19" s="1" a="1"/>
  <c r="Q238" i="19" s="1"/>
  <c r="L914" i="19"/>
  <c r="Q914" i="19" s="1" a="1"/>
  <c r="Q914" i="19" s="1"/>
  <c r="L233" i="19"/>
  <c r="Q233" i="19" s="1" a="1"/>
  <c r="Q233" i="19" s="1"/>
  <c r="L411" i="19"/>
  <c r="Q411" i="19" s="1" a="1"/>
  <c r="Q411" i="19" s="1"/>
  <c r="L969" i="19"/>
  <c r="Q969" i="19" s="1" a="1"/>
  <c r="Q969" i="19" s="1"/>
  <c r="L532" i="19"/>
  <c r="Q532" i="19" s="1" a="1"/>
  <c r="Q532" i="19" s="1"/>
  <c r="L948" i="19"/>
  <c r="Q948" i="19" s="1" a="1"/>
  <c r="Q948" i="19" s="1"/>
  <c r="L495" i="19"/>
  <c r="Q495" i="19" s="1" a="1"/>
  <c r="Q495" i="19" s="1"/>
  <c r="L79" i="19"/>
  <c r="Q79" i="19" s="1" a="1"/>
  <c r="Q79" i="19" s="1"/>
  <c r="L368" i="19"/>
  <c r="Q368" i="19" s="1" a="1"/>
  <c r="Q368" i="19" s="1"/>
  <c r="L783" i="19"/>
  <c r="Q783" i="19" s="1" a="1"/>
  <c r="Q783" i="19" s="1"/>
  <c r="L319" i="19"/>
  <c r="Q319" i="19" s="1" a="1"/>
  <c r="Q319" i="19" s="1"/>
  <c r="L659" i="19"/>
  <c r="Q659" i="19" s="1" a="1"/>
  <c r="Q659" i="19" s="1"/>
  <c r="L730" i="19"/>
  <c r="Q730" i="19" s="1" a="1"/>
  <c r="Q730" i="19" s="1"/>
  <c r="L958" i="19"/>
  <c r="Q958" i="19" s="1" a="1"/>
  <c r="Q958" i="19" s="1"/>
  <c r="L592" i="19"/>
  <c r="Q592" i="19" s="1" a="1"/>
  <c r="Q592" i="19" s="1"/>
  <c r="L871" i="19"/>
  <c r="Q871" i="19" s="1" a="1"/>
  <c r="Q871" i="19" s="1"/>
  <c r="L633" i="19"/>
  <c r="Q633" i="19" s="1" a="1"/>
  <c r="Q633" i="19" s="1"/>
  <c r="L54" i="19"/>
  <c r="Q54" i="19" s="1" a="1"/>
  <c r="Q54" i="19" s="1"/>
  <c r="L889" i="19"/>
  <c r="Q889" i="19" s="1" a="1"/>
  <c r="Q889" i="19" s="1"/>
  <c r="L482" i="19"/>
  <c r="Q482" i="19" s="1" a="1"/>
  <c r="Q482" i="19" s="1"/>
  <c r="L67" i="19"/>
  <c r="Q67" i="19" s="1" a="1"/>
  <c r="Q67" i="19" s="1"/>
  <c r="L68" i="19"/>
  <c r="Q68" i="19" s="1" a="1"/>
  <c r="Q68" i="19" s="1"/>
  <c r="L796" i="19"/>
  <c r="Q796" i="19" s="1" a="1"/>
  <c r="Q796" i="19" s="1"/>
  <c r="L419" i="19"/>
  <c r="Q419" i="19" s="1" a="1"/>
  <c r="Q419" i="19" s="1"/>
  <c r="L988" i="19"/>
  <c r="Q988" i="19" s="1" a="1"/>
  <c r="Q988" i="19" s="1"/>
  <c r="L364" i="19"/>
  <c r="Q364" i="19" s="1" a="1"/>
  <c r="Q364" i="19" s="1"/>
  <c r="L413" i="19"/>
  <c r="Q413" i="19" s="1" a="1"/>
  <c r="Q413" i="19" s="1"/>
  <c r="L468" i="19"/>
  <c r="Q468" i="19" s="1" a="1"/>
  <c r="Q468" i="19" s="1"/>
  <c r="L723" i="19"/>
  <c r="Q723" i="19" s="1" a="1"/>
  <c r="Q723" i="19" s="1"/>
  <c r="L837" i="19"/>
  <c r="Q837" i="19" s="1" a="1"/>
  <c r="Q837" i="19" s="1"/>
  <c r="L386" i="19"/>
  <c r="Q386" i="19" s="1" a="1"/>
  <c r="Q386" i="19" s="1"/>
  <c r="L108" i="19"/>
  <c r="Q108" i="19" s="1" a="1"/>
  <c r="Q108" i="19" s="1"/>
  <c r="L906" i="19"/>
  <c r="Q906" i="19" s="1" a="1"/>
  <c r="Q906" i="19" s="1"/>
  <c r="L593" i="19"/>
  <c r="Q593" i="19" s="1" a="1"/>
  <c r="Q593" i="19" s="1"/>
  <c r="L83" i="19"/>
  <c r="Q83" i="19" s="1" a="1"/>
  <c r="Q83" i="19" s="1"/>
  <c r="L612" i="19"/>
  <c r="Q612" i="19" s="1" a="1"/>
  <c r="Q612" i="19" s="1"/>
  <c r="L354" i="19"/>
  <c r="Q354" i="19" s="1" a="1"/>
  <c r="Q354" i="19" s="1"/>
  <c r="L433" i="19"/>
  <c r="Q433" i="19" s="1" a="1"/>
  <c r="Q433" i="19" s="1"/>
  <c r="L401" i="19"/>
  <c r="Q401" i="19" s="1" a="1"/>
  <c r="Q401" i="19" s="1"/>
  <c r="L438" i="19"/>
  <c r="Q438" i="19" s="1" a="1"/>
  <c r="Q438" i="19" s="1"/>
  <c r="L379" i="19"/>
  <c r="Q379" i="19" s="1" a="1"/>
  <c r="Q379" i="19" s="1"/>
  <c r="L968" i="19"/>
  <c r="Q968" i="19" s="1" a="1"/>
  <c r="Q968" i="19" s="1"/>
  <c r="L565" i="19"/>
  <c r="Q565" i="19" s="1" a="1"/>
  <c r="Q565" i="19" s="1"/>
  <c r="L418" i="19"/>
  <c r="Q418" i="19" s="1" a="1"/>
  <c r="Q418" i="19" s="1"/>
  <c r="L808" i="19"/>
  <c r="Q808" i="19" s="1" a="1"/>
  <c r="Q808" i="19" s="1"/>
  <c r="L769" i="19"/>
  <c r="Q769" i="19" s="1" a="1"/>
  <c r="Q769" i="19" s="1"/>
  <c r="L149" i="19"/>
  <c r="Q149" i="19" s="1" a="1"/>
  <c r="Q149" i="19" s="1"/>
  <c r="L60" i="19"/>
  <c r="Q60" i="19" s="1" a="1"/>
  <c r="Q60" i="19" s="1"/>
  <c r="L915" i="19"/>
  <c r="Q915" i="19" s="1" a="1"/>
  <c r="Q915" i="19" s="1"/>
  <c r="L916" i="19"/>
  <c r="Q916" i="19" s="1" a="1"/>
  <c r="Q916" i="19" s="1"/>
  <c r="L727" i="19"/>
  <c r="Q727" i="19" s="1" a="1"/>
  <c r="Q727" i="19" s="1"/>
  <c r="L10" i="19"/>
  <c r="Q10" i="19" s="1" a="1"/>
  <c r="Q10" i="19" s="1"/>
  <c r="L990" i="19"/>
  <c r="Q990" i="19" s="1" a="1"/>
  <c r="Q990" i="19" s="1"/>
  <c r="L43" i="19"/>
  <c r="Q43" i="19" s="1" a="1"/>
  <c r="Q43" i="19" s="1"/>
  <c r="L639" i="19"/>
  <c r="Q639" i="19" s="1" a="1"/>
  <c r="Q639" i="19" s="1"/>
  <c r="L576" i="19"/>
  <c r="Q576" i="19" s="1" a="1"/>
  <c r="Q576" i="19" s="1"/>
  <c r="L683" i="19"/>
  <c r="Q683" i="19" s="1" a="1"/>
  <c r="Q683" i="19" s="1"/>
  <c r="L913" i="19"/>
  <c r="Q913" i="19" s="1" a="1"/>
  <c r="Q913" i="19" s="1"/>
  <c r="L672" i="19"/>
  <c r="Q672" i="19" s="1" a="1"/>
  <c r="Q672" i="19" s="1"/>
  <c r="L984" i="19"/>
  <c r="Q984" i="19" s="1" a="1"/>
  <c r="Q984" i="19" s="1"/>
  <c r="L823" i="19"/>
  <c r="Q823" i="19" s="1" a="1"/>
  <c r="Q823" i="19" s="1"/>
  <c r="L588" i="19"/>
  <c r="Q588" i="19" s="1" a="1"/>
  <c r="Q588" i="19" s="1"/>
  <c r="L728" i="19"/>
  <c r="Q728" i="19" s="1" a="1"/>
  <c r="Q728" i="19" s="1"/>
  <c r="L179" i="19"/>
  <c r="Q179" i="19" s="1" a="1"/>
  <c r="Q179" i="19" s="1"/>
  <c r="L758" i="19"/>
  <c r="Q758" i="19" s="1" a="1"/>
  <c r="Q758" i="19" s="1"/>
  <c r="L976" i="19"/>
  <c r="Q976" i="19" s="1" a="1"/>
  <c r="Q976" i="19" s="1"/>
  <c r="L697" i="19"/>
  <c r="Q697" i="19" s="1" a="1"/>
  <c r="Q697" i="19" s="1"/>
  <c r="L191" i="19"/>
  <c r="Q191" i="19" s="1" a="1"/>
  <c r="Q191" i="19" s="1"/>
  <c r="L378" i="19"/>
  <c r="Q378" i="19" s="1" a="1"/>
  <c r="Q378" i="19" s="1"/>
  <c r="L606" i="19"/>
  <c r="Q606" i="19" s="1" a="1"/>
  <c r="Q606" i="19" s="1"/>
  <c r="L569" i="19"/>
  <c r="Q569" i="19" s="1" a="1"/>
  <c r="Q569" i="19" s="1"/>
  <c r="L923" i="19"/>
  <c r="Q923" i="19" s="1" a="1"/>
  <c r="Q923" i="19" s="1"/>
  <c r="L799" i="19"/>
  <c r="Q799" i="19" s="1" a="1"/>
  <c r="Q799" i="19" s="1"/>
  <c r="L566" i="19"/>
  <c r="Q566" i="19" s="1" a="1"/>
  <c r="Q566" i="19" s="1"/>
  <c r="L962" i="19"/>
  <c r="Q962" i="19" s="1" a="1"/>
  <c r="Q962" i="19" s="1"/>
  <c r="L78" i="19"/>
  <c r="Q78" i="19" s="1" a="1"/>
  <c r="Q78" i="19" s="1"/>
  <c r="L784" i="19"/>
  <c r="Q784" i="19" s="1" a="1"/>
  <c r="Q784" i="19" s="1"/>
  <c r="L69" i="19"/>
  <c r="Q69" i="19" s="1" a="1"/>
  <c r="Q69" i="19" s="1"/>
  <c r="L882" i="19"/>
  <c r="Q882" i="19" s="1" a="1"/>
  <c r="Q882" i="19" s="1"/>
  <c r="L691" i="19"/>
  <c r="Q691" i="19" s="1" a="1"/>
  <c r="Q691" i="19" s="1"/>
  <c r="L696" i="19"/>
  <c r="Q696" i="19" s="1" a="1"/>
  <c r="Q696" i="19" s="1"/>
  <c r="L707" i="19"/>
  <c r="Q707" i="19" s="1" a="1"/>
  <c r="Q707" i="19" s="1"/>
  <c r="L811" i="19"/>
  <c r="Q811" i="19" s="1" a="1"/>
  <c r="Q811" i="19" s="1"/>
  <c r="L892" i="19"/>
  <c r="Q892" i="19" s="1" a="1"/>
  <c r="Q892" i="19" s="1"/>
  <c r="L20" i="19"/>
  <c r="Q20" i="19" s="1" a="1"/>
  <c r="Q20" i="19" s="1"/>
  <c r="L162" i="19"/>
  <c r="Q162" i="19" s="1" a="1"/>
  <c r="Q162" i="19" s="1"/>
  <c r="L825" i="19"/>
  <c r="Q825" i="19" s="1" a="1"/>
  <c r="Q825" i="19" s="1"/>
  <c r="L45" i="19"/>
  <c r="Q45" i="19" s="1" a="1"/>
  <c r="Q45" i="19" s="1"/>
  <c r="L72" i="19"/>
  <c r="Q72" i="19" s="1" a="1"/>
  <c r="Q72" i="19" s="1"/>
  <c r="L797" i="19"/>
  <c r="Q797" i="19" s="1" a="1"/>
  <c r="Q797" i="19" s="1"/>
  <c r="L133" i="19"/>
  <c r="Q133" i="19" s="1" a="1"/>
  <c r="Q133" i="19" s="1"/>
  <c r="L12" i="19"/>
  <c r="Q12" i="19" s="1" a="1"/>
  <c r="Q12" i="19" s="1"/>
  <c r="L62" i="19"/>
  <c r="Q62" i="19" s="1" a="1"/>
  <c r="Q62" i="19" s="1"/>
  <c r="L281" i="19"/>
  <c r="Q281" i="19" s="1" a="1"/>
  <c r="Q281" i="19" s="1"/>
  <c r="L247" i="19"/>
  <c r="Q247" i="19" s="1" a="1"/>
  <c r="Q247" i="19" s="1"/>
  <c r="L817" i="19"/>
  <c r="Q817" i="19" s="1" a="1"/>
  <c r="Q817" i="19" s="1"/>
  <c r="L535" i="19"/>
  <c r="Q535" i="19" s="1" a="1"/>
  <c r="Q535" i="19" s="1"/>
  <c r="L22" i="19"/>
  <c r="Q22" i="19" s="1" a="1"/>
  <c r="Q22" i="19" s="1"/>
  <c r="L27" i="19"/>
  <c r="Q27" i="19" s="1" a="1"/>
  <c r="Q27" i="19" s="1"/>
  <c r="L579" i="19"/>
  <c r="Q579" i="19" s="1" a="1"/>
  <c r="Q579" i="19" s="1"/>
  <c r="L831" i="19"/>
  <c r="Q831" i="19" s="1" a="1"/>
  <c r="Q831" i="19" s="1"/>
  <c r="L449" i="19"/>
  <c r="Q449" i="19" s="1" a="1"/>
  <c r="Q449" i="19" s="1"/>
  <c r="L415" i="19"/>
  <c r="Q415" i="19" s="1" a="1"/>
  <c r="Q415" i="19" s="1"/>
  <c r="L257" i="19"/>
  <c r="Q257" i="19" s="1" a="1"/>
  <c r="Q257" i="19" s="1"/>
  <c r="L389" i="19"/>
  <c r="Q389" i="19" s="1" a="1"/>
  <c r="Q389" i="19" s="1"/>
  <c r="L348" i="19"/>
  <c r="Q348" i="19" s="1" a="1"/>
  <c r="Q348" i="19" s="1"/>
  <c r="L23" i="19"/>
  <c r="Q23" i="19" s="1" a="1"/>
  <c r="Q23" i="19" s="1"/>
  <c r="L24" i="19"/>
  <c r="Q24" i="19" s="1" a="1"/>
  <c r="Q24" i="19" s="1"/>
  <c r="L25" i="19"/>
  <c r="Q25" i="19" s="1" a="1"/>
  <c r="Q25" i="19" s="1"/>
  <c r="L710" i="19"/>
  <c r="Q710" i="19" s="1" a="1"/>
  <c r="Q710" i="19" s="1"/>
  <c r="L896" i="19"/>
  <c r="Q896" i="19" s="1" a="1"/>
  <c r="Q896" i="19" s="1"/>
  <c r="L756" i="19"/>
  <c r="Q756" i="19" s="1" a="1"/>
  <c r="Q756" i="19" s="1"/>
  <c r="L549" i="19"/>
  <c r="Q549" i="19" s="1" a="1"/>
  <c r="Q549" i="19" s="1"/>
  <c r="L699" i="19"/>
  <c r="Q699" i="19" s="1" a="1"/>
  <c r="Q699" i="19" s="1"/>
  <c r="L375" i="19"/>
  <c r="Q375" i="19" s="1" a="1"/>
  <c r="Q375" i="19" s="1"/>
  <c r="L567" i="19"/>
  <c r="Q567" i="19" s="1" a="1"/>
  <c r="Q567" i="19" s="1"/>
  <c r="L103" i="19"/>
  <c r="Q103" i="19" s="1" a="1"/>
  <c r="Q103" i="19" s="1"/>
  <c r="L850" i="19"/>
  <c r="Q850" i="19" s="1" a="1"/>
  <c r="Q850" i="19" s="1"/>
  <c r="L127" i="19"/>
  <c r="Q127" i="19" s="1" a="1"/>
  <c r="Q127" i="19" s="1"/>
  <c r="L551" i="19"/>
  <c r="Q551" i="19" s="1" a="1"/>
  <c r="Q551" i="19" s="1"/>
  <c r="L943" i="19"/>
  <c r="Q943" i="19" s="1" a="1"/>
  <c r="Q943" i="19" s="1"/>
  <c r="L887" i="19"/>
  <c r="Q887" i="19" s="1" a="1"/>
  <c r="Q887" i="19" s="1"/>
  <c r="L355" i="19"/>
  <c r="Q355" i="19" s="1" a="1"/>
  <c r="Q355" i="19" s="1"/>
  <c r="L244" i="19"/>
  <c r="Q244" i="19" s="1" a="1"/>
  <c r="Q244" i="19" s="1"/>
  <c r="L434" i="19"/>
  <c r="Q434" i="19" s="1" a="1"/>
  <c r="Q434" i="19" s="1"/>
  <c r="L181" i="19"/>
  <c r="Q181" i="19" s="1" a="1"/>
  <c r="Q181" i="19" s="1"/>
  <c r="L650" i="19"/>
  <c r="Q650" i="19" s="1" a="1"/>
  <c r="Q650" i="19" s="1"/>
  <c r="L637" i="19"/>
  <c r="Q637" i="19" s="1" a="1"/>
  <c r="Q637" i="19" s="1"/>
  <c r="L30" i="19"/>
  <c r="Q30" i="19" s="1" a="1"/>
  <c r="Q30" i="19" s="1"/>
  <c r="L402" i="19"/>
  <c r="Q402" i="19" s="1" a="1"/>
  <c r="Q402" i="19" s="1"/>
  <c r="L403" i="19"/>
  <c r="Q403" i="19" s="1" a="1"/>
  <c r="Q403" i="19" s="1"/>
  <c r="L404" i="19"/>
  <c r="Q404" i="19" s="1" a="1"/>
  <c r="Q404" i="19" s="1"/>
  <c r="L405" i="19"/>
  <c r="Q405" i="19" s="1" a="1"/>
  <c r="Q405" i="19" s="1"/>
  <c r="L963" i="19"/>
  <c r="Q963" i="19" s="1" a="1"/>
  <c r="Q963" i="19" s="1"/>
  <c r="L279" i="19"/>
  <c r="Q279" i="19" s="1" a="1"/>
  <c r="Q279" i="19" s="1"/>
  <c r="L775" i="19"/>
  <c r="Q775" i="19" s="1" a="1"/>
  <c r="Q775" i="19" s="1"/>
  <c r="L444" i="19"/>
  <c r="Q444" i="19" s="1" a="1"/>
  <c r="Q444" i="19" s="1"/>
  <c r="L652" i="19"/>
  <c r="Q652" i="19" s="1" a="1"/>
  <c r="Q652" i="19" s="1"/>
  <c r="L159" i="19"/>
  <c r="Q159" i="19" s="1" a="1"/>
  <c r="Q159" i="19" s="1"/>
  <c r="L165" i="19"/>
  <c r="Q165" i="19" s="1" a="1"/>
  <c r="Q165" i="19" s="1"/>
  <c r="L175" i="19"/>
  <c r="Q175" i="19" s="1" a="1"/>
  <c r="Q175" i="19" s="1"/>
  <c r="L714" i="19"/>
  <c r="Q714" i="19" s="1" a="1"/>
  <c r="Q714" i="19" s="1"/>
  <c r="L781" i="19"/>
  <c r="Q781" i="19" s="1" a="1"/>
  <c r="Q781" i="19" s="1"/>
  <c r="L927" i="19"/>
  <c r="Q927" i="19" s="1" a="1"/>
  <c r="Q927" i="19" s="1"/>
  <c r="L202" i="19"/>
  <c r="Q202" i="19" s="1" a="1"/>
  <c r="Q202" i="19" s="1"/>
  <c r="L180" i="19"/>
  <c r="Q180" i="19" s="1" a="1"/>
  <c r="Q180" i="19" s="1"/>
  <c r="L543" i="19"/>
  <c r="Q543" i="19" s="1" a="1"/>
  <c r="Q543" i="19" s="1"/>
  <c r="L651" i="19"/>
  <c r="Q651" i="19" s="1" a="1"/>
  <c r="Q651" i="19" s="1"/>
  <c r="L628" i="19"/>
  <c r="Q628" i="19" s="1" a="1"/>
  <c r="Q628" i="19" s="1"/>
  <c r="L629" i="19"/>
  <c r="Q629" i="19" s="1" a="1"/>
  <c r="Q629" i="19" s="1"/>
  <c r="L949" i="19"/>
  <c r="Q949" i="19" s="1" a="1"/>
  <c r="Q949" i="19" s="1"/>
  <c r="L113" i="19"/>
  <c r="Q113" i="19" s="1" a="1"/>
  <c r="Q113" i="19" s="1"/>
  <c r="L337" i="19"/>
  <c r="Q337" i="19" s="1" a="1"/>
  <c r="Q337" i="19" s="1"/>
  <c r="L315" i="19"/>
  <c r="Q315" i="19" s="1" a="1"/>
  <c r="Q315" i="19" s="1"/>
  <c r="L970" i="19"/>
  <c r="Q970" i="19" s="1" a="1"/>
  <c r="Q970" i="19" s="1"/>
  <c r="L475" i="19"/>
  <c r="Q475" i="19" s="1" a="1"/>
  <c r="Q475" i="19" s="1"/>
  <c r="L587" i="19"/>
  <c r="Q587" i="19" s="1" a="1"/>
  <c r="Q587" i="19" s="1"/>
  <c r="L897" i="19"/>
  <c r="Q897" i="19" s="1" a="1"/>
  <c r="Q897" i="19" s="1"/>
  <c r="L298" i="19"/>
  <c r="Q298" i="19" s="1" a="1"/>
  <c r="Q298" i="19" s="1"/>
  <c r="L795" i="19"/>
  <c r="Q795" i="19" s="1" a="1"/>
  <c r="Q795" i="19" s="1"/>
  <c r="L709" i="19"/>
  <c r="Q709" i="19" s="1" a="1"/>
  <c r="Q709" i="19" s="1"/>
  <c r="L801" i="19"/>
  <c r="Q801" i="19" s="1" a="1"/>
  <c r="Q801" i="19" s="1"/>
  <c r="L572" i="19"/>
  <c r="Q572" i="19" s="1" a="1"/>
  <c r="Q572" i="19" s="1"/>
  <c r="L929" i="19"/>
  <c r="Q929" i="19" s="1" a="1"/>
  <c r="Q929" i="19" s="1"/>
  <c r="L653" i="19"/>
  <c r="Q653" i="19" s="1" a="1"/>
  <c r="Q653" i="19" s="1"/>
  <c r="L457" i="19"/>
  <c r="Q457" i="19" s="1" a="1"/>
  <c r="Q457" i="19" s="1"/>
  <c r="L49" i="19"/>
  <c r="Q49" i="19" s="1" a="1"/>
  <c r="Q49" i="19" s="1"/>
  <c r="L123" i="19"/>
  <c r="Q123" i="19" s="1" a="1"/>
  <c r="Q123" i="19" s="1"/>
  <c r="L559" i="19"/>
  <c r="Q559" i="19" s="1" a="1"/>
  <c r="Q559" i="19" s="1"/>
  <c r="L608" i="19"/>
  <c r="Q608" i="19" s="1" a="1"/>
  <c r="Q608" i="19" s="1"/>
  <c r="L998" i="19"/>
  <c r="Q998" i="19" s="1" a="1"/>
  <c r="Q998" i="19" s="1"/>
  <c r="L463" i="19"/>
  <c r="Q463" i="19" s="1" a="1"/>
  <c r="Q463" i="19" s="1"/>
  <c r="L445" i="19"/>
  <c r="Q445" i="19" s="1" a="1"/>
  <c r="Q445" i="19" s="1"/>
  <c r="L835" i="19"/>
  <c r="Q835" i="19" s="1" a="1"/>
  <c r="Q835" i="19" s="1"/>
  <c r="L288" i="19"/>
  <c r="Q288" i="19" s="1" a="1"/>
  <c r="Q288" i="19" s="1"/>
  <c r="L972" i="19"/>
  <c r="Q972" i="19" s="1" a="1"/>
  <c r="Q972" i="19" s="1"/>
  <c r="L117" i="19"/>
  <c r="Q117" i="19" s="1" a="1"/>
  <c r="Q117" i="19" s="1"/>
  <c r="L973" i="19"/>
  <c r="Q973" i="19" s="1" a="1"/>
  <c r="Q973" i="19" s="1"/>
  <c r="L729" i="19"/>
  <c r="Q729" i="19" s="1" a="1"/>
  <c r="Q729" i="19" s="1"/>
  <c r="L636" i="19"/>
  <c r="Q636" i="19" s="1" a="1"/>
  <c r="Q636" i="19" s="1"/>
  <c r="L416" i="19"/>
  <c r="Q416" i="19" s="1" a="1"/>
  <c r="Q416" i="19" s="1"/>
  <c r="L950" i="19"/>
  <c r="Q950" i="19" s="1" a="1"/>
  <c r="Q950" i="19" s="1"/>
  <c r="L626" i="19"/>
  <c r="Q626" i="19" s="1" a="1"/>
  <c r="Q626" i="19" s="1"/>
  <c r="L875" i="19"/>
  <c r="Q875" i="19" s="1" a="1"/>
  <c r="Q875" i="19" s="1"/>
  <c r="L203" i="19"/>
  <c r="Q203" i="19" s="1" a="1"/>
  <c r="Q203" i="19" s="1"/>
  <c r="L649" i="19"/>
  <c r="Q649" i="19" s="1" a="1"/>
  <c r="Q649" i="19" s="1"/>
  <c r="L553" i="19"/>
  <c r="Q553" i="19" s="1" a="1"/>
  <c r="Q553" i="19" s="1"/>
  <c r="L803" i="19"/>
  <c r="Q803" i="19" s="1" a="1"/>
  <c r="Q803" i="19" s="1"/>
  <c r="L440" i="19"/>
  <c r="Q440" i="19" s="1" a="1"/>
  <c r="Q440" i="19" s="1"/>
  <c r="L716" i="19"/>
  <c r="Q716" i="19" s="1" a="1"/>
  <c r="Q716" i="19" s="1"/>
  <c r="L138" i="19"/>
  <c r="Q138" i="19" s="1" a="1"/>
  <c r="Q138" i="19" s="1"/>
  <c r="L291" i="19"/>
  <c r="Q291" i="19" s="1" a="1"/>
  <c r="Q291" i="19" s="1"/>
  <c r="L3" i="19"/>
  <c r="Q3" i="19" s="1" a="1"/>
  <c r="Q3" i="19" s="1"/>
  <c r="L485" i="19"/>
  <c r="Q485" i="19" s="1" a="1"/>
  <c r="Q485" i="19" s="1"/>
  <c r="L82" i="19"/>
  <c r="Q82" i="19" s="1" a="1"/>
  <c r="Q82" i="19" s="1"/>
  <c r="L325" i="19"/>
  <c r="Q325" i="19" s="1" a="1"/>
  <c r="Q325" i="19" s="1"/>
  <c r="L205" i="19"/>
  <c r="Q205" i="19" s="1" a="1"/>
  <c r="Q205" i="19" s="1"/>
  <c r="L292" i="19"/>
  <c r="Q292" i="19" s="1" a="1"/>
  <c r="Q292" i="19" s="1"/>
  <c r="L293" i="19"/>
  <c r="Q293" i="19" s="1" a="1"/>
  <c r="Q293" i="19" s="1"/>
  <c r="L318" i="19"/>
  <c r="Q318" i="19" s="1" a="1"/>
  <c r="Q318" i="19" s="1"/>
  <c r="L451" i="19"/>
  <c r="Q451" i="19" s="1" a="1"/>
  <c r="Q451" i="19" s="1"/>
  <c r="L234" i="19"/>
  <c r="Q234" i="19" s="1" a="1"/>
  <c r="Q234" i="19" s="1"/>
  <c r="L631" i="19"/>
  <c r="Q631" i="19" s="1" a="1"/>
  <c r="Q631" i="19" s="1"/>
  <c r="L807" i="19"/>
  <c r="Q807" i="19" s="1" a="1"/>
  <c r="Q807" i="19" s="1"/>
  <c r="L780" i="19"/>
  <c r="Q780" i="19" s="1" a="1"/>
  <c r="Q780" i="19" s="1"/>
  <c r="L290" i="19"/>
  <c r="Q290" i="19" s="1" a="1"/>
  <c r="Q290" i="19" s="1"/>
  <c r="L939" i="19"/>
  <c r="Q939" i="19" s="1" a="1"/>
  <c r="Q939" i="19" s="1"/>
  <c r="L940" i="19"/>
  <c r="Q940" i="19" s="1" a="1"/>
  <c r="Q940" i="19" s="1"/>
  <c r="L809" i="19"/>
  <c r="Q809" i="19" s="1" a="1"/>
  <c r="Q809" i="19" s="1"/>
  <c r="L164" i="19"/>
  <c r="Q164" i="19" s="1" a="1"/>
  <c r="Q164" i="19" s="1"/>
  <c r="L836" i="19"/>
  <c r="Q836" i="19" s="1" a="1"/>
  <c r="Q836" i="19" s="1"/>
  <c r="L874" i="19"/>
  <c r="Q874" i="19" s="1" a="1"/>
  <c r="Q874" i="19" s="1"/>
  <c r="L818" i="19"/>
  <c r="Q818" i="19" s="1" a="1"/>
  <c r="Q818" i="19" s="1"/>
  <c r="L217" i="19"/>
  <c r="Q217" i="19" s="1" a="1"/>
  <c r="Q217" i="19" s="1"/>
  <c r="L1000" i="19"/>
  <c r="Q1000" i="19" s="1" a="1"/>
  <c r="Q1000" i="19" s="1"/>
  <c r="L91" i="19"/>
  <c r="Q91" i="19" s="1" a="1"/>
  <c r="Q91" i="19" s="1"/>
  <c r="L945" i="19"/>
  <c r="Q945" i="19" s="1" a="1"/>
  <c r="Q945" i="19" s="1"/>
  <c r="L250" i="19"/>
  <c r="Q250" i="19" s="1" a="1"/>
  <c r="Q250" i="19" s="1"/>
  <c r="L515" i="19"/>
  <c r="Q515" i="19" s="1" a="1"/>
  <c r="Q515" i="19" s="1"/>
  <c r="L509" i="19"/>
  <c r="Q509" i="19" s="1" a="1"/>
  <c r="Q509" i="19" s="1"/>
  <c r="L575" i="19"/>
  <c r="Q575" i="19" s="1" a="1"/>
  <c r="Q575" i="19" s="1"/>
  <c r="L220" i="19"/>
  <c r="Q220" i="19" s="1" a="1"/>
  <c r="Q220" i="19" s="1"/>
  <c r="L384" i="19"/>
  <c r="Q384" i="19" s="1" a="1"/>
  <c r="Q384" i="19" s="1"/>
  <c r="L251" i="19"/>
  <c r="Q251" i="19" s="1" a="1"/>
  <c r="Q251" i="19" s="1"/>
  <c r="L558" i="19"/>
  <c r="Q558" i="19" s="1" a="1"/>
  <c r="Q558" i="19" s="1"/>
  <c r="L126" i="19"/>
  <c r="Q126" i="19" s="1" a="1"/>
  <c r="Q126" i="19" s="1"/>
  <c r="L573" i="19"/>
  <c r="Q573" i="19" s="1" a="1"/>
  <c r="Q573" i="19" s="1"/>
  <c r="L34" i="19"/>
  <c r="Q34" i="19" s="1" a="1"/>
  <c r="Q34" i="19" s="1"/>
  <c r="L777" i="19"/>
  <c r="Q777" i="19" s="1" a="1"/>
  <c r="Q777" i="19" s="1"/>
  <c r="L87" i="19"/>
  <c r="Q87" i="19" s="1" a="1"/>
  <c r="Q87" i="19" s="1"/>
  <c r="L327" i="19"/>
  <c r="Q327" i="19" s="1" a="1"/>
  <c r="Q327" i="19" s="1"/>
  <c r="L294" i="19"/>
  <c r="Q294" i="19" s="1" a="1"/>
  <c r="Q294" i="19" s="1"/>
  <c r="L529" i="19"/>
  <c r="Q529" i="19" s="1" a="1"/>
  <c r="Q529" i="19" s="1"/>
  <c r="L966" i="19"/>
  <c r="Q966" i="19" s="1" a="1"/>
  <c r="Q966" i="19" s="1"/>
  <c r="L218" i="19"/>
  <c r="Q218" i="19" s="1" a="1"/>
  <c r="Q218" i="19" s="1"/>
  <c r="L581" i="19"/>
  <c r="Q581" i="19" s="1" a="1"/>
  <c r="Q581" i="19" s="1"/>
  <c r="L122" i="19"/>
  <c r="Q122" i="19" s="1" a="1"/>
  <c r="Q122" i="19" s="1"/>
  <c r="L52" i="19"/>
  <c r="Q52" i="19" s="1" a="1"/>
  <c r="Q52" i="19" s="1"/>
  <c r="L55" i="19"/>
  <c r="Q55" i="19" s="1" a="1"/>
  <c r="Q55" i="19" s="1"/>
  <c r="L910" i="19"/>
  <c r="Q910" i="19" s="1" a="1"/>
  <c r="Q910" i="19" s="1"/>
  <c r="L118" i="19"/>
  <c r="Q118" i="19" s="1" a="1"/>
  <c r="Q118" i="19" s="1"/>
  <c r="L423" i="19"/>
  <c r="Q423" i="19" s="1" a="1"/>
  <c r="Q423" i="19" s="1"/>
  <c r="L219" i="19"/>
  <c r="Q219" i="19" s="1" a="1"/>
  <c r="Q219" i="19" s="1"/>
  <c r="L862" i="19"/>
  <c r="Q862" i="19" s="1" a="1"/>
  <c r="Q862" i="19" s="1"/>
  <c r="L604" i="19"/>
  <c r="Q604" i="19" s="1" a="1"/>
  <c r="Q604" i="19" s="1"/>
  <c r="L789" i="19"/>
  <c r="Q789" i="19" s="1" a="1"/>
  <c r="Q789" i="19" s="1"/>
  <c r="L470" i="19"/>
  <c r="Q470" i="19" s="1" a="1"/>
  <c r="Q470" i="19" s="1"/>
  <c r="L983" i="19"/>
  <c r="Q983" i="19" s="1" a="1"/>
  <c r="Q983" i="19" s="1"/>
  <c r="L603" i="19"/>
  <c r="Q603" i="19" s="1" a="1"/>
  <c r="Q603" i="19" s="1"/>
  <c r="L230" i="19"/>
  <c r="Q230" i="19" s="1" a="1"/>
  <c r="Q230" i="19" s="1"/>
  <c r="L112" i="19"/>
  <c r="Q112" i="19" s="1" a="1"/>
  <c r="Q112" i="19" s="1"/>
  <c r="L724" i="19"/>
  <c r="Q724" i="19" s="1" a="1"/>
  <c r="Q724" i="19" s="1"/>
  <c r="L280" i="19"/>
  <c r="Q280" i="19" s="1" a="1"/>
  <c r="Q280" i="19" s="1"/>
  <c r="L429" i="19"/>
  <c r="Q429" i="19" s="1" a="1"/>
  <c r="Q429" i="19" s="1"/>
  <c r="L964" i="19"/>
  <c r="Q964" i="19" s="1" a="1"/>
  <c r="Q964" i="19" s="1"/>
  <c r="L154" i="19"/>
  <c r="Q154" i="19" s="1" a="1"/>
  <c r="Q154" i="19" s="1"/>
  <c r="L349" i="19"/>
  <c r="Q349" i="19" s="1" a="1"/>
  <c r="Q349" i="19" s="1"/>
  <c r="L350" i="19"/>
  <c r="Q350" i="19" s="1" a="1"/>
  <c r="Q350" i="19" s="1"/>
  <c r="L351" i="19"/>
  <c r="Q351" i="19" s="1" a="1"/>
  <c r="Q351" i="19" s="1"/>
  <c r="L352" i="19"/>
  <c r="Q352" i="19" s="1" a="1"/>
  <c r="Q352" i="19" s="1"/>
  <c r="L654" i="19"/>
  <c r="Q654" i="19" s="1" a="1"/>
  <c r="Q654" i="19" s="1"/>
  <c r="L390" i="19"/>
  <c r="Q390" i="19" s="1" a="1"/>
  <c r="Q390" i="19" s="1"/>
  <c r="L602" i="19"/>
  <c r="Q602" i="19" s="1" a="1"/>
  <c r="Q602" i="19" s="1"/>
  <c r="L311" i="19"/>
  <c r="Q311" i="19" s="1" a="1"/>
  <c r="Q311" i="19" s="1"/>
  <c r="L166" i="19"/>
  <c r="Q166" i="19" s="1" a="1"/>
  <c r="Q166" i="19" s="1"/>
  <c r="L109" i="19"/>
  <c r="Q109" i="19" s="1" a="1"/>
  <c r="Q109" i="19" s="1"/>
  <c r="L726" i="19"/>
  <c r="Q726" i="19" s="1" a="1"/>
  <c r="Q726" i="19" s="1"/>
  <c r="L510" i="19"/>
  <c r="Q510" i="19" s="1" a="1"/>
  <c r="Q510" i="19" s="1"/>
  <c r="L937" i="19"/>
  <c r="Q937" i="19" s="1" a="1"/>
  <c r="Q937" i="19" s="1"/>
  <c r="L989" i="19"/>
  <c r="Q989" i="19" s="1" a="1"/>
  <c r="Q989" i="19" s="1"/>
  <c r="L630" i="19"/>
  <c r="Q630" i="19" s="1" a="1"/>
  <c r="Q630" i="19" s="1"/>
  <c r="L240" i="19"/>
  <c r="Q240" i="19" s="1" a="1"/>
  <c r="Q240" i="19" s="1"/>
  <c r="L656" i="19"/>
  <c r="Q656" i="19" s="1" a="1"/>
  <c r="Q656" i="19" s="1"/>
  <c r="L266" i="19"/>
  <c r="Q266" i="19" s="1" a="1"/>
  <c r="Q266" i="19" s="1"/>
  <c r="L306" i="19"/>
  <c r="Q306" i="19" s="1" a="1"/>
  <c r="Q306" i="19" s="1"/>
  <c r="L75" i="19"/>
  <c r="Q75" i="19" s="1" a="1"/>
  <c r="Q75" i="19" s="1"/>
  <c r="L938" i="19"/>
  <c r="Q938" i="19" s="1" a="1"/>
  <c r="Q938" i="19" s="1"/>
  <c r="L188" i="19"/>
  <c r="Q188" i="19" s="1" a="1"/>
  <c r="Q188" i="19" s="1"/>
  <c r="L173" i="19"/>
  <c r="Q173" i="19" s="1" a="1"/>
  <c r="Q173" i="19" s="1"/>
  <c r="L399" i="19"/>
  <c r="Q399" i="19" s="1" a="1"/>
  <c r="Q399" i="19" s="1"/>
  <c r="L814" i="19"/>
  <c r="Q814" i="19" s="1" a="1"/>
  <c r="Q814" i="19" s="1"/>
  <c r="L39" i="19"/>
  <c r="Q39" i="19" s="1" a="1"/>
  <c r="Q39" i="19" s="1"/>
  <c r="L662" i="19"/>
  <c r="Q662" i="19" s="1" a="1"/>
  <c r="Q662" i="19" s="1"/>
  <c r="L666" i="19"/>
  <c r="Q666" i="19" s="1" a="1"/>
  <c r="Q666" i="19" s="1"/>
  <c r="L901" i="19"/>
  <c r="Q901" i="19" s="1" a="1"/>
  <c r="Q901" i="19" s="1"/>
  <c r="L985" i="19"/>
  <c r="Q985" i="19" s="1" a="1"/>
  <c r="Q985" i="19" s="1"/>
  <c r="L492" i="19"/>
  <c r="Q492" i="19" s="1" a="1"/>
  <c r="Q492" i="19" s="1"/>
  <c r="L286" i="19"/>
  <c r="Q286" i="19" s="1" a="1"/>
  <c r="Q286" i="19" s="1"/>
  <c r="L944" i="19"/>
  <c r="Q944" i="19" s="1" a="1"/>
  <c r="Q944" i="19" s="1"/>
  <c r="L63" i="19"/>
  <c r="Q63" i="19" s="1" a="1"/>
  <c r="Q63" i="19" s="1"/>
  <c r="L870" i="19"/>
  <c r="Q870" i="19" s="1" a="1"/>
  <c r="Q870" i="19" s="1"/>
  <c r="L237" i="19"/>
  <c r="Q237" i="19" s="1" a="1"/>
  <c r="Q237" i="19" s="1"/>
  <c r="L472" i="19"/>
  <c r="Q472" i="19" s="1" a="1"/>
  <c r="Q472" i="19" s="1"/>
  <c r="L473" i="19"/>
  <c r="Q473" i="19" s="1" a="1"/>
  <c r="Q473" i="19" s="1"/>
  <c r="L513" i="19"/>
  <c r="Q513" i="19" s="1" a="1"/>
  <c r="Q513" i="19" s="1"/>
  <c r="L739" i="19"/>
  <c r="Q739" i="19" s="1" a="1"/>
  <c r="Q739" i="19" s="1"/>
  <c r="L491" i="19"/>
  <c r="Q491" i="19" s="1" a="1"/>
  <c r="Q491" i="19" s="1"/>
  <c r="L359" i="19"/>
  <c r="Q359" i="19" s="1" a="1"/>
  <c r="Q359" i="19" s="1"/>
  <c r="L172" i="19"/>
  <c r="Q172" i="19" s="1" a="1"/>
  <c r="Q172" i="19" s="1"/>
  <c r="L387" i="19"/>
  <c r="Q387" i="19" s="1" a="1"/>
  <c r="Q387" i="19" s="1"/>
  <c r="L584" i="19"/>
  <c r="Q584" i="19" s="1" a="1"/>
  <c r="Q584" i="19" s="1"/>
  <c r="L443" i="19"/>
  <c r="Q443" i="19" s="1" a="1"/>
  <c r="Q443" i="19" s="1"/>
  <c r="L452" i="19"/>
  <c r="Q452" i="19" s="1" a="1"/>
  <c r="Q452" i="19" s="1"/>
  <c r="L917" i="19"/>
  <c r="Q917" i="19" s="1" a="1"/>
  <c r="Q917" i="19" s="1"/>
  <c r="L381" i="19"/>
  <c r="Q381" i="19" s="1" a="1"/>
  <c r="Q381" i="19" s="1"/>
  <c r="L183" i="19"/>
  <c r="Q183" i="19" s="1" a="1"/>
  <c r="Q183" i="19" s="1"/>
  <c r="L680" i="19"/>
  <c r="Q680" i="19" s="1" a="1"/>
  <c r="Q680" i="19" s="1"/>
  <c r="L19" i="19"/>
  <c r="Q19" i="19" s="1" a="1"/>
  <c r="Q19" i="19" s="1"/>
  <c r="L58" i="19"/>
  <c r="Q58" i="19" s="1" a="1"/>
  <c r="Q58" i="19" s="1"/>
  <c r="L734" i="19"/>
  <c r="Q734" i="19" s="1" a="1"/>
  <c r="Q734" i="19" s="1"/>
  <c r="L580" i="19"/>
  <c r="Q580" i="19" s="1" a="1"/>
  <c r="Q580" i="19" s="1"/>
  <c r="L924" i="19"/>
  <c r="Q924" i="19" s="1" a="1"/>
  <c r="Q924" i="19" s="1"/>
  <c r="L102" i="19"/>
  <c r="Q102" i="19" s="1" a="1"/>
  <c r="Q102" i="19" s="1"/>
  <c r="L511" i="19"/>
  <c r="Q511" i="19" s="1" a="1"/>
  <c r="Q511" i="19" s="1"/>
  <c r="L268" i="19"/>
  <c r="Q268" i="19" s="1" a="1"/>
  <c r="Q268" i="19" s="1"/>
  <c r="L980" i="19"/>
  <c r="Q980" i="19" s="1" a="1"/>
  <c r="Q980" i="19" s="1"/>
  <c r="L556" i="19"/>
  <c r="Q556" i="19" s="1" a="1"/>
  <c r="Q556" i="19" s="1"/>
  <c r="L284" i="19"/>
  <c r="Q284" i="19" s="1" a="1"/>
  <c r="Q284" i="19" s="1"/>
  <c r="L374" i="19"/>
  <c r="Q374" i="19" s="1" a="1"/>
  <c r="Q374" i="19" s="1"/>
  <c r="L520" i="19"/>
  <c r="Q520" i="19" s="1" a="1"/>
  <c r="Q520" i="19" s="1"/>
  <c r="L46" i="19"/>
  <c r="Q46" i="19" s="1" a="1"/>
  <c r="Q46" i="19" s="1"/>
  <c r="L317" i="19"/>
  <c r="Q317" i="19" s="1" a="1"/>
  <c r="Q317" i="19" s="1"/>
  <c r="L830" i="19"/>
  <c r="Q830" i="19" s="1" a="1"/>
  <c r="Q830" i="19" s="1"/>
  <c r="L258" i="19"/>
  <c r="Q258" i="19" s="1" a="1"/>
  <c r="Q258" i="19" s="1"/>
  <c r="L526" i="19"/>
  <c r="Q526" i="19" s="1" a="1"/>
  <c r="Q526" i="19" s="1"/>
  <c r="L705" i="19"/>
  <c r="Q705" i="19" s="1" a="1"/>
  <c r="Q705" i="19" s="1"/>
  <c r="L521" i="19"/>
  <c r="Q521" i="19" s="1" a="1"/>
  <c r="Q521" i="19" s="1"/>
  <c r="L757" i="19"/>
  <c r="Q757" i="19" s="1" a="1"/>
  <c r="Q757" i="19" s="1"/>
  <c r="L94" i="19"/>
  <c r="Q94" i="19" s="1" a="1"/>
  <c r="Q94" i="19" s="1"/>
  <c r="L715" i="19"/>
  <c r="Q715" i="19" s="1" a="1"/>
  <c r="Q715" i="19" s="1"/>
  <c r="L961" i="19"/>
  <c r="Q961" i="19" s="1" a="1"/>
  <c r="Q961" i="19" s="1"/>
  <c r="L299" i="19"/>
  <c r="Q299" i="19" s="1" a="1"/>
  <c r="Q299" i="19" s="1"/>
  <c r="L530" i="19"/>
  <c r="Q530" i="19" s="1" a="1"/>
  <c r="Q530" i="19" s="1"/>
  <c r="L864" i="19"/>
  <c r="Q864" i="19" s="1" a="1"/>
  <c r="Q864" i="19" s="1"/>
  <c r="L95" i="19"/>
  <c r="Q95" i="19" s="1" a="1"/>
  <c r="Q95" i="19" s="1"/>
  <c r="L736" i="19"/>
  <c r="Q736" i="19" s="1" a="1"/>
  <c r="Q736" i="19" s="1"/>
  <c r="L866" i="19"/>
  <c r="Q866" i="19" s="1" a="1"/>
  <c r="Q866" i="19" s="1"/>
  <c r="L619" i="19"/>
  <c r="Q619" i="19" s="1" a="1"/>
  <c r="Q619" i="19" s="1"/>
  <c r="L898" i="19"/>
  <c r="Q898" i="19" s="1" a="1"/>
  <c r="Q898" i="19" s="1"/>
  <c r="L852" i="19"/>
  <c r="Q852" i="19" s="1" a="1"/>
  <c r="Q852" i="19" s="1"/>
  <c r="L876" i="19"/>
  <c r="Q876" i="19" s="1" a="1"/>
  <c r="Q876" i="19" s="1"/>
  <c r="L840" i="19"/>
  <c r="Q840" i="19" s="1" a="1"/>
  <c r="Q840" i="19" s="1"/>
  <c r="L42" i="19"/>
  <c r="Q42" i="19" s="1" a="1"/>
  <c r="Q42" i="19" s="1"/>
  <c r="L400" i="19"/>
  <c r="Q400" i="19" s="1" a="1"/>
  <c r="Q400" i="19" s="1"/>
  <c r="L518" i="19"/>
  <c r="Q518" i="19" s="1" a="1"/>
  <c r="Q518" i="19" s="1"/>
  <c r="L977" i="19"/>
  <c r="Q977" i="19" s="1" a="1"/>
  <c r="Q977" i="19" s="1"/>
  <c r="L253" i="19"/>
  <c r="Q253" i="19" s="1" a="1"/>
  <c r="Q253" i="19" s="1"/>
  <c r="L414" i="19"/>
  <c r="Q414" i="19" s="1" a="1"/>
  <c r="Q414" i="19" s="1"/>
  <c r="L812" i="19"/>
  <c r="Q812" i="19" s="1" a="1"/>
  <c r="Q812" i="19" s="1"/>
  <c r="L738" i="19"/>
  <c r="Q738" i="19" s="1" a="1"/>
  <c r="Q738" i="19" s="1"/>
  <c r="L454" i="19"/>
  <c r="Q454" i="19" s="1" a="1"/>
  <c r="Q454" i="19" s="1"/>
  <c r="L391" i="19"/>
  <c r="Q391" i="19" s="1" a="1"/>
  <c r="Q391" i="19" s="1"/>
  <c r="L735" i="19"/>
  <c r="Q735" i="19" s="1" a="1"/>
  <c r="Q735" i="19" s="1"/>
  <c r="L242" i="19"/>
  <c r="Q242" i="19" s="1" a="1"/>
  <c r="Q242" i="19" s="1"/>
  <c r="L272" i="19"/>
  <c r="Q272" i="19" s="1" a="1"/>
  <c r="Q272" i="19" s="1"/>
  <c r="L820" i="19"/>
  <c r="Q820" i="19" s="1" a="1"/>
  <c r="Q820" i="19" s="1"/>
  <c r="L822" i="19"/>
  <c r="Q822" i="19" s="1" a="1"/>
  <c r="Q822" i="19" s="1"/>
  <c r="L853" i="19"/>
  <c r="Q853" i="19" s="1" a="1"/>
  <c r="Q853" i="19" s="1"/>
  <c r="L53" i="19"/>
  <c r="Q53" i="19" s="1" a="1"/>
  <c r="Q53" i="19" s="1"/>
  <c r="L597" i="19"/>
  <c r="Q597" i="19" s="1" a="1"/>
  <c r="Q597" i="19" s="1"/>
  <c r="L486" i="19"/>
  <c r="Q486" i="19" s="1" a="1"/>
  <c r="Q486" i="19" s="1"/>
  <c r="L406" i="19"/>
  <c r="Q406" i="19" s="1" a="1"/>
  <c r="Q406" i="19" s="1"/>
  <c r="L32" i="19"/>
  <c r="Q32" i="19" s="1" a="1"/>
  <c r="Q32" i="19" s="1"/>
  <c r="L90" i="19"/>
  <c r="Q90" i="19" s="1" a="1"/>
  <c r="Q90" i="19" s="1"/>
  <c r="L498" i="19"/>
  <c r="Q498" i="19" s="1" a="1"/>
  <c r="Q498" i="19" s="1"/>
  <c r="L161" i="19"/>
  <c r="Q161" i="19" s="1" a="1"/>
  <c r="Q161" i="19" s="1"/>
  <c r="L713" i="19"/>
  <c r="Q713" i="19" s="1" a="1"/>
  <c r="Q713" i="19" s="1"/>
  <c r="L519" i="19"/>
  <c r="Q519" i="19" s="1" a="1"/>
  <c r="Q519" i="19" s="1"/>
  <c r="L540" i="19"/>
  <c r="Q540" i="19" s="1" a="1"/>
  <c r="Q540" i="19" s="1"/>
  <c r="L624" i="19"/>
  <c r="Q624" i="19" s="1" a="1"/>
  <c r="Q624" i="19" s="1"/>
  <c r="L806" i="19"/>
  <c r="Q806" i="19" s="1" a="1"/>
  <c r="Q806" i="19" s="1"/>
  <c r="L919" i="19"/>
  <c r="Q919" i="19" s="1" a="1"/>
  <c r="Q919" i="19" s="1"/>
  <c r="L844" i="19"/>
  <c r="Q844" i="19" s="1" a="1"/>
  <c r="Q844" i="19" s="1"/>
  <c r="L528" i="19"/>
  <c r="Q528" i="19" s="1" a="1"/>
  <c r="Q528" i="19" s="1"/>
  <c r="L460" i="19"/>
  <c r="Q460" i="19" s="1" a="1"/>
  <c r="Q460" i="19" s="1"/>
  <c r="L909" i="19"/>
  <c r="Q909" i="19" s="1" a="1"/>
  <c r="Q909" i="19" s="1"/>
  <c r="L358" i="19"/>
  <c r="Q358" i="19" s="1" a="1"/>
  <c r="Q358" i="19" s="1"/>
  <c r="L671" i="19"/>
  <c r="Q671" i="19" s="1" a="1"/>
  <c r="Q671" i="19" s="1"/>
  <c r="L442" i="19"/>
  <c r="Q442" i="19" s="1" a="1"/>
  <c r="Q442" i="19" s="1"/>
  <c r="L955" i="19"/>
  <c r="Q955" i="19" s="1" a="1"/>
  <c r="Q955" i="19" s="1"/>
  <c r="L137" i="19"/>
  <c r="Q137" i="19" s="1" a="1"/>
  <c r="Q137" i="19" s="1"/>
  <c r="L883" i="19"/>
  <c r="Q883" i="19" s="1" a="1"/>
  <c r="Q883" i="19" s="1"/>
  <c r="L517" i="19"/>
  <c r="Q517" i="19" s="1" a="1"/>
  <c r="Q517" i="19" s="1"/>
  <c r="L372" i="19"/>
  <c r="Q372" i="19" s="1" a="1"/>
  <c r="Q372" i="19" s="1"/>
  <c r="L360" i="19"/>
  <c r="Q360" i="19" s="1" a="1"/>
  <c r="Q360" i="19" s="1"/>
  <c r="L305" i="19"/>
  <c r="Q305" i="19" s="1" a="1"/>
  <c r="Q305" i="19" s="1"/>
  <c r="L609" i="19"/>
  <c r="Q609" i="19" s="1" a="1"/>
  <c r="Q609" i="19" s="1"/>
  <c r="L249" i="19"/>
  <c r="Q249" i="19" s="1" a="1"/>
  <c r="Q249" i="19" s="1"/>
  <c r="L77" i="19"/>
  <c r="Q77" i="19" s="1" a="1"/>
  <c r="Q77" i="19" s="1"/>
  <c r="L201" i="19"/>
  <c r="Q201" i="19" s="1" a="1"/>
  <c r="Q201" i="19" s="1"/>
  <c r="L860" i="19"/>
  <c r="Q860" i="19" s="1" a="1"/>
  <c r="Q860" i="19" s="1"/>
  <c r="L845" i="19"/>
  <c r="Q845" i="19" s="1" a="1"/>
  <c r="Q845" i="19" s="1"/>
  <c r="L131" i="19"/>
  <c r="Q131" i="19" s="1" a="1"/>
  <c r="Q131" i="19" s="1"/>
  <c r="L791" i="19"/>
  <c r="Q791" i="19" s="1" a="1"/>
  <c r="Q791" i="19" s="1"/>
  <c r="L792" i="19"/>
  <c r="Q792" i="19" s="1" a="1"/>
  <c r="Q792" i="19" s="1"/>
  <c r="L373" i="19"/>
  <c r="Q373" i="19" s="1" a="1"/>
  <c r="Q373" i="19" s="1"/>
  <c r="L371" i="19"/>
  <c r="Q371" i="19" s="1" a="1"/>
  <c r="Q371" i="19" s="1"/>
  <c r="L248" i="19"/>
  <c r="Q248" i="19" s="1" a="1"/>
  <c r="Q248" i="19" s="1"/>
  <c r="L658" i="19"/>
  <c r="Q658" i="19" s="1" a="1"/>
  <c r="Q658" i="19" s="1"/>
  <c r="L900" i="19"/>
  <c r="Q900" i="19" s="1" a="1"/>
  <c r="Q900" i="19" s="1"/>
  <c r="L670" i="19"/>
  <c r="Q670" i="19" s="1" a="1"/>
  <c r="Q670" i="19" s="1"/>
  <c r="L44" i="19"/>
  <c r="Q44" i="19" s="1" a="1"/>
  <c r="Q44" i="19" s="1"/>
  <c r="L301" i="19"/>
  <c r="Q301" i="19" s="1" a="1"/>
  <c r="Q301" i="19" s="1"/>
  <c r="L813" i="19"/>
  <c r="Q813" i="19" s="1" a="1"/>
  <c r="Q813" i="19" s="1"/>
  <c r="L533" i="19"/>
  <c r="Q533" i="19" s="1" a="1"/>
  <c r="Q533" i="19" s="1"/>
  <c r="L490" i="19"/>
  <c r="Q490" i="19" s="1" a="1"/>
  <c r="Q490" i="19" s="1"/>
  <c r="L157" i="19"/>
  <c r="Q157" i="19" s="1" a="1"/>
  <c r="Q157" i="19" s="1"/>
  <c r="L941" i="19"/>
  <c r="Q941" i="19" s="1" a="1"/>
  <c r="Q941" i="19" s="1"/>
  <c r="L951" i="19"/>
  <c r="Q951" i="19" s="1" a="1"/>
  <c r="Q951" i="19" s="1"/>
  <c r="L577" i="19"/>
  <c r="Q577" i="19" s="1" a="1"/>
  <c r="Q577" i="19" s="1"/>
  <c r="L14" i="19"/>
  <c r="Q14" i="19" s="1" a="1"/>
  <c r="Q14" i="19" s="1"/>
  <c r="L195" i="19"/>
  <c r="Q195" i="19" s="1" a="1"/>
  <c r="Q195" i="19" s="1"/>
  <c r="L412" i="19"/>
  <c r="Q412" i="19" s="1" a="1"/>
  <c r="Q412" i="19" s="1"/>
  <c r="L439" i="19"/>
  <c r="Q439" i="19" s="1" a="1"/>
  <c r="Q439" i="19" s="1"/>
  <c r="L158" i="19"/>
  <c r="Q158" i="19" s="1" a="1"/>
  <c r="Q158" i="19" s="1"/>
  <c r="L114" i="19"/>
  <c r="Q114" i="19" s="1" a="1"/>
  <c r="Q114" i="19" s="1"/>
  <c r="L537" i="19"/>
  <c r="Q537" i="19" s="1" a="1"/>
  <c r="Q537" i="19" s="1"/>
  <c r="L742" i="19"/>
  <c r="Q742" i="19" s="1" a="1"/>
  <c r="Q742" i="19" s="1"/>
  <c r="L877" i="19"/>
  <c r="Q877" i="19" s="1" a="1"/>
  <c r="Q877" i="19" s="1"/>
  <c r="L546" i="19"/>
  <c r="Q546" i="19" s="1" a="1"/>
  <c r="Q546" i="19" s="1"/>
  <c r="L512" i="19"/>
  <c r="Q512" i="19" s="1" a="1"/>
  <c r="Q512" i="19" s="1"/>
  <c r="L618" i="19"/>
  <c r="Q618" i="19" s="1" a="1"/>
  <c r="Q618" i="19" s="1"/>
  <c r="L420" i="19"/>
  <c r="Q420" i="19" s="1" a="1"/>
  <c r="Q420" i="19" s="1"/>
  <c r="L986" i="19"/>
  <c r="Q986" i="19" s="1" a="1"/>
  <c r="Q986" i="19" s="1"/>
  <c r="L675" i="19"/>
  <c r="Q675" i="19" s="1" a="1"/>
  <c r="Q675" i="19" s="1"/>
  <c r="L502" i="19"/>
  <c r="Q502" i="19" s="1" a="1"/>
  <c r="Q502" i="19" s="1"/>
  <c r="L422" i="19"/>
  <c r="Q422" i="19" s="1" a="1"/>
  <c r="Q422" i="19" s="1"/>
  <c r="L410" i="19"/>
  <c r="Q410" i="19" s="1" a="1"/>
  <c r="Q410" i="19" s="1"/>
  <c r="L638" i="19"/>
  <c r="Q638" i="19" s="1" a="1"/>
  <c r="Q638" i="19" s="1"/>
  <c r="L134" i="19"/>
  <c r="Q134" i="19" s="1" a="1"/>
  <c r="Q134" i="19" s="1"/>
  <c r="L156" i="19"/>
  <c r="Q156" i="19" s="1" a="1"/>
  <c r="Q156" i="19" s="1"/>
  <c r="L254" i="19"/>
  <c r="Q254" i="19" s="1" a="1"/>
  <c r="Q254" i="19" s="1"/>
  <c r="L489" i="19"/>
  <c r="Q489" i="19" s="1" a="1"/>
  <c r="Q489" i="19" s="1"/>
  <c r="L189" i="19"/>
  <c r="Q189" i="19" s="1" a="1"/>
  <c r="Q189" i="19" s="1"/>
  <c r="L548" i="19"/>
  <c r="Q548" i="19" s="1" a="1"/>
  <c r="Q548" i="19" s="1"/>
  <c r="L570" i="19"/>
  <c r="Q570" i="19" s="1" a="1"/>
  <c r="Q570" i="19" s="1"/>
  <c r="L37" i="19"/>
  <c r="Q37" i="19" s="1" a="1"/>
  <c r="Q37" i="19" s="1"/>
  <c r="L178" i="19"/>
  <c r="Q178" i="19" s="1" a="1"/>
  <c r="Q178" i="19" s="1"/>
  <c r="L26" i="19"/>
  <c r="Q26" i="19" s="1" a="1"/>
  <c r="Q26" i="19" s="1"/>
  <c r="L146" i="19"/>
  <c r="Q146" i="19" s="1" a="1"/>
  <c r="Q146" i="19" s="1"/>
  <c r="L147" i="19"/>
  <c r="Q147" i="19" s="1" a="1"/>
  <c r="Q147" i="19" s="1"/>
  <c r="L222" i="19"/>
  <c r="Q222" i="19" s="1" a="1"/>
  <c r="Q222" i="19" s="1"/>
  <c r="L879" i="19"/>
  <c r="Q879" i="19" s="1" a="1"/>
  <c r="Q879" i="19" s="1"/>
  <c r="L589" i="19"/>
  <c r="Q589" i="19" s="1" a="1"/>
  <c r="Q589" i="19" s="1"/>
  <c r="L661" i="19"/>
  <c r="Q661" i="19" s="1" a="1"/>
  <c r="Q661" i="19" s="1"/>
  <c r="L99" i="19"/>
  <c r="Q99" i="19" s="1" a="1"/>
  <c r="Q99" i="19" s="1"/>
  <c r="L36" i="19"/>
  <c r="Q36" i="19" s="1" a="1"/>
  <c r="Q36" i="19" s="1"/>
  <c r="L155" i="19"/>
  <c r="Q155" i="19" s="1" a="1"/>
  <c r="Q155" i="19" s="1"/>
  <c r="L340" i="19"/>
  <c r="Q340" i="19" s="1" a="1"/>
  <c r="Q340" i="19" s="1"/>
  <c r="L335" i="19"/>
  <c r="Q335" i="19" s="1" a="1"/>
  <c r="Q335" i="19" s="1"/>
  <c r="L621" i="19"/>
  <c r="Q621" i="19" s="1" a="1"/>
  <c r="Q621" i="19" s="1"/>
  <c r="L920" i="19"/>
  <c r="Q920" i="19" s="1" a="1"/>
  <c r="Q920" i="19" s="1"/>
  <c r="L235" i="19"/>
  <c r="Q235" i="19" s="1" a="1"/>
  <c r="Q235" i="19" s="1"/>
  <c r="L747" i="19"/>
  <c r="Q747" i="19" s="1" a="1"/>
  <c r="Q747" i="19" s="1"/>
  <c r="L541" i="19"/>
  <c r="Q541" i="19" s="1" a="1"/>
  <c r="Q541" i="19" s="1"/>
  <c r="L462" i="19"/>
  <c r="Q462" i="19" s="1" a="1"/>
  <c r="Q462" i="19" s="1"/>
  <c r="L13" i="19"/>
  <c r="Q13" i="19" s="1" a="1"/>
  <c r="Q13" i="19" s="1"/>
  <c r="L458" i="19"/>
  <c r="Q458" i="19" s="1" a="1"/>
  <c r="Q458" i="19" s="1"/>
  <c r="L446" i="19"/>
  <c r="Q446" i="19" s="1" a="1"/>
  <c r="Q446" i="19" s="1"/>
  <c r="L447" i="19"/>
  <c r="Q447" i="19" s="1" a="1"/>
  <c r="Q447" i="19" s="1"/>
  <c r="L477" i="19"/>
  <c r="Q477" i="19" s="1" a="1"/>
  <c r="Q477" i="19" s="1"/>
  <c r="L590" i="19"/>
  <c r="Q590" i="19" s="1" a="1"/>
  <c r="Q590" i="19" s="1"/>
  <c r="L706" i="19"/>
  <c r="Q706" i="19" s="1" a="1"/>
  <c r="Q706" i="19" s="1"/>
  <c r="L568" i="19"/>
  <c r="Q568" i="19" s="1" a="1"/>
  <c r="Q568" i="19" s="1"/>
  <c r="L376" i="19"/>
  <c r="Q376" i="19" s="1" a="1"/>
  <c r="Q376" i="19" s="1"/>
  <c r="L38" i="19"/>
  <c r="Q38" i="19" s="1" a="1"/>
  <c r="Q38" i="19" s="1"/>
  <c r="L826" i="19"/>
  <c r="Q826" i="19" s="1" a="1"/>
  <c r="Q826" i="19" s="1"/>
  <c r="L687" i="19"/>
  <c r="Q687" i="19" s="1" a="1"/>
  <c r="Q687" i="19" s="1"/>
  <c r="L493" i="19"/>
  <c r="Q493" i="19" s="1" a="1"/>
  <c r="Q493" i="19" s="1"/>
  <c r="L936" i="19"/>
  <c r="Q936" i="19" s="1" a="1"/>
  <c r="Q936" i="19" s="1"/>
  <c r="L748" i="19"/>
  <c r="Q748" i="19" s="1" a="1"/>
  <c r="Q748" i="19" s="1"/>
  <c r="L259" i="19"/>
  <c r="Q259" i="19" s="1" a="1"/>
  <c r="Q259" i="19" s="1"/>
  <c r="L9" i="19"/>
  <c r="Q9" i="19" s="1" a="1"/>
  <c r="Q9" i="19" s="1"/>
  <c r="L703" i="19"/>
  <c r="Q703" i="19" s="1" a="1"/>
  <c r="Q703" i="19" s="1"/>
  <c r="L314" i="19"/>
  <c r="Q314" i="19" s="1" a="1"/>
  <c r="Q314" i="19" s="1"/>
  <c r="L695" i="19"/>
  <c r="Q695" i="19" s="1" a="1"/>
  <c r="Q695" i="19" s="1"/>
  <c r="L890" i="19"/>
  <c r="Q890" i="19" s="1" a="1"/>
  <c r="Q890" i="19" s="1"/>
  <c r="L505" i="19"/>
  <c r="Q505" i="19" s="1" a="1"/>
  <c r="Q505" i="19" s="1"/>
  <c r="L506" i="19"/>
  <c r="Q506" i="19" s="1" a="1"/>
  <c r="Q506" i="19" s="1"/>
  <c r="L773" i="19"/>
  <c r="Q773" i="19" s="1" a="1"/>
  <c r="Q773" i="19" s="1"/>
  <c r="L100" i="19"/>
  <c r="Q100" i="19" s="1" a="1"/>
  <c r="Q100" i="19" s="1"/>
  <c r="L623" i="19"/>
  <c r="Q623" i="19" s="1" a="1"/>
  <c r="Q623" i="19" s="1"/>
  <c r="L886" i="19"/>
  <c r="Q886" i="19" s="1" a="1"/>
  <c r="Q886" i="19" s="1"/>
  <c r="L274" i="19"/>
  <c r="Q274" i="19" s="1" a="1"/>
  <c r="Q274" i="19" s="1"/>
  <c r="L749" i="19"/>
  <c r="Q749" i="19" s="1" a="1"/>
  <c r="Q749" i="19" s="1"/>
  <c r="L522" i="19"/>
  <c r="Q522" i="19" s="1" a="1"/>
  <c r="Q522" i="19" s="1"/>
  <c r="L865" i="19"/>
  <c r="Q865" i="19" s="1" a="1"/>
  <c r="Q865" i="19" s="1"/>
  <c r="L805" i="19"/>
  <c r="Q805" i="19" s="1" a="1"/>
  <c r="Q805" i="19" s="1"/>
  <c r="L171" i="19"/>
  <c r="Q171" i="19" s="1" a="1"/>
  <c r="Q171" i="19" s="1"/>
  <c r="L743" i="19"/>
  <c r="Q743" i="19" s="1" a="1"/>
  <c r="Q743" i="19" s="1"/>
  <c r="L417" i="19"/>
  <c r="Q417" i="19" s="1" a="1"/>
  <c r="Q417" i="19" s="1"/>
  <c r="L667" i="19"/>
  <c r="Q667" i="19" s="1" a="1"/>
  <c r="Q667" i="19" s="1"/>
  <c r="L827" i="19"/>
  <c r="Q827" i="19" s="1" a="1"/>
  <c r="Q827" i="19" s="1"/>
  <c r="L689" i="19"/>
  <c r="Q689" i="19" s="1" a="1"/>
  <c r="Q689" i="19" s="1"/>
  <c r="L790" i="19"/>
  <c r="Q790" i="19" s="1" a="1"/>
  <c r="Q790" i="19" s="1"/>
  <c r="L104" i="19"/>
  <c r="Q104" i="19" s="1" a="1"/>
  <c r="Q104" i="19" s="1"/>
  <c r="L642" i="19"/>
  <c r="Q642" i="19" s="1" a="1"/>
  <c r="Q642" i="19" s="1"/>
  <c r="L29" i="19"/>
  <c r="Q29" i="19" s="1" a="1"/>
  <c r="Q29" i="19" s="1"/>
  <c r="L363" i="19"/>
  <c r="Q363" i="19" s="1" a="1"/>
  <c r="Q363" i="19" s="1"/>
  <c r="L778" i="19"/>
  <c r="Q778" i="19" s="1" a="1"/>
  <c r="Q778" i="19" s="1"/>
  <c r="L209" i="19"/>
  <c r="Q209" i="19" s="1" a="1"/>
  <c r="Q209" i="19" s="1"/>
  <c r="L690" i="19"/>
  <c r="Q690" i="19" s="1" a="1"/>
  <c r="Q690" i="19" s="1"/>
  <c r="L496" i="19"/>
  <c r="Q496" i="19" s="1" a="1"/>
  <c r="Q496" i="19" s="1"/>
  <c r="L753" i="19"/>
  <c r="Q753" i="19" s="1" a="1"/>
  <c r="Q753" i="19" s="1"/>
  <c r="L754" i="19"/>
  <c r="Q754" i="19" s="1" a="1"/>
  <c r="Q754" i="19" s="1"/>
  <c r="L997" i="19"/>
  <c r="Q997" i="19" s="1" a="1"/>
  <c r="Q997" i="19" s="1"/>
  <c r="L483" i="19"/>
  <c r="Q483" i="19" s="1" a="1"/>
  <c r="Q483" i="19" s="1"/>
  <c r="L148" i="19"/>
  <c r="Q148" i="19" s="1" a="1"/>
  <c r="Q148" i="19" s="1"/>
  <c r="L226" i="19"/>
  <c r="Q226" i="19" s="1" a="1"/>
  <c r="Q226" i="19" s="1"/>
  <c r="L128" i="19"/>
  <c r="Q128" i="19" s="1" a="1"/>
  <c r="Q128" i="19" s="1"/>
  <c r="L564" i="19"/>
  <c r="Q564" i="19" s="1" a="1"/>
  <c r="Q564" i="19" s="1"/>
  <c r="L601" i="19"/>
  <c r="Q601" i="19" s="1" a="1"/>
  <c r="Q601" i="19" s="1"/>
  <c r="L261" i="19"/>
  <c r="Q261" i="19" s="1" a="1"/>
  <c r="Q261" i="19" s="1"/>
  <c r="L448" i="19"/>
  <c r="Q448" i="19" s="1" a="1"/>
  <c r="Q448" i="19" s="1"/>
  <c r="L660" i="19"/>
  <c r="Q660" i="19" s="1" a="1"/>
  <c r="Q660" i="19" s="1"/>
  <c r="L557" i="19"/>
  <c r="Q557" i="19" s="1" a="1"/>
  <c r="Q557" i="19" s="1"/>
  <c r="L124" i="19"/>
  <c r="Q124" i="19" s="1" a="1"/>
  <c r="Q124" i="19" s="1"/>
  <c r="L849" i="19"/>
  <c r="Q849" i="19" s="1" a="1"/>
  <c r="Q849" i="19" s="1"/>
  <c r="L563" i="19"/>
  <c r="Q563" i="19" s="1" a="1"/>
  <c r="Q563" i="19" s="1"/>
  <c r="L174" i="19"/>
  <c r="Q174" i="19" s="1" a="1"/>
  <c r="Q174" i="19" s="1"/>
  <c r="L768" i="19"/>
  <c r="Q768" i="19" s="1" a="1"/>
  <c r="Q768" i="19" s="1"/>
  <c r="L798" i="19"/>
  <c r="Q798" i="19" s="1" a="1"/>
  <c r="Q798" i="19" s="1"/>
  <c r="L858" i="19"/>
  <c r="Q858" i="19" s="1" a="1"/>
  <c r="Q858" i="19" s="1"/>
  <c r="L271" i="19"/>
  <c r="Q271" i="19" s="1" a="1"/>
  <c r="Q271" i="19" s="1"/>
  <c r="L98" i="19"/>
  <c r="Q98" i="19" s="1" a="1"/>
  <c r="Q98" i="19" s="1"/>
  <c r="L839" i="19"/>
  <c r="Q839" i="19" s="1" a="1"/>
  <c r="Q839" i="19" s="1"/>
  <c r="L256" i="19"/>
  <c r="Q256" i="19" s="1" a="1"/>
  <c r="Q256" i="19" s="1"/>
  <c r="L270" i="19"/>
  <c r="Q270" i="19" s="1" a="1"/>
  <c r="Q270" i="19" s="1"/>
  <c r="L885" i="19"/>
  <c r="Q885" i="19" s="1" a="1"/>
  <c r="Q885" i="19" s="1"/>
  <c r="L308" i="19"/>
  <c r="Q308" i="19" s="1" a="1"/>
  <c r="Q308" i="19" s="1"/>
  <c r="L430" i="19"/>
  <c r="Q430" i="19" s="1" a="1"/>
  <c r="Q430" i="19" s="1"/>
  <c r="L111" i="19"/>
  <c r="Q111" i="19" s="1" a="1"/>
  <c r="Q111" i="19" s="1"/>
  <c r="L302" i="19"/>
  <c r="Q302" i="19" s="1" a="1"/>
  <c r="Q302" i="19" s="1"/>
  <c r="L252" i="19"/>
  <c r="Q252" i="19" s="1" a="1"/>
  <c r="Q252" i="19" s="1"/>
  <c r="L582" i="19"/>
  <c r="Q582" i="19" s="1" a="1"/>
  <c r="Q582" i="19" s="1"/>
  <c r="L907" i="19"/>
  <c r="Q907" i="19" s="1" a="1"/>
  <c r="Q907" i="19" s="1"/>
  <c r="L425" i="19"/>
  <c r="Q425" i="19" s="1" a="1"/>
  <c r="Q425" i="19" s="1"/>
  <c r="L130" i="19"/>
  <c r="Q130" i="19" s="1" a="1"/>
  <c r="Q130" i="19" s="1"/>
  <c r="L981" i="19"/>
  <c r="Q981" i="19" s="1" a="1"/>
  <c r="Q981" i="19" s="1"/>
  <c r="L682" i="19"/>
  <c r="Q682" i="19" s="1" a="1"/>
  <c r="Q682" i="19" s="1"/>
  <c r="L770" i="19"/>
  <c r="Q770" i="19" s="1" a="1"/>
  <c r="Q770" i="19" s="1"/>
  <c r="L677" i="19"/>
  <c r="Q677" i="19" s="1" a="1"/>
  <c r="Q677" i="19" s="1"/>
  <c r="L70" i="19"/>
  <c r="Q70" i="19" s="1" a="1"/>
  <c r="Q70" i="19" s="1"/>
  <c r="L480" i="19"/>
  <c r="Q480" i="19" s="1" a="1"/>
  <c r="Q480" i="19" s="1"/>
  <c r="L435" i="19"/>
  <c r="Q435" i="19" s="1" a="1"/>
  <c r="Q435" i="19" s="1"/>
  <c r="L193" i="19"/>
  <c r="Q193" i="19" s="1" a="1"/>
  <c r="Q193" i="19" s="1"/>
  <c r="L194" i="19"/>
  <c r="Q194" i="19" s="1" a="1"/>
  <c r="Q194" i="19" s="1"/>
  <c r="L787" i="19"/>
  <c r="Q787" i="19" s="1" a="1"/>
  <c r="Q787" i="19" s="1"/>
  <c r="L428" i="19"/>
  <c r="Q428" i="19" s="1" a="1"/>
  <c r="Q428" i="19" s="1"/>
  <c r="L688" i="19"/>
  <c r="Q688" i="19" s="1" a="1"/>
  <c r="Q688" i="19" s="1"/>
  <c r="L182" i="19"/>
  <c r="Q182" i="19" s="1" a="1"/>
  <c r="Q182" i="19" s="1"/>
  <c r="L409" i="19"/>
  <c r="Q409" i="19" s="1" a="1"/>
  <c r="Q409" i="19" s="1"/>
  <c r="L176" i="19"/>
  <c r="Q176" i="19" s="1" a="1"/>
  <c r="Q176" i="19" s="1"/>
  <c r="L269" i="19"/>
  <c r="Q269" i="19" s="1" a="1"/>
  <c r="Q269" i="19" s="1"/>
  <c r="L343" i="19"/>
  <c r="Q343" i="19" s="1" a="1"/>
  <c r="Q343" i="19" s="1"/>
  <c r="L287" i="19"/>
  <c r="Q287" i="19" s="1" a="1"/>
  <c r="Q287" i="19" s="1"/>
  <c r="L664" i="19"/>
  <c r="Q664" i="19" s="1" a="1"/>
  <c r="Q664" i="19" s="1"/>
  <c r="L497" i="19"/>
  <c r="Q497" i="19" s="1" a="1"/>
  <c r="Q497" i="19" s="1"/>
  <c r="L539" i="19"/>
  <c r="Q539" i="19" s="1" a="1"/>
  <c r="Q539" i="19" s="1"/>
  <c r="L635" i="19"/>
  <c r="Q635" i="19" s="1" a="1"/>
  <c r="Q635" i="19" s="1"/>
  <c r="L92" i="19"/>
  <c r="Q92" i="19" s="1" a="1"/>
  <c r="Q92" i="19" s="1"/>
  <c r="L141" i="19"/>
  <c r="Q141" i="19" s="1" a="1"/>
  <c r="Q141" i="19" s="1"/>
  <c r="L802" i="19"/>
  <c r="Q802" i="19" s="1" a="1"/>
  <c r="Q802" i="19" s="1"/>
  <c r="L678" i="19"/>
  <c r="Q678" i="19" s="1" a="1"/>
  <c r="Q678" i="19" s="1"/>
  <c r="L275" i="19"/>
  <c r="Q275" i="19" s="1" a="1"/>
  <c r="Q275" i="19" s="1"/>
  <c r="L276" i="19"/>
  <c r="Q276" i="19" s="1" a="1"/>
  <c r="Q276" i="19" s="1"/>
  <c r="L263" i="19"/>
  <c r="Q263" i="19" s="1" a="1"/>
  <c r="Q263" i="19" s="1"/>
  <c r="L979" i="19"/>
  <c r="Q979" i="19" s="1" a="1"/>
  <c r="Q979" i="19" s="1"/>
  <c r="L394" i="19"/>
  <c r="Q394" i="19" s="1" a="1"/>
  <c r="Q394" i="19" s="1"/>
  <c r="L450" i="19"/>
  <c r="Q450" i="19" s="1" a="1"/>
  <c r="Q450" i="19" s="1"/>
  <c r="L952" i="19"/>
  <c r="Q952" i="19" s="1" a="1"/>
  <c r="Q952" i="19" s="1"/>
  <c r="L84" i="19"/>
  <c r="Q84" i="19" s="1" a="1"/>
  <c r="Q84" i="19" s="1"/>
  <c r="L347" i="19"/>
  <c r="Q347" i="19" s="1" a="1"/>
  <c r="Q347" i="19" s="1"/>
  <c r="L487" i="19"/>
  <c r="Q487" i="19" s="1" a="1"/>
  <c r="Q487" i="19" s="1"/>
  <c r="L313" i="19"/>
  <c r="Q313" i="19" s="1" a="1"/>
  <c r="Q313" i="19" s="1"/>
  <c r="L819" i="19"/>
  <c r="Q819" i="19" s="1" a="1"/>
  <c r="Q819" i="19" s="1"/>
  <c r="L407" i="19"/>
  <c r="Q407" i="19" s="1" a="1"/>
  <c r="Q407" i="19" s="1"/>
  <c r="L427" i="19"/>
  <c r="Q427" i="19" s="1" a="1"/>
  <c r="Q427" i="19" s="1"/>
  <c r="L527" i="19"/>
  <c r="Q527" i="19" s="1" a="1"/>
  <c r="Q527" i="19" s="1"/>
  <c r="L466" i="19"/>
  <c r="Q466" i="19" s="1" a="1"/>
  <c r="Q466" i="19" s="1"/>
  <c r="L516" i="19"/>
  <c r="Q516" i="19" s="1" a="1"/>
  <c r="Q516" i="19" s="1"/>
  <c r="L140" i="19"/>
  <c r="Q140" i="19" s="1" a="1"/>
  <c r="Q140" i="19" s="1"/>
  <c r="L139" i="19"/>
  <c r="Q139" i="19" s="1" a="1"/>
  <c r="Q139" i="19" s="1"/>
  <c r="L142" i="19"/>
  <c r="Q142" i="19" s="1" a="1"/>
  <c r="Q142" i="19" s="1"/>
  <c r="L143" i="19"/>
  <c r="Q143" i="19" s="1" a="1"/>
  <c r="Q143" i="19" s="1"/>
  <c r="L144" i="19"/>
  <c r="Q144" i="19" s="1" a="1"/>
  <c r="Q144" i="19" s="1"/>
  <c r="L145" i="19"/>
  <c r="Q145" i="19" s="1" a="1"/>
  <c r="Q145" i="19" s="1"/>
  <c r="L816" i="19"/>
  <c r="Q816" i="19" s="1" a="1"/>
  <c r="Q816" i="19" s="1"/>
  <c r="L177" i="19"/>
  <c r="Q177" i="19" s="1" a="1"/>
  <c r="Q177" i="19" s="1"/>
  <c r="L365" i="19"/>
  <c r="Q365" i="19" s="1" a="1"/>
  <c r="Q365" i="19" s="1"/>
  <c r="L698" i="19"/>
  <c r="Q698" i="19" s="1" a="1"/>
  <c r="Q698" i="19" s="1"/>
  <c r="L992" i="19"/>
  <c r="Q992" i="19" s="1" a="1"/>
  <c r="Q992" i="19" s="1"/>
  <c r="L212" i="19"/>
  <c r="Q212" i="19" s="1" a="1"/>
  <c r="Q212" i="19" s="1"/>
  <c r="L525" i="19"/>
  <c r="Q525" i="19" s="1" a="1"/>
  <c r="Q525" i="19" s="1"/>
  <c r="L101" i="19"/>
  <c r="Q101" i="19" s="1" a="1"/>
  <c r="Q101" i="19" s="1"/>
  <c r="L999" i="19"/>
  <c r="Q999" i="19" s="1" a="1"/>
  <c r="Q999" i="19" s="1"/>
  <c r="L974" i="19"/>
  <c r="Q974" i="19" s="1" a="1"/>
  <c r="Q974" i="19" s="1"/>
  <c r="L190" i="19"/>
  <c r="Q190" i="19" s="1" a="1"/>
  <c r="Q190" i="19" s="1"/>
  <c r="L859" i="19"/>
  <c r="Q859" i="19" s="1" a="1"/>
  <c r="Q859" i="19" s="1"/>
  <c r="L745" i="19"/>
  <c r="Q745" i="19" s="1" a="1"/>
  <c r="Q745" i="19" s="1"/>
  <c r="L283" i="19"/>
  <c r="Q283" i="19" s="1" a="1"/>
  <c r="Q283" i="19" s="1"/>
  <c r="L186" i="19"/>
  <c r="Q186" i="19" s="1" a="1"/>
  <c r="Q186" i="19" s="1"/>
  <c r="L841" i="19"/>
  <c r="Q841" i="19" s="1" a="1"/>
  <c r="Q841" i="19" s="1"/>
  <c r="L210" i="19"/>
  <c r="Q210" i="19" s="1" a="1"/>
  <c r="Q210" i="19" s="1"/>
  <c r="L536" i="19"/>
  <c r="Q536" i="19" s="1" a="1"/>
  <c r="Q536" i="19" s="1"/>
  <c r="L625" i="19"/>
  <c r="Q625" i="19" s="1" a="1"/>
  <c r="Q625" i="19" s="1"/>
  <c r="L187" i="19"/>
  <c r="Q187" i="19" s="1" a="1"/>
  <c r="Q187" i="19" s="1"/>
  <c r="L500" i="19"/>
  <c r="Q500" i="19" s="1" a="1"/>
  <c r="Q500" i="19" s="1"/>
  <c r="L265" i="19"/>
  <c r="Q265" i="19" s="1" a="1"/>
  <c r="Q265" i="19" s="1"/>
  <c r="L192" i="19"/>
  <c r="Q192" i="19" s="1" a="1"/>
  <c r="Q192" i="19" s="1"/>
  <c r="L560" i="19"/>
  <c r="Q560" i="19" s="1" a="1"/>
  <c r="Q560" i="19" s="1"/>
  <c r="L346" i="19"/>
  <c r="Q346" i="19" s="1" a="1"/>
  <c r="Q346" i="19" s="1"/>
  <c r="L794" i="19"/>
  <c r="Q794" i="19" s="1" a="1"/>
  <c r="Q794" i="19" s="1"/>
  <c r="L571" i="19"/>
  <c r="Q571" i="19" s="1" a="1"/>
  <c r="Q571" i="19" s="1"/>
  <c r="L206" i="19"/>
  <c r="Q206" i="19" s="1" a="1"/>
  <c r="Q206" i="19" s="1"/>
  <c r="L611" i="19"/>
  <c r="Q611" i="19" s="1" a="1"/>
  <c r="Q611" i="19" s="1"/>
  <c r="L8" i="19"/>
  <c r="Q8" i="19" s="1" a="1"/>
  <c r="Q8" i="19" s="1"/>
  <c r="L453" i="19"/>
  <c r="Q453" i="19" s="1" a="1"/>
  <c r="Q453" i="19" s="1"/>
  <c r="L643" i="19"/>
  <c r="Q643" i="19" s="1" a="1"/>
  <c r="Q643" i="19" s="1"/>
  <c r="L644" i="19"/>
  <c r="Q644" i="19" s="1" a="1"/>
  <c r="Q644" i="19" s="1"/>
  <c r="L273" i="19"/>
  <c r="Q273" i="19" s="1" a="1"/>
  <c r="Q273" i="19" s="1"/>
  <c r="L641" i="19"/>
  <c r="Q641" i="19" s="1" a="1"/>
  <c r="Q641" i="19" s="1"/>
  <c r="L170" i="19"/>
  <c r="Q170" i="19" s="1" a="1"/>
  <c r="Q170" i="19" s="1"/>
  <c r="L507" i="19"/>
  <c r="Q507" i="19" s="1" a="1"/>
  <c r="Q507" i="19" s="1"/>
  <c r="L645" i="19"/>
  <c r="Q645" i="19" s="1" a="1"/>
  <c r="Q645" i="19" s="1"/>
  <c r="L646" i="19"/>
  <c r="Q646" i="19" s="1" a="1"/>
  <c r="Q646" i="19" s="1"/>
  <c r="L737" i="19"/>
  <c r="Q737" i="19" s="1" a="1"/>
  <c r="Q737" i="19" s="1"/>
  <c r="L954" i="19"/>
  <c r="Q954" i="19" s="1" a="1"/>
  <c r="Q954" i="19" s="1"/>
  <c r="K40" i="19"/>
  <c r="P40" i="19" s="1" a="1"/>
  <c r="P40" i="19" s="1"/>
  <c r="L40" i="19"/>
  <c r="Q40" i="19" s="1" a="1"/>
  <c r="Q40" i="19" s="1"/>
  <c r="M40" i="19"/>
  <c r="N40" i="19"/>
  <c r="O40" i="19" s="1"/>
  <c r="K41" i="19"/>
  <c r="P41" i="19" s="1" a="1"/>
  <c r="P41" i="19" s="1"/>
  <c r="K488" i="19"/>
  <c r="P488" i="19" s="1" a="1"/>
  <c r="P488" i="19" s="1"/>
  <c r="K197" i="19"/>
  <c r="P197" i="19" s="1" a="1"/>
  <c r="P197" i="19" s="1"/>
  <c r="K198" i="19"/>
  <c r="P198" i="19" s="1" a="1"/>
  <c r="P198" i="19" s="1"/>
  <c r="K115" i="19"/>
  <c r="P115" i="19" s="1" a="1"/>
  <c r="P115" i="19" s="1"/>
  <c r="K863" i="19"/>
  <c r="P863" i="19" s="1" a="1"/>
  <c r="P863" i="19" s="1"/>
  <c r="K673" i="19"/>
  <c r="P673" i="19" s="1" a="1"/>
  <c r="P673" i="19" s="1"/>
  <c r="K426" i="19"/>
  <c r="P426" i="19" s="1" a="1"/>
  <c r="P426" i="19" s="1"/>
  <c r="K824" i="19"/>
  <c r="P824" i="19" s="1" a="1"/>
  <c r="P824" i="19" s="1"/>
  <c r="K361" i="19"/>
  <c r="P361" i="19" s="1" a="1"/>
  <c r="P361" i="19" s="1"/>
  <c r="K309" i="19"/>
  <c r="P309" i="19" s="1" a="1"/>
  <c r="P309" i="19" s="1"/>
  <c r="K828" i="19"/>
  <c r="P828" i="19" s="1" a="1"/>
  <c r="P828" i="19" s="1"/>
  <c r="K911" i="19"/>
  <c r="P911" i="19" s="1" a="1"/>
  <c r="P911" i="19" s="1"/>
  <c r="K767" i="19"/>
  <c r="P767" i="19" s="1" a="1"/>
  <c r="P767" i="19" s="1"/>
  <c r="K607" i="19"/>
  <c r="P607" i="19" s="1" a="1"/>
  <c r="P607" i="19" s="1"/>
  <c r="K685" i="19"/>
  <c r="P685" i="19" s="1" a="1"/>
  <c r="P685" i="19" s="1"/>
  <c r="K815" i="19"/>
  <c r="P815" i="19" s="1" a="1"/>
  <c r="P815" i="19" s="1"/>
  <c r="K762" i="19"/>
  <c r="P762" i="19" s="1" a="1"/>
  <c r="P762" i="19" s="1"/>
  <c r="K85" i="19"/>
  <c r="P85" i="19" s="1" a="1"/>
  <c r="P85" i="19" s="1"/>
  <c r="K86" i="19"/>
  <c r="P86" i="19" s="1" a="1"/>
  <c r="P86" i="19" s="1"/>
  <c r="K89" i="19"/>
  <c r="P89" i="19" s="1" a="1"/>
  <c r="P89" i="19" s="1"/>
  <c r="K59" i="19"/>
  <c r="P59" i="19" s="1" a="1"/>
  <c r="P59" i="19" s="1"/>
  <c r="K471" i="19"/>
  <c r="P471" i="19" s="1" a="1"/>
  <c r="P471" i="19" s="1"/>
  <c r="K200" i="19"/>
  <c r="P200" i="19" s="1" a="1"/>
  <c r="P200" i="19" s="1"/>
  <c r="K243" i="19"/>
  <c r="P243" i="19" s="1" a="1"/>
  <c r="P243" i="19" s="1"/>
  <c r="K851" i="19"/>
  <c r="P851" i="19" s="1" a="1"/>
  <c r="P851" i="19" s="1"/>
  <c r="K959" i="19"/>
  <c r="P959" i="19" s="1" a="1"/>
  <c r="P959" i="19" s="1"/>
  <c r="K925" i="19"/>
  <c r="P925" i="19" s="1" a="1"/>
  <c r="P925" i="19" s="1"/>
  <c r="K700" i="19"/>
  <c r="P700" i="19" s="1" a="1"/>
  <c r="P700" i="19" s="1"/>
  <c r="K15" i="19"/>
  <c r="P15" i="19" s="1" a="1"/>
  <c r="P15" i="19" s="1"/>
  <c r="K16" i="19"/>
  <c r="P16" i="19" s="1" a="1"/>
  <c r="P16" i="19" s="1"/>
  <c r="K17" i="19"/>
  <c r="P17" i="19" s="1" a="1"/>
  <c r="P17" i="19" s="1"/>
  <c r="K388" i="19"/>
  <c r="P388" i="19" s="1" a="1"/>
  <c r="P388" i="19" s="1"/>
  <c r="K942" i="19"/>
  <c r="P942" i="19" s="1" a="1"/>
  <c r="P942" i="19" s="1"/>
  <c r="K345" i="19"/>
  <c r="P345" i="19" s="1" a="1"/>
  <c r="P345" i="19" s="1"/>
  <c r="K1001" i="19"/>
  <c r="P1001" i="19" s="1" a="1"/>
  <c r="P1001" i="19" s="1"/>
  <c r="K881" i="19"/>
  <c r="P881" i="19" s="1" a="1"/>
  <c r="P881" i="19" s="1"/>
  <c r="K304" i="19"/>
  <c r="P304" i="19" s="1" a="1"/>
  <c r="P304" i="19" s="1"/>
  <c r="K461" i="19"/>
  <c r="P461" i="19" s="1" a="1"/>
  <c r="P461" i="19" s="1"/>
  <c r="K514" i="19"/>
  <c r="P514" i="19" s="1" a="1"/>
  <c r="P514" i="19" s="1"/>
  <c r="K610" i="19"/>
  <c r="P610" i="19" s="1" a="1"/>
  <c r="P610" i="19" s="1"/>
  <c r="K4" i="19"/>
  <c r="P4" i="19" s="1" a="1"/>
  <c r="P4" i="19" s="1"/>
  <c r="K665" i="19"/>
  <c r="P665" i="19" s="1" a="1"/>
  <c r="P665" i="19" s="1"/>
  <c r="K751" i="19"/>
  <c r="P751" i="19" s="1" a="1"/>
  <c r="P751" i="19" s="1"/>
  <c r="K776" i="19"/>
  <c r="P776" i="19" s="1" a="1"/>
  <c r="P776" i="19" s="1"/>
  <c r="K296" i="19"/>
  <c r="P296" i="19" s="1" a="1"/>
  <c r="P296" i="19" s="1"/>
  <c r="K74" i="19"/>
  <c r="P74" i="19" s="1" a="1"/>
  <c r="P74" i="19" s="1"/>
  <c r="K800" i="19"/>
  <c r="P800" i="19" s="1" a="1"/>
  <c r="P800" i="19" s="1"/>
  <c r="K481" i="19"/>
  <c r="P481" i="19" s="1" a="1"/>
  <c r="P481" i="19" s="1"/>
  <c r="K469" i="19"/>
  <c r="P469" i="19" s="1" a="1"/>
  <c r="P469" i="19" s="1"/>
  <c r="K545" i="19"/>
  <c r="P545" i="19" s="1" a="1"/>
  <c r="P545" i="19" s="1"/>
  <c r="K436" i="19"/>
  <c r="P436" i="19" s="1" a="1"/>
  <c r="P436" i="19" s="1"/>
  <c r="K437" i="19"/>
  <c r="P437" i="19" s="1" a="1"/>
  <c r="P437" i="19" s="1"/>
  <c r="K73" i="19"/>
  <c r="P73" i="19" s="1" a="1"/>
  <c r="P73" i="19" s="1"/>
  <c r="K842" i="19"/>
  <c r="P842" i="19" s="1" a="1"/>
  <c r="P842" i="19" s="1"/>
  <c r="K922" i="19"/>
  <c r="P922" i="19" s="1" a="1"/>
  <c r="P922" i="19" s="1"/>
  <c r="K832" i="19"/>
  <c r="P832" i="19" s="1" a="1"/>
  <c r="P832" i="19" s="1"/>
  <c r="K975" i="19"/>
  <c r="P975" i="19" s="1" a="1"/>
  <c r="P975" i="19" s="1"/>
  <c r="K894" i="19"/>
  <c r="P894" i="19" s="1" a="1"/>
  <c r="P894" i="19" s="1"/>
  <c r="K236" i="19"/>
  <c r="P236" i="19" s="1" a="1"/>
  <c r="P236" i="19" s="1"/>
  <c r="K763" i="19"/>
  <c r="P763" i="19" s="1" a="1"/>
  <c r="P763" i="19" s="1"/>
  <c r="K744" i="19"/>
  <c r="P744" i="19" s="1" a="1"/>
  <c r="P744" i="19" s="1"/>
  <c r="K61" i="19"/>
  <c r="P61" i="19" s="1" a="1"/>
  <c r="P61" i="19" s="1"/>
  <c r="K353" i="19"/>
  <c r="P353" i="19" s="1" a="1"/>
  <c r="P353" i="19" s="1"/>
  <c r="K56" i="19"/>
  <c r="P56" i="19" s="1" a="1"/>
  <c r="P56" i="19" s="1"/>
  <c r="K107" i="19"/>
  <c r="P107" i="19" s="1" a="1"/>
  <c r="P107" i="19" s="1"/>
  <c r="K712" i="19"/>
  <c r="P712" i="19" s="1" a="1"/>
  <c r="P712" i="19" s="1"/>
  <c r="K441" i="19"/>
  <c r="P441" i="19" s="1" a="1"/>
  <c r="P441" i="19" s="1"/>
  <c r="K392" i="19"/>
  <c r="P392" i="19" s="1" a="1"/>
  <c r="P392" i="19" s="1"/>
  <c r="K857" i="19"/>
  <c r="P857" i="19" s="1" a="1"/>
  <c r="P857" i="19" s="1"/>
  <c r="K872" i="19"/>
  <c r="P872" i="19" s="1" a="1"/>
  <c r="P872" i="19" s="1"/>
  <c r="K88" i="19"/>
  <c r="P88" i="19" s="1" a="1"/>
  <c r="P88" i="19" s="1"/>
  <c r="K33" i="19"/>
  <c r="P33" i="19" s="1" a="1"/>
  <c r="P33" i="19" s="1"/>
  <c r="K508" i="19"/>
  <c r="P508" i="19" s="1" a="1"/>
  <c r="P508" i="19" s="1"/>
  <c r="K562" i="19"/>
  <c r="P562" i="19" s="1" a="1"/>
  <c r="P562" i="19" s="1"/>
  <c r="K668" i="19"/>
  <c r="P668" i="19" s="1" a="1"/>
  <c r="P668" i="19" s="1"/>
  <c r="K221" i="19"/>
  <c r="P221" i="19" s="1" a="1"/>
  <c r="P221" i="19" s="1"/>
  <c r="K613" i="19"/>
  <c r="P613" i="19" s="1" a="1"/>
  <c r="P613" i="19" s="1"/>
  <c r="K213" i="19"/>
  <c r="P213" i="19" s="1" a="1"/>
  <c r="P213" i="19" s="1"/>
  <c r="K48" i="19"/>
  <c r="P48" i="19" s="1" a="1"/>
  <c r="P48" i="19" s="1"/>
  <c r="K868" i="19"/>
  <c r="P868" i="19" s="1" a="1"/>
  <c r="P868" i="19" s="1"/>
  <c r="K151" i="19"/>
  <c r="P151" i="19" s="1" a="1"/>
  <c r="P151" i="19" s="1"/>
  <c r="K431" i="19"/>
  <c r="P431" i="19" s="1" a="1"/>
  <c r="P431" i="19" s="1"/>
  <c r="K993" i="19"/>
  <c r="P993" i="19" s="1" a="1"/>
  <c r="P993" i="19" s="1"/>
  <c r="K503" i="19"/>
  <c r="P503" i="19" s="1" a="1"/>
  <c r="P503" i="19" s="1"/>
  <c r="K504" i="19"/>
  <c r="P504" i="19" s="1" a="1"/>
  <c r="P504" i="19" s="1"/>
  <c r="K105" i="19"/>
  <c r="P105" i="19" s="1" a="1"/>
  <c r="P105" i="19" s="1"/>
  <c r="K320" i="19"/>
  <c r="P320" i="19" s="1" a="1"/>
  <c r="P320" i="19" s="1"/>
  <c r="K932" i="19"/>
  <c r="P932" i="19" s="1" a="1"/>
  <c r="P932" i="19" s="1"/>
  <c r="K615" i="19"/>
  <c r="P615" i="19" s="1" a="1"/>
  <c r="P615" i="19" s="1"/>
  <c r="K11" i="19"/>
  <c r="P11" i="19" s="1" a="1"/>
  <c r="P11" i="19" s="1"/>
  <c r="K432" i="19"/>
  <c r="P432" i="19" s="1" a="1"/>
  <c r="P432" i="19" s="1"/>
  <c r="K324" i="19"/>
  <c r="P324" i="19" s="1" a="1"/>
  <c r="P324" i="19" s="1"/>
  <c r="K834" i="19"/>
  <c r="P834" i="19" s="1" a="1"/>
  <c r="P834" i="19" s="1"/>
  <c r="K746" i="19"/>
  <c r="P746" i="19" s="1" a="1"/>
  <c r="P746" i="19" s="1"/>
  <c r="K953" i="19"/>
  <c r="P953" i="19" s="1" a="1"/>
  <c r="P953" i="19" s="1"/>
  <c r="K465" i="19"/>
  <c r="P465" i="19" s="1" a="1"/>
  <c r="P465" i="19" s="1"/>
  <c r="K838" i="19"/>
  <c r="P838" i="19" s="1" a="1"/>
  <c r="P838" i="19" s="1"/>
  <c r="K81" i="19"/>
  <c r="P81" i="19" s="1" a="1"/>
  <c r="P81" i="19" s="1"/>
  <c r="K833" i="19"/>
  <c r="P833" i="19" s="1" a="1"/>
  <c r="P833" i="19" s="1"/>
  <c r="K731" i="19"/>
  <c r="P731" i="19" s="1" a="1"/>
  <c r="P731" i="19" s="1"/>
  <c r="K310" i="19"/>
  <c r="P310" i="19" s="1" a="1"/>
  <c r="P310" i="19" s="1"/>
  <c r="K136" i="19"/>
  <c r="P136" i="19" s="1" a="1"/>
  <c r="P136" i="19" s="1"/>
  <c r="K329" i="19"/>
  <c r="P329" i="19" s="1" a="1"/>
  <c r="P329" i="19" s="1"/>
  <c r="K785" i="19"/>
  <c r="P785" i="19" s="1" a="1"/>
  <c r="P785" i="19" s="1"/>
  <c r="K600" i="19"/>
  <c r="P600" i="19" s="1" a="1"/>
  <c r="P600" i="19" s="1"/>
  <c r="K772" i="19"/>
  <c r="P772" i="19" s="1" a="1"/>
  <c r="P772" i="19" s="1"/>
  <c r="K478" i="19"/>
  <c r="P478" i="19" s="1" a="1"/>
  <c r="P478" i="19" s="1"/>
  <c r="K918" i="19"/>
  <c r="P918" i="19" s="1" a="1"/>
  <c r="P918" i="19" s="1"/>
  <c r="K648" i="19"/>
  <c r="P648" i="19" s="1" a="1"/>
  <c r="P648" i="19" s="1"/>
  <c r="K120" i="19"/>
  <c r="P120" i="19" s="1" a="1"/>
  <c r="P120" i="19" s="1"/>
  <c r="K861" i="19"/>
  <c r="P861" i="19" s="1" a="1"/>
  <c r="P861" i="19" s="1"/>
  <c r="K676" i="19"/>
  <c r="P676" i="19" s="1" a="1"/>
  <c r="P676" i="19" s="1"/>
  <c r="K163" i="19"/>
  <c r="P163" i="19" s="1" a="1"/>
  <c r="P163" i="19" s="1"/>
  <c r="K467" i="19"/>
  <c r="P467" i="19" s="1" a="1"/>
  <c r="P467" i="19" s="1"/>
  <c r="K393" i="19"/>
  <c r="P393" i="19" s="1" a="1"/>
  <c r="P393" i="19" s="1"/>
  <c r="K150" i="19"/>
  <c r="P150" i="19" s="1" a="1"/>
  <c r="P150" i="19" s="1"/>
  <c r="K701" i="19"/>
  <c r="P701" i="19" s="1" a="1"/>
  <c r="P701" i="19" s="1"/>
  <c r="K227" i="19"/>
  <c r="P227" i="19" s="1" a="1"/>
  <c r="P227" i="19" s="1"/>
  <c r="K228" i="19"/>
  <c r="P228" i="19" s="1" a="1"/>
  <c r="P228" i="19" s="1"/>
  <c r="K229" i="19"/>
  <c r="P229" i="19" s="1" a="1"/>
  <c r="P229" i="19" s="1"/>
  <c r="K632" i="19"/>
  <c r="P632" i="19" s="1" a="1"/>
  <c r="P632" i="19" s="1"/>
  <c r="K285" i="19"/>
  <c r="P285" i="19" s="1" a="1"/>
  <c r="P285" i="19" s="1"/>
  <c r="K893" i="19"/>
  <c r="P893" i="19" s="1" a="1"/>
  <c r="P893" i="19" s="1"/>
  <c r="K899" i="19"/>
  <c r="P899" i="19" s="1" a="1"/>
  <c r="P899" i="19" s="1"/>
  <c r="K456" i="19"/>
  <c r="P456" i="19" s="1" a="1"/>
  <c r="P456" i="19" s="1"/>
  <c r="K793" i="19"/>
  <c r="P793" i="19" s="1" a="1"/>
  <c r="P793" i="19" s="1"/>
  <c r="K928" i="19"/>
  <c r="P928" i="19" s="1" a="1"/>
  <c r="P928" i="19" s="1"/>
  <c r="K342" i="19"/>
  <c r="P342" i="19" s="1" a="1"/>
  <c r="P342" i="19" s="1"/>
  <c r="K121" i="19"/>
  <c r="P121" i="19" s="1" a="1"/>
  <c r="P121" i="19" s="1"/>
  <c r="K132" i="19"/>
  <c r="P132" i="19" s="1" a="1"/>
  <c r="P132" i="19" s="1"/>
  <c r="K759" i="19"/>
  <c r="P759" i="19" s="1" a="1"/>
  <c r="P759" i="19" s="1"/>
  <c r="K761" i="19"/>
  <c r="P761" i="19" s="1" a="1"/>
  <c r="P761" i="19" s="1"/>
  <c r="K344" i="19"/>
  <c r="P344" i="19" s="1" a="1"/>
  <c r="P344" i="19" s="1"/>
  <c r="K125" i="19"/>
  <c r="P125" i="19" s="1" a="1"/>
  <c r="P125" i="19" s="1"/>
  <c r="K614" i="19"/>
  <c r="P614" i="19" s="1" a="1"/>
  <c r="P614" i="19" s="1"/>
  <c r="K322" i="19"/>
  <c r="P322" i="19" s="1" a="1"/>
  <c r="P322" i="19" s="1"/>
  <c r="K5" i="19"/>
  <c r="P5" i="19" s="1" a="1"/>
  <c r="P5" i="19" s="1"/>
  <c r="K821" i="19"/>
  <c r="P821" i="19" s="1" a="1"/>
  <c r="P821" i="19" s="1"/>
  <c r="K946" i="19"/>
  <c r="P946" i="19" s="1" a="1"/>
  <c r="P946" i="19" s="1"/>
  <c r="K135" i="19"/>
  <c r="P135" i="19" s="1" a="1"/>
  <c r="P135" i="19" s="1"/>
  <c r="K534" i="19"/>
  <c r="P534" i="19" s="1" a="1"/>
  <c r="P534" i="19" s="1"/>
  <c r="K260" i="19"/>
  <c r="P260" i="19" s="1" a="1"/>
  <c r="P260" i="19" s="1"/>
  <c r="K982" i="19"/>
  <c r="P982" i="19" s="1" a="1"/>
  <c r="P982" i="19" s="1"/>
  <c r="K760" i="19"/>
  <c r="P760" i="19" s="1" a="1"/>
  <c r="P760" i="19" s="1"/>
  <c r="K594" i="19"/>
  <c r="P594" i="19" s="1" a="1"/>
  <c r="P594" i="19" s="1"/>
  <c r="K595" i="19"/>
  <c r="P595" i="19" s="1" a="1"/>
  <c r="P595" i="19" s="1"/>
  <c r="K398" i="19"/>
  <c r="P398" i="19" s="1" a="1"/>
  <c r="P398" i="19" s="1"/>
  <c r="K396" i="19"/>
  <c r="P396" i="19" s="1" a="1"/>
  <c r="P396" i="19" s="1"/>
  <c r="K484" i="19"/>
  <c r="P484" i="19" s="1" a="1"/>
  <c r="P484" i="19" s="1"/>
  <c r="K788" i="19"/>
  <c r="P788" i="19" s="1" a="1"/>
  <c r="P788" i="19" s="1"/>
  <c r="K119" i="19"/>
  <c r="P119" i="19" s="1" a="1"/>
  <c r="P119" i="19" s="1"/>
  <c r="K455" i="19"/>
  <c r="P455" i="19" s="1" a="1"/>
  <c r="P455" i="19" s="1"/>
  <c r="K523" i="19"/>
  <c r="P523" i="19" s="1" a="1"/>
  <c r="P523" i="19" s="1"/>
  <c r="K421" i="19"/>
  <c r="P421" i="19" s="1" a="1"/>
  <c r="P421" i="19" s="1"/>
  <c r="K362" i="19"/>
  <c r="P362" i="19" s="1" a="1"/>
  <c r="P362" i="19" s="1"/>
  <c r="K771" i="19"/>
  <c r="P771" i="19" s="1" a="1"/>
  <c r="P771" i="19" s="1"/>
  <c r="K848" i="19"/>
  <c r="P848" i="19" s="1" a="1"/>
  <c r="P848" i="19" s="1"/>
  <c r="K28" i="19"/>
  <c r="P28" i="19" s="1" a="1"/>
  <c r="P28" i="19" s="1"/>
  <c r="K542" i="19"/>
  <c r="P542" i="19" s="1" a="1"/>
  <c r="P542" i="19" s="1"/>
  <c r="K596" i="19"/>
  <c r="P596" i="19" s="1" a="1"/>
  <c r="P596" i="19" s="1"/>
  <c r="K307" i="19"/>
  <c r="P307" i="19" s="1" a="1"/>
  <c r="P307" i="19" s="1"/>
  <c r="K397" i="19"/>
  <c r="P397" i="19" s="1" a="1"/>
  <c r="P397" i="19" s="1"/>
  <c r="K204" i="19"/>
  <c r="P204" i="19" s="1" a="1"/>
  <c r="P204" i="19" s="1"/>
  <c r="K681" i="19"/>
  <c r="P681" i="19" s="1" a="1"/>
  <c r="P681" i="19" s="1"/>
  <c r="K869" i="19"/>
  <c r="P869" i="19" s="1" a="1"/>
  <c r="P869" i="19" s="1"/>
  <c r="K903" i="19"/>
  <c r="P903" i="19" s="1" a="1"/>
  <c r="P903" i="19" s="1"/>
  <c r="K895" i="19"/>
  <c r="P895" i="19" s="1" a="1"/>
  <c r="P895" i="19" s="1"/>
  <c r="K357" i="19"/>
  <c r="P357" i="19" s="1" a="1"/>
  <c r="P357" i="19" s="1"/>
  <c r="K856" i="19"/>
  <c r="P856" i="19" s="1" a="1"/>
  <c r="P856" i="19" s="1"/>
  <c r="K686" i="19"/>
  <c r="P686" i="19" s="1" a="1"/>
  <c r="P686" i="19" s="1"/>
  <c r="K96" i="19"/>
  <c r="P96" i="19" s="1" a="1"/>
  <c r="P96" i="19" s="1"/>
  <c r="K752" i="19"/>
  <c r="P752" i="19" s="1" a="1"/>
  <c r="P752" i="19" s="1"/>
  <c r="K326" i="19"/>
  <c r="P326" i="19" s="1" a="1"/>
  <c r="P326" i="19" s="1"/>
  <c r="K339" i="19"/>
  <c r="P339" i="19" s="1" a="1"/>
  <c r="P339" i="19" s="1"/>
  <c r="K750" i="19"/>
  <c r="P750" i="19" s="1" a="1"/>
  <c r="P750" i="19" s="1"/>
  <c r="K330" i="19"/>
  <c r="P330" i="19" s="1" a="1"/>
  <c r="P330" i="19" s="1"/>
  <c r="K547" i="19"/>
  <c r="P547" i="19" s="1" a="1"/>
  <c r="P547" i="19" s="1"/>
  <c r="K926" i="19"/>
  <c r="P926" i="19" s="1" a="1"/>
  <c r="P926" i="19" s="1"/>
  <c r="K6" i="19"/>
  <c r="P6" i="19" s="1" a="1"/>
  <c r="P6" i="19" s="1"/>
  <c r="K7" i="19"/>
  <c r="P7" i="19" s="1" a="1"/>
  <c r="P7" i="19" s="1"/>
  <c r="K64" i="19"/>
  <c r="P64" i="19" s="1" a="1"/>
  <c r="P64" i="19" s="1"/>
  <c r="K933" i="19"/>
  <c r="P933" i="19" s="1" a="1"/>
  <c r="P933" i="19" s="1"/>
  <c r="K476" i="19"/>
  <c r="P476" i="19" s="1" a="1"/>
  <c r="P476" i="19" s="1"/>
  <c r="K57" i="19"/>
  <c r="P57" i="19" s="1" a="1"/>
  <c r="P57" i="19" s="1"/>
  <c r="K694" i="19"/>
  <c r="P694" i="19" s="1" a="1"/>
  <c r="P694" i="19" s="1"/>
  <c r="K583" i="19"/>
  <c r="P583" i="19" s="1" a="1"/>
  <c r="P583" i="19" s="1"/>
  <c r="K80" i="19"/>
  <c r="P80" i="19" s="1" a="1"/>
  <c r="P80" i="19" s="1"/>
  <c r="K152" i="19"/>
  <c r="P152" i="19" s="1" a="1"/>
  <c r="P152" i="19" s="1"/>
  <c r="K627" i="19"/>
  <c r="P627" i="19" s="1" a="1"/>
  <c r="P627" i="19" s="1"/>
  <c r="K35" i="19"/>
  <c r="P35" i="19" s="1" a="1"/>
  <c r="P35" i="19" s="1"/>
  <c r="K779" i="19"/>
  <c r="P779" i="19" s="1" a="1"/>
  <c r="P779" i="19" s="1"/>
  <c r="K561" i="19"/>
  <c r="P561" i="19" s="1" a="1"/>
  <c r="P561" i="19" s="1"/>
  <c r="K331" i="19"/>
  <c r="P331" i="19" s="1" a="1"/>
  <c r="P331" i="19" s="1"/>
  <c r="K655" i="19"/>
  <c r="P655" i="19" s="1" a="1"/>
  <c r="P655" i="19" s="1"/>
  <c r="K718" i="19"/>
  <c r="P718" i="19" s="1" a="1"/>
  <c r="P718" i="19" s="1"/>
  <c r="K719" i="19"/>
  <c r="P719" i="19" s="1" a="1"/>
  <c r="P719" i="19" s="1"/>
  <c r="K720" i="19"/>
  <c r="P720" i="19" s="1" a="1"/>
  <c r="P720" i="19" s="1"/>
  <c r="K721" i="19"/>
  <c r="P721" i="19" s="1" a="1"/>
  <c r="P721" i="19" s="1"/>
  <c r="K722" i="19"/>
  <c r="P722" i="19" s="1" a="1"/>
  <c r="P722" i="19" s="1"/>
  <c r="K18" i="19"/>
  <c r="P18" i="19" s="1" a="1"/>
  <c r="P18" i="19" s="1"/>
  <c r="K902" i="19"/>
  <c r="P902" i="19" s="1" a="1"/>
  <c r="P902" i="19" s="1"/>
  <c r="K947" i="19"/>
  <c r="P947" i="19" s="1" a="1"/>
  <c r="P947" i="19" s="1"/>
  <c r="K847" i="19"/>
  <c r="P847" i="19" s="1" a="1"/>
  <c r="P847" i="19" s="1"/>
  <c r="K552" i="19"/>
  <c r="P552" i="19" s="1" a="1"/>
  <c r="P552" i="19" s="1"/>
  <c r="K725" i="19"/>
  <c r="P725" i="19" s="1" a="1"/>
  <c r="P725" i="19" s="1"/>
  <c r="K755" i="19"/>
  <c r="P755" i="19" s="1" a="1"/>
  <c r="P755" i="19" s="1"/>
  <c r="K225" i="19"/>
  <c r="P225" i="19" s="1" a="1"/>
  <c r="P225" i="19" s="1"/>
  <c r="K377" i="19"/>
  <c r="P377" i="19" s="1" a="1"/>
  <c r="P377" i="19" s="1"/>
  <c r="K66" i="19"/>
  <c r="P66" i="19" s="1" a="1"/>
  <c r="P66" i="19" s="1"/>
  <c r="K684" i="19"/>
  <c r="P684" i="19" s="1" a="1"/>
  <c r="P684" i="19" s="1"/>
  <c r="K246" i="19"/>
  <c r="P246" i="19" s="1" a="1"/>
  <c r="P246" i="19" s="1"/>
  <c r="K328" i="19"/>
  <c r="P328" i="19" s="1" a="1"/>
  <c r="P328" i="19" s="1"/>
  <c r="K702" i="19"/>
  <c r="P702" i="19" s="1" a="1"/>
  <c r="P702" i="19" s="1"/>
  <c r="K464" i="19"/>
  <c r="P464" i="19" s="1" a="1"/>
  <c r="P464" i="19" s="1"/>
  <c r="K31" i="19"/>
  <c r="P31" i="19" s="1" a="1"/>
  <c r="P31" i="19" s="1"/>
  <c r="K408" i="19"/>
  <c r="P408" i="19" s="1" a="1"/>
  <c r="P408" i="19" s="1"/>
  <c r="K810" i="19"/>
  <c r="P810" i="19" s="1" a="1"/>
  <c r="P810" i="19" s="1"/>
  <c r="K184" i="19"/>
  <c r="P184" i="19" s="1" a="1"/>
  <c r="P184" i="19" s="1"/>
  <c r="K185" i="19"/>
  <c r="P185" i="19" s="1" a="1"/>
  <c r="P185" i="19" s="1"/>
  <c r="K591" i="19"/>
  <c r="P591" i="19" s="1" a="1"/>
  <c r="P591" i="19" s="1"/>
  <c r="K965" i="19"/>
  <c r="P965" i="19" s="1" a="1"/>
  <c r="P965" i="19" s="1"/>
  <c r="K129" i="19"/>
  <c r="P129" i="19" s="1" a="1"/>
  <c r="P129" i="19" s="1"/>
  <c r="K555" i="19"/>
  <c r="P555" i="19" s="1" a="1"/>
  <c r="P555" i="19" s="1"/>
  <c r="K323" i="19"/>
  <c r="P323" i="19" s="1" a="1"/>
  <c r="P323" i="19" s="1"/>
  <c r="K51" i="19"/>
  <c r="P51" i="19" s="1" a="1"/>
  <c r="P51" i="19" s="1"/>
  <c r="K740" i="19"/>
  <c r="P740" i="19" s="1" a="1"/>
  <c r="P740" i="19" s="1"/>
  <c r="K106" i="19"/>
  <c r="P106" i="19" s="1" a="1"/>
  <c r="P106" i="19" s="1"/>
  <c r="K574" i="19"/>
  <c r="P574" i="19" s="1" a="1"/>
  <c r="P574" i="19" s="1"/>
  <c r="K782" i="19"/>
  <c r="P782" i="19" s="1" a="1"/>
  <c r="P782" i="19" s="1"/>
  <c r="K884" i="19"/>
  <c r="P884" i="19" s="1" a="1"/>
  <c r="P884" i="19" s="1"/>
  <c r="K224" i="19"/>
  <c r="P224" i="19" s="1" a="1"/>
  <c r="P224" i="19" s="1"/>
  <c r="K116" i="19"/>
  <c r="P116" i="19" s="1" a="1"/>
  <c r="P116" i="19" s="1"/>
  <c r="K930" i="19"/>
  <c r="P930" i="19" s="1" a="1"/>
  <c r="P930" i="19" s="1"/>
  <c r="K843" i="19"/>
  <c r="P843" i="19" s="1" a="1"/>
  <c r="P843" i="19" s="1"/>
  <c r="K160" i="19"/>
  <c r="P160" i="19" s="1" a="1"/>
  <c r="P160" i="19" s="1"/>
  <c r="K241" i="19"/>
  <c r="P241" i="19" s="1" a="1"/>
  <c r="P241" i="19" s="1"/>
  <c r="K380" i="19"/>
  <c r="P380" i="19" s="1" a="1"/>
  <c r="P380" i="19" s="1"/>
  <c r="K277" i="19"/>
  <c r="P277" i="19" s="1" a="1"/>
  <c r="P277" i="19" s="1"/>
  <c r="K216" i="19"/>
  <c r="P216" i="19" s="1" a="1"/>
  <c r="P216" i="19" s="1"/>
  <c r="K196" i="19"/>
  <c r="P196" i="19" s="1" a="1"/>
  <c r="P196" i="19" s="1"/>
  <c r="K873" i="19"/>
  <c r="P873" i="19" s="1" a="1"/>
  <c r="P873" i="19" s="1"/>
  <c r="K904" i="19"/>
  <c r="P904" i="19" s="1" a="1"/>
  <c r="P904" i="19" s="1"/>
  <c r="K316" i="19"/>
  <c r="P316" i="19" s="1" a="1"/>
  <c r="P316" i="19" s="1"/>
  <c r="K599" i="19"/>
  <c r="P599" i="19" s="1" a="1"/>
  <c r="P599" i="19" s="1"/>
  <c r="K395" i="19"/>
  <c r="P395" i="19" s="1" a="1"/>
  <c r="P395" i="19" s="1"/>
  <c r="K264" i="19"/>
  <c r="P264" i="19" s="1" a="1"/>
  <c r="P264" i="19" s="1"/>
  <c r="K620" i="19"/>
  <c r="P620" i="19" s="1" a="1"/>
  <c r="P620" i="19" s="1"/>
  <c r="K995" i="19"/>
  <c r="P995" i="19" s="1" a="1"/>
  <c r="P995" i="19" s="1"/>
  <c r="K674" i="19"/>
  <c r="P674" i="19" s="1" a="1"/>
  <c r="P674" i="19" s="1"/>
  <c r="K223" i="19"/>
  <c r="P223" i="19" s="1" a="1"/>
  <c r="P223" i="19" s="1"/>
  <c r="K278" i="19"/>
  <c r="P278" i="19" s="1" a="1"/>
  <c r="P278" i="19" s="1"/>
  <c r="K586" i="19"/>
  <c r="P586" i="19" s="1" a="1"/>
  <c r="P586" i="19" s="1"/>
  <c r="K829" i="19"/>
  <c r="P829" i="19" s="1" a="1"/>
  <c r="P829" i="19" s="1"/>
  <c r="K214" i="19"/>
  <c r="P214" i="19" s="1" a="1"/>
  <c r="P214" i="19" s="1"/>
  <c r="K996" i="19"/>
  <c r="P996" i="19" s="1" a="1"/>
  <c r="P996" i="19" s="1"/>
  <c r="K267" i="19"/>
  <c r="P267" i="19" s="1" a="1"/>
  <c r="P267" i="19" s="1"/>
  <c r="K215" i="19"/>
  <c r="P215" i="19" s="1" a="1"/>
  <c r="P215" i="19" s="1"/>
  <c r="K474" i="19"/>
  <c r="P474" i="19" s="1" a="1"/>
  <c r="P474" i="19" s="1"/>
  <c r="K905" i="19"/>
  <c r="P905" i="19" s="1" a="1"/>
  <c r="P905" i="19" s="1"/>
  <c r="K693" i="19"/>
  <c r="P693" i="19" s="1" a="1"/>
  <c r="P693" i="19" s="1"/>
  <c r="K501" i="19"/>
  <c r="P501" i="19" s="1" a="1"/>
  <c r="P501" i="19" s="1"/>
  <c r="K640" i="19"/>
  <c r="P640" i="19" s="1" a="1"/>
  <c r="P640" i="19" s="1"/>
  <c r="K71" i="19"/>
  <c r="P71" i="19" s="1" a="1"/>
  <c r="P71" i="19" s="1"/>
  <c r="K957" i="19"/>
  <c r="P957" i="19" s="1" a="1"/>
  <c r="P957" i="19" s="1"/>
  <c r="K704" i="19"/>
  <c r="P704" i="19" s="1" a="1"/>
  <c r="P704" i="19" s="1"/>
  <c r="K878" i="19"/>
  <c r="P878" i="19" s="1" a="1"/>
  <c r="P878" i="19" s="1"/>
  <c r="K65" i="19"/>
  <c r="P65" i="19" s="1" a="1"/>
  <c r="P65" i="19" s="1"/>
  <c r="K692" i="19"/>
  <c r="P692" i="19" s="1" a="1"/>
  <c r="P692" i="19" s="1"/>
  <c r="K93" i="19"/>
  <c r="P93" i="19" s="1" a="1"/>
  <c r="P93" i="19" s="1"/>
  <c r="K499" i="19"/>
  <c r="P499" i="19" s="1" a="1"/>
  <c r="P499" i="19" s="1"/>
  <c r="K994" i="19"/>
  <c r="P994" i="19" s="1" a="1"/>
  <c r="P994" i="19" s="1"/>
  <c r="K967" i="19"/>
  <c r="P967" i="19" s="1" a="1"/>
  <c r="P967" i="19" s="1"/>
  <c r="K297" i="19"/>
  <c r="P297" i="19" s="1" a="1"/>
  <c r="P297" i="19" s="1"/>
  <c r="K908" i="19"/>
  <c r="P908" i="19" s="1" a="1"/>
  <c r="P908" i="19" s="1"/>
  <c r="K300" i="19"/>
  <c r="P300" i="19" s="1" a="1"/>
  <c r="P300" i="19" s="1"/>
  <c r="K424" i="19"/>
  <c r="P424" i="19" s="1" a="1"/>
  <c r="P424" i="19" s="1"/>
  <c r="K332" i="19"/>
  <c r="P332" i="19" s="1" a="1"/>
  <c r="P332" i="19" s="1"/>
  <c r="K766" i="19"/>
  <c r="P766" i="19" s="1" a="1"/>
  <c r="P766" i="19" s="1"/>
  <c r="K199" i="19"/>
  <c r="P199" i="19" s="1" a="1"/>
  <c r="P199" i="19" s="1"/>
  <c r="K544" i="19"/>
  <c r="P544" i="19" s="1" a="1"/>
  <c r="P544" i="19" s="1"/>
  <c r="K366" i="19"/>
  <c r="P366" i="19" s="1" a="1"/>
  <c r="P366" i="19" s="1"/>
  <c r="K50" i="19"/>
  <c r="P50" i="19" s="1" a="1"/>
  <c r="P50" i="19" s="1"/>
  <c r="K708" i="19"/>
  <c r="P708" i="19" s="1" a="1"/>
  <c r="P708" i="19" s="1"/>
  <c r="K622" i="19"/>
  <c r="P622" i="19" s="1" a="1"/>
  <c r="P622" i="19" s="1"/>
  <c r="K153" i="19"/>
  <c r="P153" i="19" s="1" a="1"/>
  <c r="P153" i="19" s="1"/>
  <c r="K554" i="19"/>
  <c r="P554" i="19" s="1" a="1"/>
  <c r="P554" i="19" s="1"/>
  <c r="K663" i="19"/>
  <c r="P663" i="19" s="1" a="1"/>
  <c r="P663" i="19" s="1"/>
  <c r="K657" i="19"/>
  <c r="P657" i="19" s="1" a="1"/>
  <c r="P657" i="19" s="1"/>
  <c r="K289" i="19"/>
  <c r="P289" i="19" s="1" a="1"/>
  <c r="P289" i="19" s="1"/>
  <c r="K956" i="19"/>
  <c r="P956" i="19" s="1" a="1"/>
  <c r="P956" i="19" s="1"/>
  <c r="K479" i="19"/>
  <c r="P479" i="19" s="1" a="1"/>
  <c r="P479" i="19" s="1"/>
  <c r="K168" i="19"/>
  <c r="P168" i="19" s="1" a="1"/>
  <c r="P168" i="19" s="1"/>
  <c r="K679" i="19"/>
  <c r="P679" i="19" s="1" a="1"/>
  <c r="P679" i="19" s="1"/>
  <c r="K245" i="19"/>
  <c r="P245" i="19" s="1" a="1"/>
  <c r="P245" i="19" s="1"/>
  <c r="K303" i="19"/>
  <c r="P303" i="19" s="1" a="1"/>
  <c r="P303" i="19" s="1"/>
  <c r="K312" i="19"/>
  <c r="P312" i="19" s="1" a="1"/>
  <c r="P312" i="19" s="1"/>
  <c r="K550" i="19"/>
  <c r="P550" i="19" s="1" a="1"/>
  <c r="P550" i="19" s="1"/>
  <c r="K578" i="19"/>
  <c r="P578" i="19" s="1" a="1"/>
  <c r="P578" i="19" s="1"/>
  <c r="K76" i="19"/>
  <c r="P76" i="19" s="1" a="1"/>
  <c r="P76" i="19" s="1"/>
  <c r="K934" i="19"/>
  <c r="P934" i="19" s="1" a="1"/>
  <c r="P934" i="19" s="1"/>
  <c r="K774" i="19"/>
  <c r="P774" i="19" s="1" a="1"/>
  <c r="P774" i="19" s="1"/>
  <c r="K255" i="19"/>
  <c r="P255" i="19" s="1" a="1"/>
  <c r="P255" i="19" s="1"/>
  <c r="K208" i="19"/>
  <c r="P208" i="19" s="1" a="1"/>
  <c r="P208" i="19" s="1"/>
  <c r="K110" i="19"/>
  <c r="P110" i="19" s="1" a="1"/>
  <c r="P110" i="19" s="1"/>
  <c r="K494" i="19"/>
  <c r="P494" i="19" s="1" a="1"/>
  <c r="P494" i="19" s="1"/>
  <c r="K336" i="19"/>
  <c r="P336" i="19" s="1" a="1"/>
  <c r="P336" i="19" s="1"/>
  <c r="K239" i="19"/>
  <c r="P239" i="19" s="1" a="1"/>
  <c r="P239" i="19" s="1"/>
  <c r="K341" i="19"/>
  <c r="P341" i="19" s="1" a="1"/>
  <c r="P341" i="19" s="1"/>
  <c r="K764" i="19"/>
  <c r="P764" i="19" s="1" a="1"/>
  <c r="P764" i="19" s="1"/>
  <c r="K207" i="19"/>
  <c r="P207" i="19" s="1" a="1"/>
  <c r="P207" i="19" s="1"/>
  <c r="K717" i="19"/>
  <c r="P717" i="19" s="1" a="1"/>
  <c r="P717" i="19" s="1"/>
  <c r="K21" i="19"/>
  <c r="P21" i="19" s="1" a="1"/>
  <c r="P21" i="19" s="1"/>
  <c r="K891" i="19"/>
  <c r="P891" i="19" s="1" a="1"/>
  <c r="P891" i="19" s="1"/>
  <c r="K669" i="19"/>
  <c r="P669" i="19" s="1" a="1"/>
  <c r="P669" i="19" s="1"/>
  <c r="K711" i="19"/>
  <c r="P711" i="19" s="1" a="1"/>
  <c r="P711" i="19" s="1"/>
  <c r="K855" i="19"/>
  <c r="P855" i="19" s="1" a="1"/>
  <c r="P855" i="19" s="1"/>
  <c r="K921" i="19"/>
  <c r="P921" i="19" s="1" a="1"/>
  <c r="P921" i="19" s="1"/>
  <c r="K382" i="19"/>
  <c r="P382" i="19" s="1" a="1"/>
  <c r="P382" i="19" s="1"/>
  <c r="K383" i="19"/>
  <c r="P383" i="19" s="1" a="1"/>
  <c r="P383" i="19" s="1"/>
  <c r="K385" i="19"/>
  <c r="P385" i="19" s="1" a="1"/>
  <c r="P385" i="19" s="1"/>
  <c r="K888" i="19"/>
  <c r="P888" i="19" s="1" a="1"/>
  <c r="P888" i="19" s="1"/>
  <c r="K295" i="19"/>
  <c r="P295" i="19" s="1" a="1"/>
  <c r="P295" i="19" s="1"/>
  <c r="K282" i="19"/>
  <c r="P282" i="19" s="1" a="1"/>
  <c r="P282" i="19" s="1"/>
  <c r="K935" i="19"/>
  <c r="P935" i="19" s="1" a="1"/>
  <c r="P935" i="19" s="1"/>
  <c r="K369" i="19"/>
  <c r="P369" i="19" s="1" a="1"/>
  <c r="P369" i="19" s="1"/>
  <c r="K97" i="19"/>
  <c r="P97" i="19" s="1" a="1"/>
  <c r="P97" i="19" s="1"/>
  <c r="K459" i="19"/>
  <c r="P459" i="19" s="1" a="1"/>
  <c r="P459" i="19" s="1"/>
  <c r="K605" i="19"/>
  <c r="P605" i="19" s="1" a="1"/>
  <c r="P605" i="19" s="1"/>
  <c r="K854" i="19"/>
  <c r="P854" i="19" s="1" a="1"/>
  <c r="P854" i="19" s="1"/>
  <c r="K231" i="19"/>
  <c r="P231" i="19" s="1" a="1"/>
  <c r="P231" i="19" s="1"/>
  <c r="K786" i="19"/>
  <c r="P786" i="19" s="1" a="1"/>
  <c r="P786" i="19" s="1"/>
  <c r="K960" i="19"/>
  <c r="P960" i="19" s="1" a="1"/>
  <c r="P960" i="19" s="1"/>
  <c r="K321" i="19"/>
  <c r="P321" i="19" s="1" a="1"/>
  <c r="P321" i="19" s="1"/>
  <c r="K211" i="19"/>
  <c r="P211" i="19" s="1" a="1"/>
  <c r="P211" i="19" s="1"/>
  <c r="K912" i="19"/>
  <c r="P912" i="19" s="1" a="1"/>
  <c r="P912" i="19" s="1"/>
  <c r="K367" i="19"/>
  <c r="P367" i="19" s="1" a="1"/>
  <c r="P367" i="19" s="1"/>
  <c r="K987" i="19"/>
  <c r="P987" i="19" s="1" a="1"/>
  <c r="P987" i="19" s="1"/>
  <c r="K333" i="19"/>
  <c r="P333" i="19" s="1" a="1"/>
  <c r="P333" i="19" s="1"/>
  <c r="K971" i="19"/>
  <c r="P971" i="19" s="1" a="1"/>
  <c r="P971" i="19" s="1"/>
  <c r="K616" i="19"/>
  <c r="P616" i="19" s="1" a="1"/>
  <c r="P616" i="19" s="1"/>
  <c r="K617" i="19"/>
  <c r="P617" i="19" s="1" a="1"/>
  <c r="P617" i="19" s="1"/>
  <c r="K741" i="19"/>
  <c r="P741" i="19" s="1" a="1"/>
  <c r="P741" i="19" s="1"/>
  <c r="K169" i="19"/>
  <c r="P169" i="19" s="1" a="1"/>
  <c r="P169" i="19" s="1"/>
  <c r="K47" i="19"/>
  <c r="P47" i="19" s="1" a="1"/>
  <c r="P47" i="19" s="1"/>
  <c r="K804" i="19"/>
  <c r="P804" i="19" s="1" a="1"/>
  <c r="P804" i="19" s="1"/>
  <c r="K598" i="19"/>
  <c r="P598" i="19" s="1" a="1"/>
  <c r="P598" i="19" s="1"/>
  <c r="K867" i="19"/>
  <c r="P867" i="19" s="1" a="1"/>
  <c r="P867" i="19" s="1"/>
  <c r="K262" i="19"/>
  <c r="P262" i="19" s="1" a="1"/>
  <c r="P262" i="19" s="1"/>
  <c r="K531" i="19"/>
  <c r="P531" i="19" s="1" a="1"/>
  <c r="P531" i="19" s="1"/>
  <c r="K338" i="19"/>
  <c r="P338" i="19" s="1" a="1"/>
  <c r="P338" i="19" s="1"/>
  <c r="K370" i="19"/>
  <c r="P370" i="19" s="1" a="1"/>
  <c r="P370" i="19" s="1"/>
  <c r="K634" i="19"/>
  <c r="P634" i="19" s="1" a="1"/>
  <c r="P634" i="19" s="1"/>
  <c r="K524" i="19"/>
  <c r="P524" i="19" s="1" a="1"/>
  <c r="P524" i="19" s="1"/>
  <c r="K647" i="19"/>
  <c r="P647" i="19" s="1" a="1"/>
  <c r="P647" i="19" s="1"/>
  <c r="K978" i="19"/>
  <c r="P978" i="19" s="1" a="1"/>
  <c r="P978" i="19" s="1"/>
  <c r="K334" i="19"/>
  <c r="P334" i="19" s="1" a="1"/>
  <c r="P334" i="19" s="1"/>
  <c r="K931" i="19"/>
  <c r="P931" i="19" s="1" a="1"/>
  <c r="P931" i="19" s="1"/>
  <c r="K991" i="19"/>
  <c r="P991" i="19" s="1" a="1"/>
  <c r="P991" i="19" s="1"/>
  <c r="K732" i="19"/>
  <c r="P732" i="19" s="1" a="1"/>
  <c r="P732" i="19" s="1"/>
  <c r="K733" i="19"/>
  <c r="P733" i="19" s="1" a="1"/>
  <c r="P733" i="19" s="1"/>
  <c r="K356" i="19"/>
  <c r="P356" i="19" s="1" a="1"/>
  <c r="P356" i="19" s="1"/>
  <c r="K538" i="19"/>
  <c r="P538" i="19" s="1" a="1"/>
  <c r="P538" i="19" s="1"/>
  <c r="K765" i="19"/>
  <c r="P765" i="19" s="1" a="1"/>
  <c r="P765" i="19" s="1"/>
  <c r="K167" i="19"/>
  <c r="P167" i="19" s="1" a="1"/>
  <c r="P167" i="19" s="1"/>
  <c r="K846" i="19"/>
  <c r="P846" i="19" s="1" a="1"/>
  <c r="P846" i="19" s="1"/>
  <c r="K880" i="19"/>
  <c r="P880" i="19" s="1" a="1"/>
  <c r="P880" i="19" s="1"/>
  <c r="K585" i="19"/>
  <c r="P585" i="19" s="1" a="1"/>
  <c r="P585" i="19" s="1"/>
  <c r="K2" i="19"/>
  <c r="P2" i="19" s="1" a="1"/>
  <c r="P2" i="19" s="1"/>
  <c r="K232" i="19"/>
  <c r="P232" i="19" s="1" a="1"/>
  <c r="P232" i="19" s="1"/>
  <c r="K238" i="19"/>
  <c r="P238" i="19" s="1" a="1"/>
  <c r="P238" i="19" s="1"/>
  <c r="K914" i="19"/>
  <c r="P914" i="19" s="1" a="1"/>
  <c r="P914" i="19" s="1"/>
  <c r="K233" i="19"/>
  <c r="P233" i="19" s="1" a="1"/>
  <c r="P233" i="19" s="1"/>
  <c r="K411" i="19"/>
  <c r="P411" i="19" s="1" a="1"/>
  <c r="P411" i="19" s="1"/>
  <c r="K969" i="19"/>
  <c r="P969" i="19" s="1" a="1"/>
  <c r="P969" i="19" s="1"/>
  <c r="K532" i="19"/>
  <c r="P532" i="19" s="1" a="1"/>
  <c r="P532" i="19" s="1"/>
  <c r="K948" i="19"/>
  <c r="P948" i="19" s="1" a="1"/>
  <c r="P948" i="19" s="1"/>
  <c r="K495" i="19"/>
  <c r="P495" i="19" s="1" a="1"/>
  <c r="P495" i="19" s="1"/>
  <c r="K79" i="19"/>
  <c r="P79" i="19" s="1" a="1"/>
  <c r="P79" i="19" s="1"/>
  <c r="K368" i="19"/>
  <c r="P368" i="19" s="1" a="1"/>
  <c r="P368" i="19" s="1"/>
  <c r="K783" i="19"/>
  <c r="P783" i="19" s="1" a="1"/>
  <c r="P783" i="19" s="1"/>
  <c r="K319" i="19"/>
  <c r="P319" i="19" s="1" a="1"/>
  <c r="P319" i="19" s="1"/>
  <c r="K659" i="19"/>
  <c r="P659" i="19" s="1" a="1"/>
  <c r="P659" i="19" s="1"/>
  <c r="K730" i="19"/>
  <c r="P730" i="19" s="1" a="1"/>
  <c r="P730" i="19" s="1"/>
  <c r="K958" i="19"/>
  <c r="P958" i="19" s="1" a="1"/>
  <c r="P958" i="19" s="1"/>
  <c r="K592" i="19"/>
  <c r="P592" i="19" s="1" a="1"/>
  <c r="P592" i="19" s="1"/>
  <c r="K871" i="19"/>
  <c r="P871" i="19" s="1" a="1"/>
  <c r="P871" i="19" s="1"/>
  <c r="K633" i="19"/>
  <c r="P633" i="19" s="1" a="1"/>
  <c r="P633" i="19" s="1"/>
  <c r="K54" i="19"/>
  <c r="P54" i="19" s="1" a="1"/>
  <c r="P54" i="19" s="1"/>
  <c r="K889" i="19"/>
  <c r="P889" i="19" s="1" a="1"/>
  <c r="P889" i="19" s="1"/>
  <c r="K482" i="19"/>
  <c r="P482" i="19" s="1" a="1"/>
  <c r="P482" i="19" s="1"/>
  <c r="K67" i="19"/>
  <c r="P67" i="19" s="1" a="1"/>
  <c r="P67" i="19" s="1"/>
  <c r="K68" i="19"/>
  <c r="P68" i="19" s="1" a="1"/>
  <c r="P68" i="19" s="1"/>
  <c r="K796" i="19"/>
  <c r="P796" i="19" s="1" a="1"/>
  <c r="P796" i="19" s="1"/>
  <c r="K419" i="19"/>
  <c r="P419" i="19" s="1" a="1"/>
  <c r="P419" i="19" s="1"/>
  <c r="K988" i="19"/>
  <c r="P988" i="19" s="1" a="1"/>
  <c r="P988" i="19" s="1"/>
  <c r="K364" i="19"/>
  <c r="P364" i="19" s="1" a="1"/>
  <c r="P364" i="19" s="1"/>
  <c r="K413" i="19"/>
  <c r="P413" i="19" s="1" a="1"/>
  <c r="P413" i="19" s="1"/>
  <c r="K468" i="19"/>
  <c r="P468" i="19" s="1" a="1"/>
  <c r="P468" i="19" s="1"/>
  <c r="K723" i="19"/>
  <c r="P723" i="19" s="1" a="1"/>
  <c r="P723" i="19" s="1"/>
  <c r="K837" i="19"/>
  <c r="P837" i="19" s="1" a="1"/>
  <c r="P837" i="19" s="1"/>
  <c r="K386" i="19"/>
  <c r="P386" i="19" s="1" a="1"/>
  <c r="P386" i="19" s="1"/>
  <c r="K108" i="19"/>
  <c r="P108" i="19" s="1" a="1"/>
  <c r="P108" i="19" s="1"/>
  <c r="K906" i="19"/>
  <c r="P906" i="19" s="1" a="1"/>
  <c r="P906" i="19" s="1"/>
  <c r="K593" i="19"/>
  <c r="P593" i="19" s="1" a="1"/>
  <c r="P593" i="19" s="1"/>
  <c r="K83" i="19"/>
  <c r="P83" i="19" s="1" a="1"/>
  <c r="P83" i="19" s="1"/>
  <c r="K612" i="19"/>
  <c r="P612" i="19" s="1" a="1"/>
  <c r="P612" i="19" s="1"/>
  <c r="K354" i="19"/>
  <c r="P354" i="19" s="1" a="1"/>
  <c r="P354" i="19" s="1"/>
  <c r="K433" i="19"/>
  <c r="P433" i="19" s="1" a="1"/>
  <c r="P433" i="19" s="1"/>
  <c r="K401" i="19"/>
  <c r="P401" i="19" s="1" a="1"/>
  <c r="P401" i="19" s="1"/>
  <c r="K438" i="19"/>
  <c r="P438" i="19" s="1" a="1"/>
  <c r="P438" i="19" s="1"/>
  <c r="K379" i="19"/>
  <c r="P379" i="19" s="1" a="1"/>
  <c r="P379" i="19" s="1"/>
  <c r="K968" i="19"/>
  <c r="P968" i="19" s="1" a="1"/>
  <c r="P968" i="19" s="1"/>
  <c r="K565" i="19"/>
  <c r="P565" i="19" s="1" a="1"/>
  <c r="P565" i="19" s="1"/>
  <c r="K418" i="19"/>
  <c r="P418" i="19" s="1" a="1"/>
  <c r="P418" i="19" s="1"/>
  <c r="K808" i="19"/>
  <c r="P808" i="19" s="1" a="1"/>
  <c r="P808" i="19" s="1"/>
  <c r="K769" i="19"/>
  <c r="P769" i="19" s="1" a="1"/>
  <c r="P769" i="19" s="1"/>
  <c r="K149" i="19"/>
  <c r="P149" i="19" s="1" a="1"/>
  <c r="P149" i="19" s="1"/>
  <c r="K60" i="19"/>
  <c r="P60" i="19" s="1" a="1"/>
  <c r="P60" i="19" s="1"/>
  <c r="K915" i="19"/>
  <c r="P915" i="19" s="1" a="1"/>
  <c r="P915" i="19" s="1"/>
  <c r="K916" i="19"/>
  <c r="P916" i="19" s="1" a="1"/>
  <c r="P916" i="19" s="1"/>
  <c r="K727" i="19"/>
  <c r="P727" i="19" s="1" a="1"/>
  <c r="P727" i="19" s="1"/>
  <c r="K10" i="19"/>
  <c r="P10" i="19" s="1" a="1"/>
  <c r="P10" i="19" s="1"/>
  <c r="K990" i="19"/>
  <c r="P990" i="19" s="1" a="1"/>
  <c r="P990" i="19" s="1"/>
  <c r="K43" i="19"/>
  <c r="P43" i="19" s="1" a="1"/>
  <c r="P43" i="19" s="1"/>
  <c r="K639" i="19"/>
  <c r="P639" i="19" s="1" a="1"/>
  <c r="P639" i="19" s="1"/>
  <c r="K576" i="19"/>
  <c r="P576" i="19" s="1" a="1"/>
  <c r="P576" i="19" s="1"/>
  <c r="K683" i="19"/>
  <c r="P683" i="19" s="1" a="1"/>
  <c r="P683" i="19" s="1"/>
  <c r="K913" i="19"/>
  <c r="P913" i="19" s="1" a="1"/>
  <c r="P913" i="19" s="1"/>
  <c r="K672" i="19"/>
  <c r="P672" i="19" s="1" a="1"/>
  <c r="P672" i="19" s="1"/>
  <c r="K984" i="19"/>
  <c r="P984" i="19" s="1" a="1"/>
  <c r="P984" i="19" s="1"/>
  <c r="K823" i="19"/>
  <c r="P823" i="19" s="1" a="1"/>
  <c r="P823" i="19" s="1"/>
  <c r="K588" i="19"/>
  <c r="P588" i="19" s="1" a="1"/>
  <c r="P588" i="19" s="1"/>
  <c r="K728" i="19"/>
  <c r="P728" i="19" s="1" a="1"/>
  <c r="P728" i="19" s="1"/>
  <c r="K179" i="19"/>
  <c r="P179" i="19" s="1" a="1"/>
  <c r="P179" i="19" s="1"/>
  <c r="K758" i="19"/>
  <c r="P758" i="19" s="1" a="1"/>
  <c r="P758" i="19" s="1"/>
  <c r="K976" i="19"/>
  <c r="P976" i="19" s="1" a="1"/>
  <c r="P976" i="19" s="1"/>
  <c r="K697" i="19"/>
  <c r="P697" i="19" s="1" a="1"/>
  <c r="P697" i="19" s="1"/>
  <c r="K191" i="19"/>
  <c r="P191" i="19" s="1" a="1"/>
  <c r="P191" i="19" s="1"/>
  <c r="K378" i="19"/>
  <c r="P378" i="19" s="1" a="1"/>
  <c r="P378" i="19" s="1"/>
  <c r="K606" i="19"/>
  <c r="P606" i="19" s="1" a="1"/>
  <c r="P606" i="19" s="1"/>
  <c r="K569" i="19"/>
  <c r="P569" i="19" s="1" a="1"/>
  <c r="P569" i="19" s="1"/>
  <c r="K923" i="19"/>
  <c r="P923" i="19" s="1" a="1"/>
  <c r="P923" i="19" s="1"/>
  <c r="K799" i="19"/>
  <c r="P799" i="19" s="1" a="1"/>
  <c r="P799" i="19" s="1"/>
  <c r="K566" i="19"/>
  <c r="P566" i="19" s="1" a="1"/>
  <c r="P566" i="19" s="1"/>
  <c r="K962" i="19"/>
  <c r="P962" i="19" s="1" a="1"/>
  <c r="P962" i="19" s="1"/>
  <c r="K78" i="19"/>
  <c r="P78" i="19" s="1" a="1"/>
  <c r="P78" i="19" s="1"/>
  <c r="K784" i="19"/>
  <c r="P784" i="19" s="1" a="1"/>
  <c r="P784" i="19" s="1"/>
  <c r="K69" i="19"/>
  <c r="P69" i="19" s="1" a="1"/>
  <c r="P69" i="19" s="1"/>
  <c r="K882" i="19"/>
  <c r="P882" i="19" s="1" a="1"/>
  <c r="P882" i="19" s="1"/>
  <c r="K691" i="19"/>
  <c r="P691" i="19" s="1" a="1"/>
  <c r="P691" i="19" s="1"/>
  <c r="K696" i="19"/>
  <c r="P696" i="19" s="1" a="1"/>
  <c r="P696" i="19" s="1"/>
  <c r="K707" i="19"/>
  <c r="P707" i="19" s="1" a="1"/>
  <c r="P707" i="19" s="1"/>
  <c r="K811" i="19"/>
  <c r="P811" i="19" s="1" a="1"/>
  <c r="P811" i="19" s="1"/>
  <c r="K892" i="19"/>
  <c r="P892" i="19" s="1" a="1"/>
  <c r="P892" i="19" s="1"/>
  <c r="K20" i="19"/>
  <c r="P20" i="19" s="1" a="1"/>
  <c r="P20" i="19" s="1"/>
  <c r="K162" i="19"/>
  <c r="P162" i="19" s="1" a="1"/>
  <c r="P162" i="19" s="1"/>
  <c r="K825" i="19"/>
  <c r="P825" i="19" s="1" a="1"/>
  <c r="P825" i="19" s="1"/>
  <c r="K45" i="19"/>
  <c r="P45" i="19" s="1" a="1"/>
  <c r="P45" i="19" s="1"/>
  <c r="K72" i="19"/>
  <c r="P72" i="19" s="1" a="1"/>
  <c r="P72" i="19" s="1"/>
  <c r="K797" i="19"/>
  <c r="P797" i="19" s="1" a="1"/>
  <c r="P797" i="19" s="1"/>
  <c r="K133" i="19"/>
  <c r="P133" i="19" s="1" a="1"/>
  <c r="P133" i="19" s="1"/>
  <c r="K12" i="19"/>
  <c r="P12" i="19" s="1" a="1"/>
  <c r="P12" i="19" s="1"/>
  <c r="K62" i="19"/>
  <c r="P62" i="19" s="1" a="1"/>
  <c r="P62" i="19" s="1"/>
  <c r="K281" i="19"/>
  <c r="P281" i="19" s="1" a="1"/>
  <c r="P281" i="19" s="1"/>
  <c r="K247" i="19"/>
  <c r="P247" i="19" s="1" a="1"/>
  <c r="P247" i="19" s="1"/>
  <c r="K817" i="19"/>
  <c r="P817" i="19" s="1" a="1"/>
  <c r="P817" i="19" s="1"/>
  <c r="K535" i="19"/>
  <c r="P535" i="19" s="1" a="1"/>
  <c r="P535" i="19" s="1"/>
  <c r="K22" i="19"/>
  <c r="P22" i="19" s="1" a="1"/>
  <c r="P22" i="19" s="1"/>
  <c r="K27" i="19"/>
  <c r="P27" i="19" s="1" a="1"/>
  <c r="P27" i="19" s="1"/>
  <c r="K579" i="19"/>
  <c r="P579" i="19" s="1" a="1"/>
  <c r="P579" i="19" s="1"/>
  <c r="K831" i="19"/>
  <c r="P831" i="19" s="1" a="1"/>
  <c r="P831" i="19" s="1"/>
  <c r="K449" i="19"/>
  <c r="P449" i="19" s="1" a="1"/>
  <c r="P449" i="19" s="1"/>
  <c r="K415" i="19"/>
  <c r="P415" i="19" s="1" a="1"/>
  <c r="P415" i="19" s="1"/>
  <c r="K257" i="19"/>
  <c r="P257" i="19" s="1" a="1"/>
  <c r="P257" i="19" s="1"/>
  <c r="K389" i="19"/>
  <c r="P389" i="19" s="1" a="1"/>
  <c r="P389" i="19" s="1"/>
  <c r="K348" i="19"/>
  <c r="P348" i="19" s="1" a="1"/>
  <c r="P348" i="19" s="1"/>
  <c r="K23" i="19"/>
  <c r="P23" i="19" s="1" a="1"/>
  <c r="P23" i="19" s="1"/>
  <c r="K24" i="19"/>
  <c r="P24" i="19" s="1" a="1"/>
  <c r="P24" i="19" s="1"/>
  <c r="K25" i="19"/>
  <c r="P25" i="19" s="1" a="1"/>
  <c r="P25" i="19" s="1"/>
  <c r="K710" i="19"/>
  <c r="P710" i="19" s="1" a="1"/>
  <c r="P710" i="19" s="1"/>
  <c r="K896" i="19"/>
  <c r="P896" i="19" s="1" a="1"/>
  <c r="P896" i="19" s="1"/>
  <c r="K756" i="19"/>
  <c r="P756" i="19" s="1" a="1"/>
  <c r="P756" i="19" s="1"/>
  <c r="K549" i="19"/>
  <c r="P549" i="19" s="1" a="1"/>
  <c r="P549" i="19" s="1"/>
  <c r="K699" i="19"/>
  <c r="P699" i="19" s="1" a="1"/>
  <c r="P699" i="19" s="1"/>
  <c r="K375" i="19"/>
  <c r="P375" i="19" s="1" a="1"/>
  <c r="P375" i="19" s="1"/>
  <c r="K567" i="19"/>
  <c r="P567" i="19" s="1" a="1"/>
  <c r="P567" i="19" s="1"/>
  <c r="K103" i="19"/>
  <c r="P103" i="19" s="1" a="1"/>
  <c r="P103" i="19" s="1"/>
  <c r="K850" i="19"/>
  <c r="P850" i="19" s="1" a="1"/>
  <c r="P850" i="19" s="1"/>
  <c r="K127" i="19"/>
  <c r="P127" i="19" s="1" a="1"/>
  <c r="P127" i="19" s="1"/>
  <c r="K551" i="19"/>
  <c r="P551" i="19" s="1" a="1"/>
  <c r="P551" i="19" s="1"/>
  <c r="K943" i="19"/>
  <c r="P943" i="19" s="1" a="1"/>
  <c r="P943" i="19" s="1"/>
  <c r="K887" i="19"/>
  <c r="P887" i="19" s="1" a="1"/>
  <c r="P887" i="19" s="1"/>
  <c r="K355" i="19"/>
  <c r="P355" i="19" s="1" a="1"/>
  <c r="P355" i="19" s="1"/>
  <c r="K244" i="19"/>
  <c r="P244" i="19" s="1" a="1"/>
  <c r="P244" i="19" s="1"/>
  <c r="K434" i="19"/>
  <c r="P434" i="19" s="1" a="1"/>
  <c r="P434" i="19" s="1"/>
  <c r="K181" i="19"/>
  <c r="P181" i="19" s="1" a="1"/>
  <c r="P181" i="19" s="1"/>
  <c r="K650" i="19"/>
  <c r="P650" i="19" s="1" a="1"/>
  <c r="P650" i="19" s="1"/>
  <c r="K637" i="19"/>
  <c r="P637" i="19" s="1" a="1"/>
  <c r="P637" i="19" s="1"/>
  <c r="K30" i="19"/>
  <c r="P30" i="19" s="1" a="1"/>
  <c r="P30" i="19" s="1"/>
  <c r="K402" i="19"/>
  <c r="P402" i="19" s="1" a="1"/>
  <c r="P402" i="19" s="1"/>
  <c r="K403" i="19"/>
  <c r="P403" i="19" s="1" a="1"/>
  <c r="P403" i="19" s="1"/>
  <c r="K404" i="19"/>
  <c r="P404" i="19" s="1" a="1"/>
  <c r="P404" i="19" s="1"/>
  <c r="K405" i="19"/>
  <c r="P405" i="19" s="1" a="1"/>
  <c r="P405" i="19" s="1"/>
  <c r="K963" i="19"/>
  <c r="P963" i="19" s="1" a="1"/>
  <c r="P963" i="19" s="1"/>
  <c r="K279" i="19"/>
  <c r="P279" i="19" s="1" a="1"/>
  <c r="P279" i="19" s="1"/>
  <c r="K775" i="19"/>
  <c r="P775" i="19" s="1" a="1"/>
  <c r="P775" i="19" s="1"/>
  <c r="K444" i="19"/>
  <c r="P444" i="19" s="1" a="1"/>
  <c r="P444" i="19" s="1"/>
  <c r="K652" i="19"/>
  <c r="P652" i="19" s="1" a="1"/>
  <c r="P652" i="19" s="1"/>
  <c r="K159" i="19"/>
  <c r="P159" i="19" s="1" a="1"/>
  <c r="P159" i="19" s="1"/>
  <c r="K165" i="19"/>
  <c r="P165" i="19" s="1" a="1"/>
  <c r="P165" i="19" s="1"/>
  <c r="K175" i="19"/>
  <c r="P175" i="19" s="1" a="1"/>
  <c r="P175" i="19" s="1"/>
  <c r="K714" i="19"/>
  <c r="P714" i="19" s="1" a="1"/>
  <c r="P714" i="19" s="1"/>
  <c r="K781" i="19"/>
  <c r="P781" i="19" s="1" a="1"/>
  <c r="P781" i="19" s="1"/>
  <c r="K927" i="19"/>
  <c r="P927" i="19" s="1" a="1"/>
  <c r="P927" i="19" s="1"/>
  <c r="K202" i="19"/>
  <c r="P202" i="19" s="1" a="1"/>
  <c r="P202" i="19" s="1"/>
  <c r="K180" i="19"/>
  <c r="P180" i="19" s="1" a="1"/>
  <c r="P180" i="19" s="1"/>
  <c r="K543" i="19"/>
  <c r="P543" i="19" s="1" a="1"/>
  <c r="P543" i="19" s="1"/>
  <c r="K651" i="19"/>
  <c r="P651" i="19" s="1" a="1"/>
  <c r="P651" i="19" s="1"/>
  <c r="K628" i="19"/>
  <c r="P628" i="19" s="1" a="1"/>
  <c r="P628" i="19" s="1"/>
  <c r="K629" i="19"/>
  <c r="P629" i="19" s="1" a="1"/>
  <c r="P629" i="19" s="1"/>
  <c r="K949" i="19"/>
  <c r="P949" i="19" s="1" a="1"/>
  <c r="P949" i="19" s="1"/>
  <c r="K113" i="19"/>
  <c r="P113" i="19" s="1" a="1"/>
  <c r="P113" i="19" s="1"/>
  <c r="K337" i="19"/>
  <c r="P337" i="19" s="1" a="1"/>
  <c r="P337" i="19" s="1"/>
  <c r="K315" i="19"/>
  <c r="P315" i="19" s="1" a="1"/>
  <c r="P315" i="19" s="1"/>
  <c r="K970" i="19"/>
  <c r="P970" i="19" s="1" a="1"/>
  <c r="P970" i="19" s="1"/>
  <c r="K475" i="19"/>
  <c r="P475" i="19" s="1" a="1"/>
  <c r="P475" i="19" s="1"/>
  <c r="K587" i="19"/>
  <c r="P587" i="19" s="1" a="1"/>
  <c r="P587" i="19" s="1"/>
  <c r="K897" i="19"/>
  <c r="P897" i="19" s="1" a="1"/>
  <c r="P897" i="19" s="1"/>
  <c r="K298" i="19"/>
  <c r="P298" i="19" s="1" a="1"/>
  <c r="P298" i="19" s="1"/>
  <c r="K795" i="19"/>
  <c r="P795" i="19" s="1" a="1"/>
  <c r="P795" i="19" s="1"/>
  <c r="K709" i="19"/>
  <c r="P709" i="19" s="1" a="1"/>
  <c r="P709" i="19" s="1"/>
  <c r="K801" i="19"/>
  <c r="P801" i="19" s="1" a="1"/>
  <c r="P801" i="19" s="1"/>
  <c r="K572" i="19"/>
  <c r="P572" i="19" s="1" a="1"/>
  <c r="P572" i="19" s="1"/>
  <c r="K929" i="19"/>
  <c r="P929" i="19" s="1" a="1"/>
  <c r="P929" i="19" s="1"/>
  <c r="K653" i="19"/>
  <c r="P653" i="19" s="1" a="1"/>
  <c r="P653" i="19" s="1"/>
  <c r="K457" i="19"/>
  <c r="P457" i="19" s="1" a="1"/>
  <c r="P457" i="19" s="1"/>
  <c r="K49" i="19"/>
  <c r="P49" i="19" s="1" a="1"/>
  <c r="P49" i="19" s="1"/>
  <c r="K123" i="19"/>
  <c r="P123" i="19" s="1" a="1"/>
  <c r="P123" i="19" s="1"/>
  <c r="K559" i="19"/>
  <c r="P559" i="19" s="1" a="1"/>
  <c r="P559" i="19" s="1"/>
  <c r="K608" i="19"/>
  <c r="P608" i="19" s="1" a="1"/>
  <c r="P608" i="19" s="1"/>
  <c r="K998" i="19"/>
  <c r="P998" i="19" s="1" a="1"/>
  <c r="P998" i="19" s="1"/>
  <c r="K463" i="19"/>
  <c r="P463" i="19" s="1" a="1"/>
  <c r="P463" i="19" s="1"/>
  <c r="K445" i="19"/>
  <c r="P445" i="19" s="1" a="1"/>
  <c r="P445" i="19" s="1"/>
  <c r="K835" i="19"/>
  <c r="P835" i="19" s="1" a="1"/>
  <c r="P835" i="19" s="1"/>
  <c r="K288" i="19"/>
  <c r="P288" i="19" s="1" a="1"/>
  <c r="P288" i="19" s="1"/>
  <c r="K972" i="19"/>
  <c r="P972" i="19" s="1" a="1"/>
  <c r="P972" i="19" s="1"/>
  <c r="K117" i="19"/>
  <c r="P117" i="19" s="1" a="1"/>
  <c r="P117" i="19" s="1"/>
  <c r="K973" i="19"/>
  <c r="P973" i="19" s="1" a="1"/>
  <c r="P973" i="19" s="1"/>
  <c r="K729" i="19"/>
  <c r="P729" i="19" s="1" a="1"/>
  <c r="P729" i="19" s="1"/>
  <c r="K636" i="19"/>
  <c r="P636" i="19" s="1" a="1"/>
  <c r="P636" i="19" s="1"/>
  <c r="K416" i="19"/>
  <c r="P416" i="19" s="1" a="1"/>
  <c r="P416" i="19" s="1"/>
  <c r="K950" i="19"/>
  <c r="P950" i="19" s="1" a="1"/>
  <c r="P950" i="19" s="1"/>
  <c r="K626" i="19"/>
  <c r="P626" i="19" s="1" a="1"/>
  <c r="P626" i="19" s="1"/>
  <c r="K875" i="19"/>
  <c r="P875" i="19" s="1" a="1"/>
  <c r="P875" i="19" s="1"/>
  <c r="K203" i="19"/>
  <c r="P203" i="19" s="1" a="1"/>
  <c r="P203" i="19" s="1"/>
  <c r="K649" i="19"/>
  <c r="P649" i="19" s="1" a="1"/>
  <c r="P649" i="19" s="1"/>
  <c r="K553" i="19"/>
  <c r="P553" i="19" s="1" a="1"/>
  <c r="P553" i="19" s="1"/>
  <c r="K803" i="19"/>
  <c r="P803" i="19" s="1" a="1"/>
  <c r="P803" i="19" s="1"/>
  <c r="K440" i="19"/>
  <c r="P440" i="19" s="1" a="1"/>
  <c r="P440" i="19" s="1"/>
  <c r="K716" i="19"/>
  <c r="P716" i="19" s="1" a="1"/>
  <c r="P716" i="19" s="1"/>
  <c r="K138" i="19"/>
  <c r="P138" i="19" s="1" a="1"/>
  <c r="P138" i="19" s="1"/>
  <c r="K291" i="19"/>
  <c r="P291" i="19" s="1" a="1"/>
  <c r="P291" i="19" s="1"/>
  <c r="K3" i="19"/>
  <c r="P3" i="19" s="1" a="1"/>
  <c r="P3" i="19" s="1"/>
  <c r="K485" i="19"/>
  <c r="P485" i="19" s="1" a="1"/>
  <c r="P485" i="19" s="1"/>
  <c r="K82" i="19"/>
  <c r="P82" i="19" s="1" a="1"/>
  <c r="P82" i="19" s="1"/>
  <c r="K325" i="19"/>
  <c r="P325" i="19" s="1" a="1"/>
  <c r="P325" i="19" s="1"/>
  <c r="K205" i="19"/>
  <c r="P205" i="19" s="1" a="1"/>
  <c r="P205" i="19" s="1"/>
  <c r="K292" i="19"/>
  <c r="P292" i="19" s="1" a="1"/>
  <c r="P292" i="19" s="1"/>
  <c r="K293" i="19"/>
  <c r="P293" i="19" s="1" a="1"/>
  <c r="P293" i="19" s="1"/>
  <c r="K318" i="19"/>
  <c r="P318" i="19" s="1" a="1"/>
  <c r="P318" i="19" s="1"/>
  <c r="K451" i="19"/>
  <c r="P451" i="19" s="1" a="1"/>
  <c r="P451" i="19" s="1"/>
  <c r="K234" i="19"/>
  <c r="P234" i="19" s="1" a="1"/>
  <c r="P234" i="19" s="1"/>
  <c r="K631" i="19"/>
  <c r="P631" i="19" s="1" a="1"/>
  <c r="P631" i="19" s="1"/>
  <c r="K807" i="19"/>
  <c r="P807" i="19" s="1" a="1"/>
  <c r="P807" i="19" s="1"/>
  <c r="K780" i="19"/>
  <c r="P780" i="19" s="1" a="1"/>
  <c r="P780" i="19" s="1"/>
  <c r="K290" i="19"/>
  <c r="P290" i="19" s="1" a="1"/>
  <c r="P290" i="19" s="1"/>
  <c r="K939" i="19"/>
  <c r="P939" i="19" s="1" a="1"/>
  <c r="P939" i="19" s="1"/>
  <c r="K940" i="19"/>
  <c r="P940" i="19" s="1" a="1"/>
  <c r="P940" i="19" s="1"/>
  <c r="K809" i="19"/>
  <c r="P809" i="19" s="1" a="1"/>
  <c r="P809" i="19" s="1"/>
  <c r="K164" i="19"/>
  <c r="P164" i="19" s="1" a="1"/>
  <c r="P164" i="19" s="1"/>
  <c r="K836" i="19"/>
  <c r="P836" i="19" s="1" a="1"/>
  <c r="P836" i="19" s="1"/>
  <c r="K874" i="19"/>
  <c r="P874" i="19" s="1" a="1"/>
  <c r="P874" i="19" s="1"/>
  <c r="K818" i="19"/>
  <c r="P818" i="19" s="1" a="1"/>
  <c r="P818" i="19" s="1"/>
  <c r="K217" i="19"/>
  <c r="P217" i="19" s="1" a="1"/>
  <c r="P217" i="19" s="1"/>
  <c r="K1000" i="19"/>
  <c r="P1000" i="19" s="1" a="1"/>
  <c r="P1000" i="19" s="1"/>
  <c r="K91" i="19"/>
  <c r="P91" i="19" s="1" a="1"/>
  <c r="P91" i="19" s="1"/>
  <c r="K945" i="19"/>
  <c r="P945" i="19" s="1" a="1"/>
  <c r="P945" i="19" s="1"/>
  <c r="K250" i="19"/>
  <c r="P250" i="19" s="1" a="1"/>
  <c r="P250" i="19" s="1"/>
  <c r="K515" i="19"/>
  <c r="P515" i="19" s="1" a="1"/>
  <c r="P515" i="19" s="1"/>
  <c r="K509" i="19"/>
  <c r="P509" i="19" s="1" a="1"/>
  <c r="P509" i="19" s="1"/>
  <c r="K575" i="19"/>
  <c r="P575" i="19" s="1" a="1"/>
  <c r="P575" i="19" s="1"/>
  <c r="K220" i="19"/>
  <c r="P220" i="19" s="1" a="1"/>
  <c r="P220" i="19" s="1"/>
  <c r="K384" i="19"/>
  <c r="P384" i="19" s="1" a="1"/>
  <c r="P384" i="19" s="1"/>
  <c r="K251" i="19"/>
  <c r="P251" i="19" s="1" a="1"/>
  <c r="P251" i="19" s="1"/>
  <c r="K558" i="19"/>
  <c r="P558" i="19" s="1" a="1"/>
  <c r="P558" i="19" s="1"/>
  <c r="K126" i="19"/>
  <c r="P126" i="19" s="1" a="1"/>
  <c r="P126" i="19" s="1"/>
  <c r="K573" i="19"/>
  <c r="P573" i="19" s="1" a="1"/>
  <c r="P573" i="19" s="1"/>
  <c r="K34" i="19"/>
  <c r="P34" i="19" s="1" a="1"/>
  <c r="P34" i="19" s="1"/>
  <c r="K777" i="19"/>
  <c r="P777" i="19" s="1" a="1"/>
  <c r="P777" i="19" s="1"/>
  <c r="K87" i="19"/>
  <c r="P87" i="19" s="1" a="1"/>
  <c r="P87" i="19" s="1"/>
  <c r="K327" i="19"/>
  <c r="P327" i="19" s="1" a="1"/>
  <c r="P327" i="19" s="1"/>
  <c r="K294" i="19"/>
  <c r="P294" i="19" s="1" a="1"/>
  <c r="P294" i="19" s="1"/>
  <c r="K529" i="19"/>
  <c r="P529" i="19" s="1" a="1"/>
  <c r="P529" i="19" s="1"/>
  <c r="K966" i="19"/>
  <c r="P966" i="19" s="1" a="1"/>
  <c r="P966" i="19" s="1"/>
  <c r="K218" i="19"/>
  <c r="P218" i="19" s="1" a="1"/>
  <c r="P218" i="19" s="1"/>
  <c r="K581" i="19"/>
  <c r="P581" i="19" s="1" a="1"/>
  <c r="P581" i="19" s="1"/>
  <c r="K122" i="19"/>
  <c r="P122" i="19" s="1" a="1"/>
  <c r="P122" i="19" s="1"/>
  <c r="K52" i="19"/>
  <c r="P52" i="19" s="1" a="1"/>
  <c r="P52" i="19" s="1"/>
  <c r="K55" i="19"/>
  <c r="P55" i="19" s="1" a="1"/>
  <c r="P55" i="19" s="1"/>
  <c r="K910" i="19"/>
  <c r="P910" i="19" s="1" a="1"/>
  <c r="P910" i="19" s="1"/>
  <c r="K118" i="19"/>
  <c r="P118" i="19" s="1" a="1"/>
  <c r="P118" i="19" s="1"/>
  <c r="K423" i="19"/>
  <c r="P423" i="19" s="1" a="1"/>
  <c r="P423" i="19" s="1"/>
  <c r="K219" i="19"/>
  <c r="P219" i="19" s="1" a="1"/>
  <c r="P219" i="19" s="1"/>
  <c r="K862" i="19"/>
  <c r="P862" i="19" s="1" a="1"/>
  <c r="P862" i="19" s="1"/>
  <c r="K604" i="19"/>
  <c r="P604" i="19" s="1" a="1"/>
  <c r="P604" i="19" s="1"/>
  <c r="K789" i="19"/>
  <c r="P789" i="19" s="1" a="1"/>
  <c r="P789" i="19" s="1"/>
  <c r="K470" i="19"/>
  <c r="P470" i="19" s="1" a="1"/>
  <c r="P470" i="19" s="1"/>
  <c r="K983" i="19"/>
  <c r="P983" i="19" s="1" a="1"/>
  <c r="P983" i="19" s="1"/>
  <c r="K603" i="19"/>
  <c r="P603" i="19" s="1" a="1"/>
  <c r="P603" i="19" s="1"/>
  <c r="K230" i="19"/>
  <c r="P230" i="19" s="1" a="1"/>
  <c r="P230" i="19" s="1"/>
  <c r="K112" i="19"/>
  <c r="P112" i="19" s="1" a="1"/>
  <c r="P112" i="19" s="1"/>
  <c r="K724" i="19"/>
  <c r="P724" i="19" s="1" a="1"/>
  <c r="P724" i="19" s="1"/>
  <c r="K280" i="19"/>
  <c r="P280" i="19" s="1" a="1"/>
  <c r="P280" i="19" s="1"/>
  <c r="K429" i="19"/>
  <c r="P429" i="19" s="1" a="1"/>
  <c r="P429" i="19" s="1"/>
  <c r="K964" i="19"/>
  <c r="P964" i="19" s="1" a="1"/>
  <c r="P964" i="19" s="1"/>
  <c r="K154" i="19"/>
  <c r="P154" i="19" s="1" a="1"/>
  <c r="P154" i="19" s="1"/>
  <c r="K349" i="19"/>
  <c r="P349" i="19" s="1" a="1"/>
  <c r="P349" i="19" s="1"/>
  <c r="K350" i="19"/>
  <c r="P350" i="19" s="1" a="1"/>
  <c r="P350" i="19" s="1"/>
  <c r="K351" i="19"/>
  <c r="P351" i="19" s="1" a="1"/>
  <c r="P351" i="19" s="1"/>
  <c r="K352" i="19"/>
  <c r="P352" i="19" s="1" a="1"/>
  <c r="P352" i="19" s="1"/>
  <c r="K654" i="19"/>
  <c r="P654" i="19" s="1" a="1"/>
  <c r="P654" i="19" s="1"/>
  <c r="K390" i="19"/>
  <c r="P390" i="19" s="1" a="1"/>
  <c r="P390" i="19" s="1"/>
  <c r="K602" i="19"/>
  <c r="P602" i="19" s="1" a="1"/>
  <c r="P602" i="19" s="1"/>
  <c r="K311" i="19"/>
  <c r="P311" i="19" s="1" a="1"/>
  <c r="P311" i="19" s="1"/>
  <c r="K166" i="19"/>
  <c r="P166" i="19" s="1" a="1"/>
  <c r="P166" i="19" s="1"/>
  <c r="K109" i="19"/>
  <c r="P109" i="19" s="1" a="1"/>
  <c r="P109" i="19" s="1"/>
  <c r="K726" i="19"/>
  <c r="P726" i="19" s="1" a="1"/>
  <c r="P726" i="19" s="1"/>
  <c r="K510" i="19"/>
  <c r="P510" i="19" s="1" a="1"/>
  <c r="P510" i="19" s="1"/>
  <c r="K937" i="19"/>
  <c r="P937" i="19" s="1" a="1"/>
  <c r="P937" i="19" s="1"/>
  <c r="K989" i="19"/>
  <c r="P989" i="19" s="1" a="1"/>
  <c r="P989" i="19" s="1"/>
  <c r="K630" i="19"/>
  <c r="P630" i="19" s="1" a="1"/>
  <c r="P630" i="19" s="1"/>
  <c r="K240" i="19"/>
  <c r="P240" i="19" s="1" a="1"/>
  <c r="P240" i="19" s="1"/>
  <c r="K656" i="19"/>
  <c r="P656" i="19" s="1" a="1"/>
  <c r="P656" i="19" s="1"/>
  <c r="K266" i="19"/>
  <c r="P266" i="19" s="1" a="1"/>
  <c r="P266" i="19" s="1"/>
  <c r="K306" i="19"/>
  <c r="P306" i="19" s="1" a="1"/>
  <c r="P306" i="19" s="1"/>
  <c r="K75" i="19"/>
  <c r="P75" i="19" s="1" a="1"/>
  <c r="P75" i="19" s="1"/>
  <c r="K938" i="19"/>
  <c r="P938" i="19" s="1" a="1"/>
  <c r="P938" i="19" s="1"/>
  <c r="K188" i="19"/>
  <c r="P188" i="19" s="1" a="1"/>
  <c r="P188" i="19" s="1"/>
  <c r="K173" i="19"/>
  <c r="P173" i="19" s="1" a="1"/>
  <c r="P173" i="19" s="1"/>
  <c r="K399" i="19"/>
  <c r="P399" i="19" s="1" a="1"/>
  <c r="P399" i="19" s="1"/>
  <c r="K814" i="19"/>
  <c r="P814" i="19" s="1" a="1"/>
  <c r="P814" i="19" s="1"/>
  <c r="K39" i="19"/>
  <c r="P39" i="19" s="1" a="1"/>
  <c r="P39" i="19" s="1"/>
  <c r="K662" i="19"/>
  <c r="P662" i="19" s="1" a="1"/>
  <c r="P662" i="19" s="1"/>
  <c r="K666" i="19"/>
  <c r="P666" i="19" s="1" a="1"/>
  <c r="P666" i="19" s="1"/>
  <c r="K901" i="19"/>
  <c r="P901" i="19" s="1" a="1"/>
  <c r="P901" i="19" s="1"/>
  <c r="K985" i="19"/>
  <c r="P985" i="19" s="1" a="1"/>
  <c r="P985" i="19" s="1"/>
  <c r="K492" i="19"/>
  <c r="P492" i="19" s="1" a="1"/>
  <c r="P492" i="19" s="1"/>
  <c r="K286" i="19"/>
  <c r="P286" i="19" s="1" a="1"/>
  <c r="P286" i="19" s="1"/>
  <c r="K944" i="19"/>
  <c r="P944" i="19" s="1" a="1"/>
  <c r="P944" i="19" s="1"/>
  <c r="K63" i="19"/>
  <c r="P63" i="19" s="1" a="1"/>
  <c r="P63" i="19" s="1"/>
  <c r="K870" i="19"/>
  <c r="P870" i="19" s="1" a="1"/>
  <c r="P870" i="19" s="1"/>
  <c r="K237" i="19"/>
  <c r="P237" i="19" s="1" a="1"/>
  <c r="P237" i="19" s="1"/>
  <c r="K472" i="19"/>
  <c r="P472" i="19" s="1" a="1"/>
  <c r="P472" i="19" s="1"/>
  <c r="K473" i="19"/>
  <c r="P473" i="19" s="1" a="1"/>
  <c r="P473" i="19" s="1"/>
  <c r="K513" i="19"/>
  <c r="P513" i="19" s="1" a="1"/>
  <c r="P513" i="19" s="1"/>
  <c r="K739" i="19"/>
  <c r="P739" i="19" s="1" a="1"/>
  <c r="P739" i="19" s="1"/>
  <c r="K491" i="19"/>
  <c r="P491" i="19" s="1" a="1"/>
  <c r="P491" i="19" s="1"/>
  <c r="K359" i="19"/>
  <c r="P359" i="19" s="1" a="1"/>
  <c r="P359" i="19" s="1"/>
  <c r="K172" i="19"/>
  <c r="P172" i="19" s="1" a="1"/>
  <c r="P172" i="19" s="1"/>
  <c r="K387" i="19"/>
  <c r="P387" i="19" s="1" a="1"/>
  <c r="P387" i="19" s="1"/>
  <c r="K584" i="19"/>
  <c r="P584" i="19" s="1" a="1"/>
  <c r="P584" i="19" s="1"/>
  <c r="K443" i="19"/>
  <c r="P443" i="19" s="1" a="1"/>
  <c r="P443" i="19" s="1"/>
  <c r="K452" i="19"/>
  <c r="P452" i="19" s="1" a="1"/>
  <c r="P452" i="19" s="1"/>
  <c r="K917" i="19"/>
  <c r="P917" i="19" s="1" a="1"/>
  <c r="P917" i="19" s="1"/>
  <c r="K381" i="19"/>
  <c r="P381" i="19" s="1" a="1"/>
  <c r="P381" i="19" s="1"/>
  <c r="K183" i="19"/>
  <c r="P183" i="19" s="1" a="1"/>
  <c r="P183" i="19" s="1"/>
  <c r="K680" i="19"/>
  <c r="P680" i="19" s="1" a="1"/>
  <c r="P680" i="19" s="1"/>
  <c r="K19" i="19"/>
  <c r="P19" i="19" s="1" a="1"/>
  <c r="P19" i="19" s="1"/>
  <c r="K58" i="19"/>
  <c r="P58" i="19" s="1" a="1"/>
  <c r="P58" i="19" s="1"/>
  <c r="K734" i="19"/>
  <c r="P734" i="19" s="1" a="1"/>
  <c r="P734" i="19" s="1"/>
  <c r="K580" i="19"/>
  <c r="P580" i="19" s="1" a="1"/>
  <c r="P580" i="19" s="1"/>
  <c r="K924" i="19"/>
  <c r="P924" i="19" s="1" a="1"/>
  <c r="P924" i="19" s="1"/>
  <c r="K102" i="19"/>
  <c r="P102" i="19" s="1" a="1"/>
  <c r="P102" i="19" s="1"/>
  <c r="K511" i="19"/>
  <c r="P511" i="19" s="1" a="1"/>
  <c r="P511" i="19" s="1"/>
  <c r="K268" i="19"/>
  <c r="P268" i="19" s="1" a="1"/>
  <c r="P268" i="19" s="1"/>
  <c r="K980" i="19"/>
  <c r="P980" i="19" s="1" a="1"/>
  <c r="P980" i="19" s="1"/>
  <c r="K556" i="19"/>
  <c r="P556" i="19" s="1" a="1"/>
  <c r="P556" i="19" s="1"/>
  <c r="K284" i="19"/>
  <c r="P284" i="19" s="1" a="1"/>
  <c r="P284" i="19" s="1"/>
  <c r="K374" i="19"/>
  <c r="P374" i="19" s="1" a="1"/>
  <c r="P374" i="19" s="1"/>
  <c r="K520" i="19"/>
  <c r="P520" i="19" s="1" a="1"/>
  <c r="P520" i="19" s="1"/>
  <c r="K46" i="19"/>
  <c r="P46" i="19" s="1" a="1"/>
  <c r="P46" i="19" s="1"/>
  <c r="K317" i="19"/>
  <c r="P317" i="19" s="1" a="1"/>
  <c r="P317" i="19" s="1"/>
  <c r="K830" i="19"/>
  <c r="P830" i="19" s="1" a="1"/>
  <c r="P830" i="19" s="1"/>
  <c r="K258" i="19"/>
  <c r="P258" i="19" s="1" a="1"/>
  <c r="P258" i="19" s="1"/>
  <c r="K526" i="19"/>
  <c r="P526" i="19" s="1" a="1"/>
  <c r="P526" i="19" s="1"/>
  <c r="K705" i="19"/>
  <c r="P705" i="19" s="1" a="1"/>
  <c r="P705" i="19" s="1"/>
  <c r="K521" i="19"/>
  <c r="P521" i="19" s="1" a="1"/>
  <c r="P521" i="19" s="1"/>
  <c r="K757" i="19"/>
  <c r="P757" i="19" s="1" a="1"/>
  <c r="P757" i="19" s="1"/>
  <c r="K94" i="19"/>
  <c r="P94" i="19" s="1" a="1"/>
  <c r="P94" i="19" s="1"/>
  <c r="K715" i="19"/>
  <c r="P715" i="19" s="1" a="1"/>
  <c r="P715" i="19" s="1"/>
  <c r="K961" i="19"/>
  <c r="P961" i="19" s="1" a="1"/>
  <c r="P961" i="19" s="1"/>
  <c r="K299" i="19"/>
  <c r="P299" i="19" s="1" a="1"/>
  <c r="P299" i="19" s="1"/>
  <c r="K530" i="19"/>
  <c r="P530" i="19" s="1" a="1"/>
  <c r="P530" i="19" s="1"/>
  <c r="K864" i="19"/>
  <c r="P864" i="19" s="1" a="1"/>
  <c r="P864" i="19" s="1"/>
  <c r="K95" i="19"/>
  <c r="P95" i="19" s="1" a="1"/>
  <c r="P95" i="19" s="1"/>
  <c r="K736" i="19"/>
  <c r="P736" i="19" s="1" a="1"/>
  <c r="P736" i="19" s="1"/>
  <c r="K866" i="19"/>
  <c r="P866" i="19" s="1" a="1"/>
  <c r="P866" i="19" s="1"/>
  <c r="K619" i="19"/>
  <c r="P619" i="19" s="1" a="1"/>
  <c r="P619" i="19" s="1"/>
  <c r="K898" i="19"/>
  <c r="P898" i="19" s="1" a="1"/>
  <c r="P898" i="19" s="1"/>
  <c r="K852" i="19"/>
  <c r="P852" i="19" s="1" a="1"/>
  <c r="P852" i="19" s="1"/>
  <c r="K876" i="19"/>
  <c r="P876" i="19" s="1" a="1"/>
  <c r="P876" i="19" s="1"/>
  <c r="K840" i="19"/>
  <c r="P840" i="19" s="1" a="1"/>
  <c r="P840" i="19" s="1"/>
  <c r="K42" i="19"/>
  <c r="P42" i="19" s="1" a="1"/>
  <c r="P42" i="19" s="1"/>
  <c r="K400" i="19"/>
  <c r="P400" i="19" s="1" a="1"/>
  <c r="P400" i="19" s="1"/>
  <c r="K518" i="19"/>
  <c r="P518" i="19" s="1" a="1"/>
  <c r="P518" i="19" s="1"/>
  <c r="K977" i="19"/>
  <c r="P977" i="19" s="1" a="1"/>
  <c r="P977" i="19" s="1"/>
  <c r="K253" i="19"/>
  <c r="P253" i="19" s="1" a="1"/>
  <c r="P253" i="19" s="1"/>
  <c r="K414" i="19"/>
  <c r="P414" i="19" s="1" a="1"/>
  <c r="P414" i="19" s="1"/>
  <c r="K812" i="19"/>
  <c r="P812" i="19" s="1" a="1"/>
  <c r="P812" i="19" s="1"/>
  <c r="K738" i="19"/>
  <c r="P738" i="19" s="1" a="1"/>
  <c r="P738" i="19" s="1"/>
  <c r="K454" i="19"/>
  <c r="P454" i="19" s="1" a="1"/>
  <c r="P454" i="19" s="1"/>
  <c r="K391" i="19"/>
  <c r="P391" i="19" s="1" a="1"/>
  <c r="P391" i="19" s="1"/>
  <c r="K735" i="19"/>
  <c r="P735" i="19" s="1" a="1"/>
  <c r="P735" i="19" s="1"/>
  <c r="K242" i="19"/>
  <c r="P242" i="19" s="1" a="1"/>
  <c r="P242" i="19" s="1"/>
  <c r="K272" i="19"/>
  <c r="P272" i="19" s="1" a="1"/>
  <c r="P272" i="19" s="1"/>
  <c r="K820" i="19"/>
  <c r="P820" i="19" s="1" a="1"/>
  <c r="P820" i="19" s="1"/>
  <c r="K822" i="19"/>
  <c r="P822" i="19" s="1" a="1"/>
  <c r="P822" i="19" s="1"/>
  <c r="K853" i="19"/>
  <c r="P853" i="19" s="1" a="1"/>
  <c r="P853" i="19" s="1"/>
  <c r="K53" i="19"/>
  <c r="P53" i="19" s="1" a="1"/>
  <c r="P53" i="19" s="1"/>
  <c r="K597" i="19"/>
  <c r="P597" i="19" s="1" a="1"/>
  <c r="P597" i="19" s="1"/>
  <c r="K486" i="19"/>
  <c r="P486" i="19" s="1" a="1"/>
  <c r="P486" i="19" s="1"/>
  <c r="K406" i="19"/>
  <c r="P406" i="19" s="1" a="1"/>
  <c r="P406" i="19" s="1"/>
  <c r="K32" i="19"/>
  <c r="P32" i="19" s="1" a="1"/>
  <c r="P32" i="19" s="1"/>
  <c r="K90" i="19"/>
  <c r="P90" i="19" s="1" a="1"/>
  <c r="P90" i="19" s="1"/>
  <c r="K498" i="19"/>
  <c r="P498" i="19" s="1" a="1"/>
  <c r="P498" i="19" s="1"/>
  <c r="K161" i="19"/>
  <c r="P161" i="19" s="1" a="1"/>
  <c r="P161" i="19" s="1"/>
  <c r="K713" i="19"/>
  <c r="P713" i="19" s="1" a="1"/>
  <c r="P713" i="19" s="1"/>
  <c r="K519" i="19"/>
  <c r="P519" i="19" s="1" a="1"/>
  <c r="P519" i="19" s="1"/>
  <c r="K540" i="19"/>
  <c r="P540" i="19" s="1" a="1"/>
  <c r="P540" i="19" s="1"/>
  <c r="K624" i="19"/>
  <c r="P624" i="19" s="1" a="1"/>
  <c r="P624" i="19" s="1"/>
  <c r="K806" i="19"/>
  <c r="P806" i="19" s="1" a="1"/>
  <c r="P806" i="19" s="1"/>
  <c r="K919" i="19"/>
  <c r="P919" i="19" s="1" a="1"/>
  <c r="P919" i="19" s="1"/>
  <c r="K844" i="19"/>
  <c r="P844" i="19" s="1" a="1"/>
  <c r="P844" i="19" s="1"/>
  <c r="K528" i="19"/>
  <c r="P528" i="19" s="1" a="1"/>
  <c r="P528" i="19" s="1"/>
  <c r="K460" i="19"/>
  <c r="P460" i="19" s="1" a="1"/>
  <c r="P460" i="19" s="1"/>
  <c r="K909" i="19"/>
  <c r="P909" i="19" s="1" a="1"/>
  <c r="P909" i="19" s="1"/>
  <c r="K358" i="19"/>
  <c r="P358" i="19" s="1" a="1"/>
  <c r="P358" i="19" s="1"/>
  <c r="K671" i="19"/>
  <c r="P671" i="19" s="1" a="1"/>
  <c r="P671" i="19" s="1"/>
  <c r="K442" i="19"/>
  <c r="P442" i="19" s="1" a="1"/>
  <c r="P442" i="19" s="1"/>
  <c r="K955" i="19"/>
  <c r="P955" i="19" s="1" a="1"/>
  <c r="P955" i="19" s="1"/>
  <c r="K137" i="19"/>
  <c r="P137" i="19" s="1" a="1"/>
  <c r="P137" i="19" s="1"/>
  <c r="K883" i="19"/>
  <c r="P883" i="19" s="1" a="1"/>
  <c r="P883" i="19" s="1"/>
  <c r="K517" i="19"/>
  <c r="P517" i="19" s="1" a="1"/>
  <c r="P517" i="19" s="1"/>
  <c r="K372" i="19"/>
  <c r="P372" i="19" s="1" a="1"/>
  <c r="P372" i="19" s="1"/>
  <c r="K360" i="19"/>
  <c r="P360" i="19" s="1" a="1"/>
  <c r="P360" i="19" s="1"/>
  <c r="K305" i="19"/>
  <c r="P305" i="19" s="1" a="1"/>
  <c r="P305" i="19" s="1"/>
  <c r="K609" i="19"/>
  <c r="P609" i="19" s="1" a="1"/>
  <c r="P609" i="19" s="1"/>
  <c r="K249" i="19"/>
  <c r="P249" i="19" s="1" a="1"/>
  <c r="P249" i="19" s="1"/>
  <c r="K77" i="19"/>
  <c r="P77" i="19" s="1" a="1"/>
  <c r="P77" i="19" s="1"/>
  <c r="K201" i="19"/>
  <c r="P201" i="19" s="1" a="1"/>
  <c r="P201" i="19" s="1"/>
  <c r="K860" i="19"/>
  <c r="P860" i="19" s="1" a="1"/>
  <c r="P860" i="19" s="1"/>
  <c r="K845" i="19"/>
  <c r="P845" i="19" s="1" a="1"/>
  <c r="P845" i="19" s="1"/>
  <c r="K131" i="19"/>
  <c r="P131" i="19" s="1" a="1"/>
  <c r="P131" i="19" s="1"/>
  <c r="K791" i="19"/>
  <c r="P791" i="19" s="1" a="1"/>
  <c r="P791" i="19" s="1"/>
  <c r="K792" i="19"/>
  <c r="P792" i="19" s="1" a="1"/>
  <c r="P792" i="19" s="1"/>
  <c r="K373" i="19"/>
  <c r="P373" i="19" s="1" a="1"/>
  <c r="P373" i="19" s="1"/>
  <c r="K371" i="19"/>
  <c r="P371" i="19" s="1" a="1"/>
  <c r="P371" i="19" s="1"/>
  <c r="K248" i="19"/>
  <c r="P248" i="19" s="1" a="1"/>
  <c r="P248" i="19" s="1"/>
  <c r="K658" i="19"/>
  <c r="P658" i="19" s="1" a="1"/>
  <c r="P658" i="19" s="1"/>
  <c r="K900" i="19"/>
  <c r="P900" i="19" s="1" a="1"/>
  <c r="P900" i="19" s="1"/>
  <c r="K670" i="19"/>
  <c r="P670" i="19" s="1" a="1"/>
  <c r="P670" i="19" s="1"/>
  <c r="K44" i="19"/>
  <c r="P44" i="19" s="1" a="1"/>
  <c r="P44" i="19" s="1"/>
  <c r="K301" i="19"/>
  <c r="P301" i="19" s="1" a="1"/>
  <c r="P301" i="19" s="1"/>
  <c r="K813" i="19"/>
  <c r="P813" i="19" s="1" a="1"/>
  <c r="P813" i="19" s="1"/>
  <c r="K533" i="19"/>
  <c r="P533" i="19" s="1" a="1"/>
  <c r="P533" i="19" s="1"/>
  <c r="K490" i="19"/>
  <c r="P490" i="19" s="1" a="1"/>
  <c r="P490" i="19" s="1"/>
  <c r="K157" i="19"/>
  <c r="P157" i="19" s="1" a="1"/>
  <c r="P157" i="19" s="1"/>
  <c r="K941" i="19"/>
  <c r="P941" i="19" s="1" a="1"/>
  <c r="P941" i="19" s="1"/>
  <c r="K951" i="19"/>
  <c r="P951" i="19" s="1" a="1"/>
  <c r="P951" i="19" s="1"/>
  <c r="K577" i="19"/>
  <c r="P577" i="19" s="1" a="1"/>
  <c r="P577" i="19" s="1"/>
  <c r="K14" i="19"/>
  <c r="P14" i="19" s="1" a="1"/>
  <c r="P14" i="19" s="1"/>
  <c r="K195" i="19"/>
  <c r="P195" i="19" s="1" a="1"/>
  <c r="P195" i="19" s="1"/>
  <c r="K412" i="19"/>
  <c r="P412" i="19" s="1" a="1"/>
  <c r="P412" i="19" s="1"/>
  <c r="K439" i="19"/>
  <c r="P439" i="19" s="1" a="1"/>
  <c r="P439" i="19" s="1"/>
  <c r="K158" i="19"/>
  <c r="P158" i="19" s="1" a="1"/>
  <c r="P158" i="19" s="1"/>
  <c r="K114" i="19"/>
  <c r="P114" i="19" s="1" a="1"/>
  <c r="P114" i="19" s="1"/>
  <c r="K537" i="19"/>
  <c r="P537" i="19" s="1" a="1"/>
  <c r="P537" i="19" s="1"/>
  <c r="K742" i="19"/>
  <c r="P742" i="19" s="1" a="1"/>
  <c r="P742" i="19" s="1"/>
  <c r="K877" i="19"/>
  <c r="P877" i="19" s="1" a="1"/>
  <c r="P877" i="19" s="1"/>
  <c r="K546" i="19"/>
  <c r="P546" i="19" s="1" a="1"/>
  <c r="P546" i="19" s="1"/>
  <c r="K512" i="19"/>
  <c r="P512" i="19" s="1" a="1"/>
  <c r="P512" i="19" s="1"/>
  <c r="K618" i="19"/>
  <c r="P618" i="19" s="1" a="1"/>
  <c r="P618" i="19" s="1"/>
  <c r="K420" i="19"/>
  <c r="P420" i="19" s="1" a="1"/>
  <c r="P420" i="19" s="1"/>
  <c r="K986" i="19"/>
  <c r="P986" i="19" s="1" a="1"/>
  <c r="P986" i="19" s="1"/>
  <c r="K675" i="19"/>
  <c r="P675" i="19" s="1" a="1"/>
  <c r="P675" i="19" s="1"/>
  <c r="K502" i="19"/>
  <c r="P502" i="19" s="1" a="1"/>
  <c r="P502" i="19" s="1"/>
  <c r="K422" i="19"/>
  <c r="P422" i="19" s="1" a="1"/>
  <c r="P422" i="19" s="1"/>
  <c r="K410" i="19"/>
  <c r="P410" i="19" s="1" a="1"/>
  <c r="P410" i="19" s="1"/>
  <c r="K638" i="19"/>
  <c r="P638" i="19" s="1" a="1"/>
  <c r="P638" i="19" s="1"/>
  <c r="K134" i="19"/>
  <c r="P134" i="19" s="1" a="1"/>
  <c r="P134" i="19" s="1"/>
  <c r="K156" i="19"/>
  <c r="P156" i="19" s="1" a="1"/>
  <c r="P156" i="19" s="1"/>
  <c r="K254" i="19"/>
  <c r="P254" i="19" s="1" a="1"/>
  <c r="P254" i="19" s="1"/>
  <c r="K489" i="19"/>
  <c r="P489" i="19" s="1" a="1"/>
  <c r="P489" i="19" s="1"/>
  <c r="K189" i="19"/>
  <c r="P189" i="19" s="1" a="1"/>
  <c r="P189" i="19" s="1"/>
  <c r="K548" i="19"/>
  <c r="P548" i="19" s="1" a="1"/>
  <c r="P548" i="19" s="1"/>
  <c r="K570" i="19"/>
  <c r="P570" i="19" s="1" a="1"/>
  <c r="P570" i="19" s="1"/>
  <c r="K37" i="19"/>
  <c r="P37" i="19" s="1" a="1"/>
  <c r="P37" i="19" s="1"/>
  <c r="K178" i="19"/>
  <c r="P178" i="19" s="1" a="1"/>
  <c r="P178" i="19" s="1"/>
  <c r="K26" i="19"/>
  <c r="P26" i="19" s="1" a="1"/>
  <c r="P26" i="19" s="1"/>
  <c r="K146" i="19"/>
  <c r="P146" i="19" s="1" a="1"/>
  <c r="P146" i="19" s="1"/>
  <c r="K147" i="19"/>
  <c r="P147" i="19" s="1" a="1"/>
  <c r="P147" i="19" s="1"/>
  <c r="K222" i="19"/>
  <c r="P222" i="19" s="1" a="1"/>
  <c r="P222" i="19" s="1"/>
  <c r="K879" i="19"/>
  <c r="P879" i="19" s="1" a="1"/>
  <c r="P879" i="19" s="1"/>
  <c r="K589" i="19"/>
  <c r="P589" i="19" s="1" a="1"/>
  <c r="P589" i="19" s="1"/>
  <c r="K661" i="19"/>
  <c r="P661" i="19" s="1" a="1"/>
  <c r="P661" i="19" s="1"/>
  <c r="K99" i="19"/>
  <c r="P99" i="19" s="1" a="1"/>
  <c r="P99" i="19" s="1"/>
  <c r="K36" i="19"/>
  <c r="P36" i="19" s="1" a="1"/>
  <c r="P36" i="19" s="1"/>
  <c r="K155" i="19"/>
  <c r="P155" i="19" s="1" a="1"/>
  <c r="P155" i="19" s="1"/>
  <c r="K340" i="19"/>
  <c r="P340" i="19" s="1" a="1"/>
  <c r="P340" i="19" s="1"/>
  <c r="K335" i="19"/>
  <c r="P335" i="19" s="1" a="1"/>
  <c r="P335" i="19" s="1"/>
  <c r="K621" i="19"/>
  <c r="P621" i="19" s="1" a="1"/>
  <c r="P621" i="19" s="1"/>
  <c r="K920" i="19"/>
  <c r="P920" i="19" s="1" a="1"/>
  <c r="P920" i="19" s="1"/>
  <c r="K235" i="19"/>
  <c r="P235" i="19" s="1" a="1"/>
  <c r="P235" i="19" s="1"/>
  <c r="K747" i="19"/>
  <c r="P747" i="19" s="1" a="1"/>
  <c r="P747" i="19" s="1"/>
  <c r="K541" i="19"/>
  <c r="P541" i="19" s="1" a="1"/>
  <c r="P541" i="19" s="1"/>
  <c r="K462" i="19"/>
  <c r="P462" i="19" s="1" a="1"/>
  <c r="P462" i="19" s="1"/>
  <c r="K13" i="19"/>
  <c r="P13" i="19" s="1" a="1"/>
  <c r="P13" i="19" s="1"/>
  <c r="K458" i="19"/>
  <c r="P458" i="19" s="1" a="1"/>
  <c r="P458" i="19" s="1"/>
  <c r="K446" i="19"/>
  <c r="P446" i="19" s="1" a="1"/>
  <c r="P446" i="19" s="1"/>
  <c r="K447" i="19"/>
  <c r="P447" i="19" s="1" a="1"/>
  <c r="P447" i="19" s="1"/>
  <c r="K477" i="19"/>
  <c r="P477" i="19" s="1" a="1"/>
  <c r="P477" i="19" s="1"/>
  <c r="K590" i="19"/>
  <c r="P590" i="19" s="1" a="1"/>
  <c r="P590" i="19" s="1"/>
  <c r="K706" i="19"/>
  <c r="P706" i="19" s="1" a="1"/>
  <c r="P706" i="19" s="1"/>
  <c r="K568" i="19"/>
  <c r="P568" i="19" s="1" a="1"/>
  <c r="P568" i="19" s="1"/>
  <c r="K376" i="19"/>
  <c r="P376" i="19" s="1" a="1"/>
  <c r="P376" i="19" s="1"/>
  <c r="K38" i="19"/>
  <c r="P38" i="19" s="1" a="1"/>
  <c r="P38" i="19" s="1"/>
  <c r="K826" i="19"/>
  <c r="P826" i="19" s="1" a="1"/>
  <c r="P826" i="19" s="1"/>
  <c r="K687" i="19"/>
  <c r="P687" i="19" s="1" a="1"/>
  <c r="P687" i="19" s="1"/>
  <c r="K493" i="19"/>
  <c r="P493" i="19" s="1" a="1"/>
  <c r="P493" i="19" s="1"/>
  <c r="K936" i="19"/>
  <c r="P936" i="19" s="1" a="1"/>
  <c r="P936" i="19" s="1"/>
  <c r="K748" i="19"/>
  <c r="P748" i="19" s="1" a="1"/>
  <c r="P748" i="19" s="1"/>
  <c r="K259" i="19"/>
  <c r="P259" i="19" s="1" a="1"/>
  <c r="P259" i="19" s="1"/>
  <c r="K9" i="19"/>
  <c r="P9" i="19" s="1" a="1"/>
  <c r="P9" i="19" s="1"/>
  <c r="K703" i="19"/>
  <c r="P703" i="19" s="1" a="1"/>
  <c r="P703" i="19" s="1"/>
  <c r="K314" i="19"/>
  <c r="P314" i="19" s="1" a="1"/>
  <c r="P314" i="19" s="1"/>
  <c r="K695" i="19"/>
  <c r="P695" i="19" s="1" a="1"/>
  <c r="P695" i="19" s="1"/>
  <c r="K890" i="19"/>
  <c r="P890" i="19" s="1" a="1"/>
  <c r="P890" i="19" s="1"/>
  <c r="K505" i="19"/>
  <c r="P505" i="19" s="1" a="1"/>
  <c r="P505" i="19" s="1"/>
  <c r="K506" i="19"/>
  <c r="P506" i="19" s="1" a="1"/>
  <c r="P506" i="19" s="1"/>
  <c r="K773" i="19"/>
  <c r="P773" i="19" s="1" a="1"/>
  <c r="P773" i="19" s="1"/>
  <c r="K100" i="19"/>
  <c r="P100" i="19" s="1" a="1"/>
  <c r="P100" i="19" s="1"/>
  <c r="K623" i="19"/>
  <c r="P623" i="19" s="1" a="1"/>
  <c r="P623" i="19" s="1"/>
  <c r="K886" i="19"/>
  <c r="P886" i="19" s="1" a="1"/>
  <c r="P886" i="19" s="1"/>
  <c r="K274" i="19"/>
  <c r="P274" i="19" s="1" a="1"/>
  <c r="P274" i="19" s="1"/>
  <c r="K749" i="19"/>
  <c r="P749" i="19" s="1" a="1"/>
  <c r="P749" i="19" s="1"/>
  <c r="K522" i="19"/>
  <c r="P522" i="19" s="1" a="1"/>
  <c r="P522" i="19" s="1"/>
  <c r="K865" i="19"/>
  <c r="P865" i="19" s="1" a="1"/>
  <c r="P865" i="19" s="1"/>
  <c r="K805" i="19"/>
  <c r="P805" i="19" s="1" a="1"/>
  <c r="P805" i="19" s="1"/>
  <c r="K171" i="19"/>
  <c r="P171" i="19" s="1" a="1"/>
  <c r="P171" i="19" s="1"/>
  <c r="K743" i="19"/>
  <c r="P743" i="19" s="1" a="1"/>
  <c r="P743" i="19" s="1"/>
  <c r="K417" i="19"/>
  <c r="P417" i="19" s="1" a="1"/>
  <c r="P417" i="19" s="1"/>
  <c r="K667" i="19"/>
  <c r="P667" i="19" s="1" a="1"/>
  <c r="P667" i="19" s="1"/>
  <c r="K827" i="19"/>
  <c r="P827" i="19" s="1" a="1"/>
  <c r="P827" i="19" s="1"/>
  <c r="K689" i="19"/>
  <c r="P689" i="19" s="1" a="1"/>
  <c r="P689" i="19" s="1"/>
  <c r="K790" i="19"/>
  <c r="P790" i="19" s="1" a="1"/>
  <c r="P790" i="19" s="1"/>
  <c r="K104" i="19"/>
  <c r="P104" i="19" s="1" a="1"/>
  <c r="P104" i="19" s="1"/>
  <c r="K642" i="19"/>
  <c r="P642" i="19" s="1" a="1"/>
  <c r="P642" i="19" s="1"/>
  <c r="K29" i="19"/>
  <c r="P29" i="19" s="1" a="1"/>
  <c r="P29" i="19" s="1"/>
  <c r="K363" i="19"/>
  <c r="P363" i="19" s="1" a="1"/>
  <c r="P363" i="19" s="1"/>
  <c r="K778" i="19"/>
  <c r="P778" i="19" s="1" a="1"/>
  <c r="P778" i="19" s="1"/>
  <c r="K209" i="19"/>
  <c r="P209" i="19" s="1" a="1"/>
  <c r="P209" i="19" s="1"/>
  <c r="K690" i="19"/>
  <c r="P690" i="19" s="1" a="1"/>
  <c r="P690" i="19" s="1"/>
  <c r="K496" i="19"/>
  <c r="P496" i="19" s="1" a="1"/>
  <c r="P496" i="19" s="1"/>
  <c r="K753" i="19"/>
  <c r="P753" i="19" s="1" a="1"/>
  <c r="P753" i="19" s="1"/>
  <c r="K754" i="19"/>
  <c r="P754" i="19" s="1" a="1"/>
  <c r="P754" i="19" s="1"/>
  <c r="K997" i="19"/>
  <c r="P997" i="19" s="1" a="1"/>
  <c r="P997" i="19" s="1"/>
  <c r="K483" i="19"/>
  <c r="P483" i="19" s="1" a="1"/>
  <c r="P483" i="19" s="1"/>
  <c r="K148" i="19"/>
  <c r="P148" i="19" s="1" a="1"/>
  <c r="P148" i="19" s="1"/>
  <c r="K226" i="19"/>
  <c r="P226" i="19" s="1" a="1"/>
  <c r="P226" i="19" s="1"/>
  <c r="K128" i="19"/>
  <c r="P128" i="19" s="1" a="1"/>
  <c r="P128" i="19" s="1"/>
  <c r="K564" i="19"/>
  <c r="P564" i="19" s="1" a="1"/>
  <c r="P564" i="19" s="1"/>
  <c r="K601" i="19"/>
  <c r="P601" i="19" s="1" a="1"/>
  <c r="P601" i="19" s="1"/>
  <c r="K261" i="19"/>
  <c r="P261" i="19" s="1" a="1"/>
  <c r="P261" i="19" s="1"/>
  <c r="K448" i="19"/>
  <c r="P448" i="19" s="1" a="1"/>
  <c r="P448" i="19" s="1"/>
  <c r="K660" i="19"/>
  <c r="P660" i="19" s="1" a="1"/>
  <c r="P660" i="19" s="1"/>
  <c r="K557" i="19"/>
  <c r="P557" i="19" s="1" a="1"/>
  <c r="P557" i="19" s="1"/>
  <c r="K124" i="19"/>
  <c r="P124" i="19" s="1" a="1"/>
  <c r="P124" i="19" s="1"/>
  <c r="K849" i="19"/>
  <c r="P849" i="19" s="1" a="1"/>
  <c r="P849" i="19" s="1"/>
  <c r="K563" i="19"/>
  <c r="P563" i="19" s="1" a="1"/>
  <c r="P563" i="19" s="1"/>
  <c r="K174" i="19"/>
  <c r="P174" i="19" s="1" a="1"/>
  <c r="P174" i="19" s="1"/>
  <c r="K768" i="19"/>
  <c r="P768" i="19" s="1" a="1"/>
  <c r="P768" i="19" s="1"/>
  <c r="K798" i="19"/>
  <c r="P798" i="19" s="1" a="1"/>
  <c r="P798" i="19" s="1"/>
  <c r="K858" i="19"/>
  <c r="P858" i="19" s="1" a="1"/>
  <c r="P858" i="19" s="1"/>
  <c r="K271" i="19"/>
  <c r="P271" i="19" s="1" a="1"/>
  <c r="P271" i="19" s="1"/>
  <c r="K98" i="19"/>
  <c r="P98" i="19" s="1" a="1"/>
  <c r="P98" i="19" s="1"/>
  <c r="K839" i="19"/>
  <c r="P839" i="19" s="1" a="1"/>
  <c r="P839" i="19" s="1"/>
  <c r="K256" i="19"/>
  <c r="P256" i="19" s="1" a="1"/>
  <c r="P256" i="19" s="1"/>
  <c r="K270" i="19"/>
  <c r="P270" i="19" s="1" a="1"/>
  <c r="P270" i="19" s="1"/>
  <c r="K885" i="19"/>
  <c r="P885" i="19" s="1" a="1"/>
  <c r="P885" i="19" s="1"/>
  <c r="K308" i="19"/>
  <c r="P308" i="19" s="1" a="1"/>
  <c r="P308" i="19" s="1"/>
  <c r="K430" i="19"/>
  <c r="P430" i="19" s="1" a="1"/>
  <c r="P430" i="19" s="1"/>
  <c r="K111" i="19"/>
  <c r="P111" i="19" s="1" a="1"/>
  <c r="P111" i="19" s="1"/>
  <c r="K302" i="19"/>
  <c r="P302" i="19" s="1" a="1"/>
  <c r="P302" i="19" s="1"/>
  <c r="K252" i="19"/>
  <c r="P252" i="19" s="1" a="1"/>
  <c r="P252" i="19" s="1"/>
  <c r="K582" i="19"/>
  <c r="P582" i="19" s="1" a="1"/>
  <c r="P582" i="19" s="1"/>
  <c r="K907" i="19"/>
  <c r="P907" i="19" s="1" a="1"/>
  <c r="P907" i="19" s="1"/>
  <c r="K425" i="19"/>
  <c r="P425" i="19" s="1" a="1"/>
  <c r="P425" i="19" s="1"/>
  <c r="K130" i="19"/>
  <c r="P130" i="19" s="1" a="1"/>
  <c r="P130" i="19" s="1"/>
  <c r="K981" i="19"/>
  <c r="P981" i="19" s="1" a="1"/>
  <c r="P981" i="19" s="1"/>
  <c r="K682" i="19"/>
  <c r="P682" i="19" s="1" a="1"/>
  <c r="P682" i="19" s="1"/>
  <c r="K770" i="19"/>
  <c r="P770" i="19" s="1" a="1"/>
  <c r="P770" i="19" s="1"/>
  <c r="K677" i="19"/>
  <c r="P677" i="19" s="1" a="1"/>
  <c r="P677" i="19" s="1"/>
  <c r="K70" i="19"/>
  <c r="P70" i="19" s="1" a="1"/>
  <c r="P70" i="19" s="1"/>
  <c r="K480" i="19"/>
  <c r="P480" i="19" s="1" a="1"/>
  <c r="P480" i="19" s="1"/>
  <c r="K435" i="19"/>
  <c r="P435" i="19" s="1" a="1"/>
  <c r="P435" i="19" s="1"/>
  <c r="K193" i="19"/>
  <c r="P193" i="19" s="1" a="1"/>
  <c r="P193" i="19" s="1"/>
  <c r="K194" i="19"/>
  <c r="P194" i="19" s="1" a="1"/>
  <c r="P194" i="19" s="1"/>
  <c r="K787" i="19"/>
  <c r="P787" i="19" s="1" a="1"/>
  <c r="P787" i="19" s="1"/>
  <c r="K428" i="19"/>
  <c r="P428" i="19" s="1" a="1"/>
  <c r="P428" i="19" s="1"/>
  <c r="K688" i="19"/>
  <c r="P688" i="19" s="1" a="1"/>
  <c r="P688" i="19" s="1"/>
  <c r="K182" i="19"/>
  <c r="P182" i="19" s="1" a="1"/>
  <c r="P182" i="19" s="1"/>
  <c r="K409" i="19"/>
  <c r="P409" i="19" s="1" a="1"/>
  <c r="P409" i="19" s="1"/>
  <c r="K176" i="19"/>
  <c r="P176" i="19" s="1" a="1"/>
  <c r="P176" i="19" s="1"/>
  <c r="K269" i="19"/>
  <c r="P269" i="19" s="1" a="1"/>
  <c r="P269" i="19" s="1"/>
  <c r="K343" i="19"/>
  <c r="P343" i="19" s="1" a="1"/>
  <c r="P343" i="19" s="1"/>
  <c r="K287" i="19"/>
  <c r="P287" i="19" s="1" a="1"/>
  <c r="P287" i="19" s="1"/>
  <c r="K664" i="19"/>
  <c r="P664" i="19" s="1" a="1"/>
  <c r="P664" i="19" s="1"/>
  <c r="K497" i="19"/>
  <c r="P497" i="19" s="1" a="1"/>
  <c r="P497" i="19" s="1"/>
  <c r="K539" i="19"/>
  <c r="P539" i="19" s="1" a="1"/>
  <c r="P539" i="19" s="1"/>
  <c r="K635" i="19"/>
  <c r="P635" i="19" s="1" a="1"/>
  <c r="P635" i="19" s="1"/>
  <c r="K92" i="19"/>
  <c r="P92" i="19" s="1" a="1"/>
  <c r="P92" i="19" s="1"/>
  <c r="K141" i="19"/>
  <c r="P141" i="19" s="1" a="1"/>
  <c r="P141" i="19" s="1"/>
  <c r="K802" i="19"/>
  <c r="P802" i="19" s="1" a="1"/>
  <c r="P802" i="19" s="1"/>
  <c r="K678" i="19"/>
  <c r="P678" i="19" s="1" a="1"/>
  <c r="P678" i="19" s="1"/>
  <c r="K275" i="19"/>
  <c r="P275" i="19" s="1" a="1"/>
  <c r="P275" i="19" s="1"/>
  <c r="K276" i="19"/>
  <c r="P276" i="19" s="1" a="1"/>
  <c r="P276" i="19" s="1"/>
  <c r="K263" i="19"/>
  <c r="P263" i="19" s="1" a="1"/>
  <c r="P263" i="19" s="1"/>
  <c r="K979" i="19"/>
  <c r="P979" i="19" s="1" a="1"/>
  <c r="P979" i="19" s="1"/>
  <c r="K394" i="19"/>
  <c r="P394" i="19" s="1" a="1"/>
  <c r="P394" i="19" s="1"/>
  <c r="K450" i="19"/>
  <c r="P450" i="19" s="1" a="1"/>
  <c r="P450" i="19" s="1"/>
  <c r="K952" i="19"/>
  <c r="P952" i="19" s="1" a="1"/>
  <c r="P952" i="19" s="1"/>
  <c r="K84" i="19"/>
  <c r="P84" i="19" s="1" a="1"/>
  <c r="P84" i="19" s="1"/>
  <c r="K347" i="19"/>
  <c r="P347" i="19" s="1" a="1"/>
  <c r="P347" i="19" s="1"/>
  <c r="K487" i="19"/>
  <c r="P487" i="19" s="1" a="1"/>
  <c r="P487" i="19" s="1"/>
  <c r="K313" i="19"/>
  <c r="P313" i="19" s="1" a="1"/>
  <c r="P313" i="19" s="1"/>
  <c r="K819" i="19"/>
  <c r="P819" i="19" s="1" a="1"/>
  <c r="P819" i="19" s="1"/>
  <c r="K407" i="19"/>
  <c r="P407" i="19" s="1" a="1"/>
  <c r="P407" i="19" s="1"/>
  <c r="K427" i="19"/>
  <c r="P427" i="19" s="1" a="1"/>
  <c r="P427" i="19" s="1"/>
  <c r="K527" i="19"/>
  <c r="P527" i="19" s="1" a="1"/>
  <c r="P527" i="19" s="1"/>
  <c r="K466" i="19"/>
  <c r="P466" i="19" s="1" a="1"/>
  <c r="P466" i="19" s="1"/>
  <c r="K516" i="19"/>
  <c r="P516" i="19" s="1" a="1"/>
  <c r="P516" i="19" s="1"/>
  <c r="K140" i="19"/>
  <c r="P140" i="19" s="1" a="1"/>
  <c r="P140" i="19" s="1"/>
  <c r="K139" i="19"/>
  <c r="P139" i="19" s="1" a="1"/>
  <c r="P139" i="19" s="1"/>
  <c r="K142" i="19"/>
  <c r="P142" i="19" s="1" a="1"/>
  <c r="P142" i="19" s="1"/>
  <c r="K143" i="19"/>
  <c r="P143" i="19" s="1" a="1"/>
  <c r="P143" i="19" s="1"/>
  <c r="K144" i="19"/>
  <c r="P144" i="19" s="1" a="1"/>
  <c r="P144" i="19" s="1"/>
  <c r="K145" i="19"/>
  <c r="P145" i="19" s="1" a="1"/>
  <c r="P145" i="19" s="1"/>
  <c r="K816" i="19"/>
  <c r="P816" i="19" s="1" a="1"/>
  <c r="P816" i="19" s="1"/>
  <c r="K177" i="19"/>
  <c r="P177" i="19" s="1" a="1"/>
  <c r="P177" i="19" s="1"/>
  <c r="K365" i="19"/>
  <c r="P365" i="19" s="1" a="1"/>
  <c r="P365" i="19" s="1"/>
  <c r="K698" i="19"/>
  <c r="P698" i="19" s="1" a="1"/>
  <c r="P698" i="19" s="1"/>
  <c r="K992" i="19"/>
  <c r="P992" i="19" s="1" a="1"/>
  <c r="P992" i="19" s="1"/>
  <c r="K212" i="19"/>
  <c r="P212" i="19" s="1" a="1"/>
  <c r="P212" i="19" s="1"/>
  <c r="K525" i="19"/>
  <c r="P525" i="19" s="1" a="1"/>
  <c r="P525" i="19" s="1"/>
  <c r="K101" i="19"/>
  <c r="P101" i="19" s="1" a="1"/>
  <c r="P101" i="19" s="1"/>
  <c r="K999" i="19"/>
  <c r="P999" i="19" s="1" a="1"/>
  <c r="P999" i="19" s="1"/>
  <c r="K974" i="19"/>
  <c r="P974" i="19" s="1" a="1"/>
  <c r="P974" i="19" s="1"/>
  <c r="K190" i="19"/>
  <c r="P190" i="19" s="1" a="1"/>
  <c r="P190" i="19" s="1"/>
  <c r="K859" i="19"/>
  <c r="P859" i="19" s="1" a="1"/>
  <c r="P859" i="19" s="1"/>
  <c r="K745" i="19"/>
  <c r="P745" i="19" s="1" a="1"/>
  <c r="P745" i="19" s="1"/>
  <c r="K283" i="19"/>
  <c r="P283" i="19" s="1" a="1"/>
  <c r="P283" i="19" s="1"/>
  <c r="K186" i="19"/>
  <c r="P186" i="19" s="1" a="1"/>
  <c r="P186" i="19" s="1"/>
  <c r="K841" i="19"/>
  <c r="P841" i="19" s="1" a="1"/>
  <c r="P841" i="19" s="1"/>
  <c r="K210" i="19"/>
  <c r="P210" i="19" s="1" a="1"/>
  <c r="P210" i="19" s="1"/>
  <c r="K536" i="19"/>
  <c r="P536" i="19" s="1" a="1"/>
  <c r="P536" i="19" s="1"/>
  <c r="K625" i="19"/>
  <c r="P625" i="19" s="1" a="1"/>
  <c r="P625" i="19" s="1"/>
  <c r="K187" i="19"/>
  <c r="P187" i="19" s="1" a="1"/>
  <c r="P187" i="19" s="1"/>
  <c r="K500" i="19"/>
  <c r="P500" i="19" s="1" a="1"/>
  <c r="P500" i="19" s="1"/>
  <c r="K265" i="19"/>
  <c r="P265" i="19" s="1" a="1"/>
  <c r="P265" i="19" s="1"/>
  <c r="K192" i="19"/>
  <c r="P192" i="19" s="1" a="1"/>
  <c r="P192" i="19" s="1"/>
  <c r="K560" i="19"/>
  <c r="P560" i="19" s="1" a="1"/>
  <c r="P560" i="19" s="1"/>
  <c r="K346" i="19"/>
  <c r="P346" i="19" s="1" a="1"/>
  <c r="P346" i="19" s="1"/>
  <c r="K794" i="19"/>
  <c r="P794" i="19" s="1" a="1"/>
  <c r="P794" i="19" s="1"/>
  <c r="K571" i="19"/>
  <c r="P571" i="19" s="1" a="1"/>
  <c r="P571" i="19" s="1"/>
  <c r="K206" i="19"/>
  <c r="P206" i="19" s="1" a="1"/>
  <c r="P206" i="19" s="1"/>
  <c r="K611" i="19"/>
  <c r="P611" i="19" s="1" a="1"/>
  <c r="P611" i="19" s="1"/>
  <c r="K8" i="19"/>
  <c r="P8" i="19" s="1" a="1"/>
  <c r="P8" i="19" s="1"/>
  <c r="K453" i="19"/>
  <c r="P453" i="19" s="1" a="1"/>
  <c r="P453" i="19" s="1"/>
  <c r="K643" i="19"/>
  <c r="P643" i="19" s="1" a="1"/>
  <c r="P643" i="19" s="1"/>
  <c r="K644" i="19"/>
  <c r="P644" i="19" s="1" a="1"/>
  <c r="P644" i="19" s="1"/>
  <c r="K273" i="19"/>
  <c r="P273" i="19" s="1" a="1"/>
  <c r="P273" i="19" s="1"/>
  <c r="K641" i="19"/>
  <c r="P641" i="19" s="1" a="1"/>
  <c r="P641" i="19" s="1"/>
  <c r="K170" i="19"/>
  <c r="P170" i="19" s="1" a="1"/>
  <c r="P170" i="19" s="1"/>
  <c r="K507" i="19"/>
  <c r="P507" i="19" s="1" a="1"/>
  <c r="P507" i="19" s="1"/>
  <c r="K645" i="19"/>
  <c r="P645" i="19" s="1" a="1"/>
  <c r="P645" i="19" s="1"/>
  <c r="K646" i="19"/>
  <c r="P646" i="19" s="1" a="1"/>
  <c r="P646" i="19" s="1"/>
  <c r="K737" i="19"/>
  <c r="P737" i="19" s="1" a="1"/>
  <c r="P737" i="19" s="1"/>
  <c r="K954" i="19"/>
  <c r="P954" i="19" s="1" a="1"/>
  <c r="P954" i="19" s="1"/>
  <c r="J41" i="19"/>
  <c r="J488" i="19"/>
  <c r="J197" i="19"/>
  <c r="J198" i="19"/>
  <c r="J115" i="19"/>
  <c r="J863" i="19"/>
  <c r="J673" i="19"/>
  <c r="J426" i="19"/>
  <c r="J824" i="19"/>
  <c r="J361" i="19"/>
  <c r="J309" i="19"/>
  <c r="J828" i="19"/>
  <c r="J911" i="19"/>
  <c r="J767" i="19"/>
  <c r="J607" i="19"/>
  <c r="J685" i="19"/>
  <c r="J815" i="19"/>
  <c r="J762" i="19"/>
  <c r="J85" i="19"/>
  <c r="J86" i="19"/>
  <c r="J89" i="19"/>
  <c r="J59" i="19"/>
  <c r="J471" i="19"/>
  <c r="J200" i="19"/>
  <c r="J243" i="19"/>
  <c r="J851" i="19"/>
  <c r="J959" i="19"/>
  <c r="J925" i="19"/>
  <c r="J700" i="19"/>
  <c r="J15" i="19"/>
  <c r="J16" i="19"/>
  <c r="J17" i="19"/>
  <c r="J388" i="19"/>
  <c r="J942" i="19"/>
  <c r="J345" i="19"/>
  <c r="J1001" i="19"/>
  <c r="J881" i="19"/>
  <c r="J304" i="19"/>
  <c r="J461" i="19"/>
  <c r="J514" i="19"/>
  <c r="J610" i="19"/>
  <c r="J4" i="19"/>
  <c r="J665" i="19"/>
  <c r="J751" i="19"/>
  <c r="J776" i="19"/>
  <c r="J296" i="19"/>
  <c r="J74" i="19"/>
  <c r="J800" i="19"/>
  <c r="J481" i="19"/>
  <c r="J469" i="19"/>
  <c r="J545" i="19"/>
  <c r="J436" i="19"/>
  <c r="J437" i="19"/>
  <c r="J73" i="19"/>
  <c r="J842" i="19"/>
  <c r="J922" i="19"/>
  <c r="J832" i="19"/>
  <c r="J975" i="19"/>
  <c r="J894" i="19"/>
  <c r="J236" i="19"/>
  <c r="J763" i="19"/>
  <c r="J744" i="19"/>
  <c r="J61" i="19"/>
  <c r="J353" i="19"/>
  <c r="J56" i="19"/>
  <c r="J107" i="19"/>
  <c r="J712" i="19"/>
  <c r="J441" i="19"/>
  <c r="J392" i="19"/>
  <c r="J857" i="19"/>
  <c r="J872" i="19"/>
  <c r="J88" i="19"/>
  <c r="J33" i="19"/>
  <c r="J508" i="19"/>
  <c r="J562" i="19"/>
  <c r="J668" i="19"/>
  <c r="J221" i="19"/>
  <c r="J613" i="19"/>
  <c r="J213" i="19"/>
  <c r="J48" i="19"/>
  <c r="J868" i="19"/>
  <c r="J151" i="19"/>
  <c r="J431" i="19"/>
  <c r="J993" i="19"/>
  <c r="J503" i="19"/>
  <c r="J504" i="19"/>
  <c r="J105" i="19"/>
  <c r="J320" i="19"/>
  <c r="J932" i="19"/>
  <c r="J615" i="19"/>
  <c r="J11" i="19"/>
  <c r="J432" i="19"/>
  <c r="J324" i="19"/>
  <c r="J834" i="19"/>
  <c r="J746" i="19"/>
  <c r="J953" i="19"/>
  <c r="J465" i="19"/>
  <c r="J838" i="19"/>
  <c r="J81" i="19"/>
  <c r="J833" i="19"/>
  <c r="J731" i="19"/>
  <c r="J310" i="19"/>
  <c r="J136" i="19"/>
  <c r="J329" i="19"/>
  <c r="J785" i="19"/>
  <c r="J600" i="19"/>
  <c r="J772" i="19"/>
  <c r="J478" i="19"/>
  <c r="J918" i="19"/>
  <c r="J648" i="19"/>
  <c r="J120" i="19"/>
  <c r="J861" i="19"/>
  <c r="J676" i="19"/>
  <c r="J163" i="19"/>
  <c r="J467" i="19"/>
  <c r="J393" i="19"/>
  <c r="J150" i="19"/>
  <c r="J701" i="19"/>
  <c r="J227" i="19"/>
  <c r="J228" i="19"/>
  <c r="J229" i="19"/>
  <c r="J632" i="19"/>
  <c r="J285" i="19"/>
  <c r="J893" i="19"/>
  <c r="J899" i="19"/>
  <c r="J456" i="19"/>
  <c r="J793" i="19"/>
  <c r="J928" i="19"/>
  <c r="J342" i="19"/>
  <c r="J121" i="19"/>
  <c r="J132" i="19"/>
  <c r="J759" i="19"/>
  <c r="J761" i="19"/>
  <c r="J344" i="19"/>
  <c r="J125" i="19"/>
  <c r="J614" i="19"/>
  <c r="J322" i="19"/>
  <c r="J5" i="19"/>
  <c r="J821" i="19"/>
  <c r="J946" i="19"/>
  <c r="J135" i="19"/>
  <c r="J534" i="19"/>
  <c r="J260" i="19"/>
  <c r="J982" i="19"/>
  <c r="J760" i="19"/>
  <c r="J594" i="19"/>
  <c r="J595" i="19"/>
  <c r="J398" i="19"/>
  <c r="J396" i="19"/>
  <c r="J484" i="19"/>
  <c r="J788" i="19"/>
  <c r="J119" i="19"/>
  <c r="J455" i="19"/>
  <c r="J523" i="19"/>
  <c r="J421" i="19"/>
  <c r="J362" i="19"/>
  <c r="J771" i="19"/>
  <c r="J848" i="19"/>
  <c r="J28" i="19"/>
  <c r="J542" i="19"/>
  <c r="J596" i="19"/>
  <c r="J307" i="19"/>
  <c r="J397" i="19"/>
  <c r="J204" i="19"/>
  <c r="J681" i="19"/>
  <c r="J869" i="19"/>
  <c r="J903" i="19"/>
  <c r="J895" i="19"/>
  <c r="J357" i="19"/>
  <c r="J856" i="19"/>
  <c r="J686" i="19"/>
  <c r="J96" i="19"/>
  <c r="J752" i="19"/>
  <c r="J326" i="19"/>
  <c r="J339" i="19"/>
  <c r="J750" i="19"/>
  <c r="J330" i="19"/>
  <c r="J547" i="19"/>
  <c r="J926" i="19"/>
  <c r="J6" i="19"/>
  <c r="J7" i="19"/>
  <c r="J64" i="19"/>
  <c r="J933" i="19"/>
  <c r="J476" i="19"/>
  <c r="J57" i="19"/>
  <c r="J694" i="19"/>
  <c r="J583" i="19"/>
  <c r="J80" i="19"/>
  <c r="J152" i="19"/>
  <c r="J627" i="19"/>
  <c r="J35" i="19"/>
  <c r="J779" i="19"/>
  <c r="J561" i="19"/>
  <c r="J331" i="19"/>
  <c r="J655" i="19"/>
  <c r="J718" i="19"/>
  <c r="J719" i="19"/>
  <c r="J720" i="19"/>
  <c r="J721" i="19"/>
  <c r="J722" i="19"/>
  <c r="J18" i="19"/>
  <c r="J902" i="19"/>
  <c r="J947" i="19"/>
  <c r="J847" i="19"/>
  <c r="J552" i="19"/>
  <c r="J725" i="19"/>
  <c r="J755" i="19"/>
  <c r="J225" i="19"/>
  <c r="J377" i="19"/>
  <c r="J66" i="19"/>
  <c r="J684" i="19"/>
  <c r="J246" i="19"/>
  <c r="J328" i="19"/>
  <c r="J702" i="19"/>
  <c r="J464" i="19"/>
  <c r="J31" i="19"/>
  <c r="J408" i="19"/>
  <c r="J810" i="19"/>
  <c r="J184" i="19"/>
  <c r="J185" i="19"/>
  <c r="J591" i="19"/>
  <c r="J965" i="19"/>
  <c r="J129" i="19"/>
  <c r="J555" i="19"/>
  <c r="J323" i="19"/>
  <c r="J51" i="19"/>
  <c r="J740" i="19"/>
  <c r="J106" i="19"/>
  <c r="J574" i="19"/>
  <c r="J782" i="19"/>
  <c r="J884" i="19"/>
  <c r="J224" i="19"/>
  <c r="J116" i="19"/>
  <c r="J930" i="19"/>
  <c r="J843" i="19"/>
  <c r="J160" i="19"/>
  <c r="J241" i="19"/>
  <c r="J380" i="19"/>
  <c r="J277" i="19"/>
  <c r="J216" i="19"/>
  <c r="J196" i="19"/>
  <c r="J873" i="19"/>
  <c r="J904" i="19"/>
  <c r="J316" i="19"/>
  <c r="J599" i="19"/>
  <c r="J395" i="19"/>
  <c r="J264" i="19"/>
  <c r="J620" i="19"/>
  <c r="J995" i="19"/>
  <c r="J674" i="19"/>
  <c r="J223" i="19"/>
  <c r="J278" i="19"/>
  <c r="J586" i="19"/>
  <c r="J829" i="19"/>
  <c r="J214" i="19"/>
  <c r="J996" i="19"/>
  <c r="J267" i="19"/>
  <c r="J215" i="19"/>
  <c r="J474" i="19"/>
  <c r="J905" i="19"/>
  <c r="J693" i="19"/>
  <c r="J501" i="19"/>
  <c r="J640" i="19"/>
  <c r="J71" i="19"/>
  <c r="J957" i="19"/>
  <c r="J704" i="19"/>
  <c r="J878" i="19"/>
  <c r="J65" i="19"/>
  <c r="J692" i="19"/>
  <c r="J93" i="19"/>
  <c r="J499" i="19"/>
  <c r="J994" i="19"/>
  <c r="J967" i="19"/>
  <c r="J297" i="19"/>
  <c r="J908" i="19"/>
  <c r="J300" i="19"/>
  <c r="J424" i="19"/>
  <c r="J332" i="19"/>
  <c r="J766" i="19"/>
  <c r="J199" i="19"/>
  <c r="J544" i="19"/>
  <c r="J366" i="19"/>
  <c r="J50" i="19"/>
  <c r="J708" i="19"/>
  <c r="J622" i="19"/>
  <c r="J153" i="19"/>
  <c r="J554" i="19"/>
  <c r="J663" i="19"/>
  <c r="J657" i="19"/>
  <c r="J289" i="19"/>
  <c r="J956" i="19"/>
  <c r="J479" i="19"/>
  <c r="J168" i="19"/>
  <c r="J679" i="19"/>
  <c r="J245" i="19"/>
  <c r="J303" i="19"/>
  <c r="J312" i="19"/>
  <c r="J550" i="19"/>
  <c r="J578" i="19"/>
  <c r="J76" i="19"/>
  <c r="J934" i="19"/>
  <c r="J774" i="19"/>
  <c r="J255" i="19"/>
  <c r="J208" i="19"/>
  <c r="J110" i="19"/>
  <c r="J494" i="19"/>
  <c r="J336" i="19"/>
  <c r="J239" i="19"/>
  <c r="J341" i="19"/>
  <c r="J764" i="19"/>
  <c r="J207" i="19"/>
  <c r="J717" i="19"/>
  <c r="J21" i="19"/>
  <c r="J891" i="19"/>
  <c r="J669" i="19"/>
  <c r="J711" i="19"/>
  <c r="J855" i="19"/>
  <c r="J921" i="19"/>
  <c r="J382" i="19"/>
  <c r="J383" i="19"/>
  <c r="J385" i="19"/>
  <c r="J888" i="19"/>
  <c r="J295" i="19"/>
  <c r="J282" i="19"/>
  <c r="J935" i="19"/>
  <c r="J369" i="19"/>
  <c r="J97" i="19"/>
  <c r="J459" i="19"/>
  <c r="J605" i="19"/>
  <c r="J854" i="19"/>
  <c r="J231" i="19"/>
  <c r="J786" i="19"/>
  <c r="J960" i="19"/>
  <c r="J321" i="19"/>
  <c r="J211" i="19"/>
  <c r="J912" i="19"/>
  <c r="J367" i="19"/>
  <c r="J987" i="19"/>
  <c r="J333" i="19"/>
  <c r="J971" i="19"/>
  <c r="J616" i="19"/>
  <c r="J617" i="19"/>
  <c r="J741" i="19"/>
  <c r="J169" i="19"/>
  <c r="J47" i="19"/>
  <c r="J804" i="19"/>
  <c r="J598" i="19"/>
  <c r="J867" i="19"/>
  <c r="J262" i="19"/>
  <c r="J531" i="19"/>
  <c r="J338" i="19"/>
  <c r="J370" i="19"/>
  <c r="J634" i="19"/>
  <c r="J524" i="19"/>
  <c r="J647" i="19"/>
  <c r="J978" i="19"/>
  <c r="J334" i="19"/>
  <c r="J931" i="19"/>
  <c r="J991" i="19"/>
  <c r="J732" i="19"/>
  <c r="J733" i="19"/>
  <c r="J356" i="19"/>
  <c r="J538" i="19"/>
  <c r="J765" i="19"/>
  <c r="J167" i="19"/>
  <c r="J846" i="19"/>
  <c r="J880" i="19"/>
  <c r="J585" i="19"/>
  <c r="J2" i="19"/>
  <c r="J232" i="19"/>
  <c r="J238" i="19"/>
  <c r="J914" i="19"/>
  <c r="J233" i="19"/>
  <c r="J411" i="19"/>
  <c r="J969" i="19"/>
  <c r="J532" i="19"/>
  <c r="J948" i="19"/>
  <c r="J495" i="19"/>
  <c r="J79" i="19"/>
  <c r="J368" i="19"/>
  <c r="J783" i="19"/>
  <c r="J319" i="19"/>
  <c r="J659" i="19"/>
  <c r="J730" i="19"/>
  <c r="J958" i="19"/>
  <c r="J592" i="19"/>
  <c r="J871" i="19"/>
  <c r="J633" i="19"/>
  <c r="J54" i="19"/>
  <c r="J889" i="19"/>
  <c r="J482" i="19"/>
  <c r="J67" i="19"/>
  <c r="J68" i="19"/>
  <c r="J796" i="19"/>
  <c r="J419" i="19"/>
  <c r="J988" i="19"/>
  <c r="J364" i="19"/>
  <c r="J413" i="19"/>
  <c r="J468" i="19"/>
  <c r="J723" i="19"/>
  <c r="J837" i="19"/>
  <c r="J386" i="19"/>
  <c r="J108" i="19"/>
  <c r="J906" i="19"/>
  <c r="J593" i="19"/>
  <c r="J83" i="19"/>
  <c r="J612" i="19"/>
  <c r="J354" i="19"/>
  <c r="J433" i="19"/>
  <c r="J401" i="19"/>
  <c r="J438" i="19"/>
  <c r="J379" i="19"/>
  <c r="J968" i="19"/>
  <c r="J565" i="19"/>
  <c r="J418" i="19"/>
  <c r="J808" i="19"/>
  <c r="J769" i="19"/>
  <c r="J149" i="19"/>
  <c r="J60" i="19"/>
  <c r="J915" i="19"/>
  <c r="J916" i="19"/>
  <c r="J727" i="19"/>
  <c r="J10" i="19"/>
  <c r="J990" i="19"/>
  <c r="J43" i="19"/>
  <c r="J639" i="19"/>
  <c r="J576" i="19"/>
  <c r="J683" i="19"/>
  <c r="J913" i="19"/>
  <c r="J672" i="19"/>
  <c r="J984" i="19"/>
  <c r="J823" i="19"/>
  <c r="J588" i="19"/>
  <c r="J728" i="19"/>
  <c r="J179" i="19"/>
  <c r="J758" i="19"/>
  <c r="J976" i="19"/>
  <c r="J697" i="19"/>
  <c r="J191" i="19"/>
  <c r="J378" i="19"/>
  <c r="J606" i="19"/>
  <c r="J569" i="19"/>
  <c r="J923" i="19"/>
  <c r="J799" i="19"/>
  <c r="J566" i="19"/>
  <c r="J962" i="19"/>
  <c r="J78" i="19"/>
  <c r="J784" i="19"/>
  <c r="J69" i="19"/>
  <c r="J882" i="19"/>
  <c r="J691" i="19"/>
  <c r="J696" i="19"/>
  <c r="J707" i="19"/>
  <c r="J811" i="19"/>
  <c r="J892" i="19"/>
  <c r="J20" i="19"/>
  <c r="J162" i="19"/>
  <c r="J825" i="19"/>
  <c r="J45" i="19"/>
  <c r="J72" i="19"/>
  <c r="J797" i="19"/>
  <c r="J133" i="19"/>
  <c r="J12" i="19"/>
  <c r="J62" i="19"/>
  <c r="J281" i="19"/>
  <c r="J247" i="19"/>
  <c r="J817" i="19"/>
  <c r="J535" i="19"/>
  <c r="J22" i="19"/>
  <c r="J27" i="19"/>
  <c r="J579" i="19"/>
  <c r="J831" i="19"/>
  <c r="J449" i="19"/>
  <c r="J415" i="19"/>
  <c r="J257" i="19"/>
  <c r="J389" i="19"/>
  <c r="J348" i="19"/>
  <c r="J23" i="19"/>
  <c r="J24" i="19"/>
  <c r="J25" i="19"/>
  <c r="J710" i="19"/>
  <c r="J896" i="19"/>
  <c r="J756" i="19"/>
  <c r="J549" i="19"/>
  <c r="J699" i="19"/>
  <c r="J375" i="19"/>
  <c r="J567" i="19"/>
  <c r="J103" i="19"/>
  <c r="J850" i="19"/>
  <c r="J127" i="19"/>
  <c r="J551" i="19"/>
  <c r="J943" i="19"/>
  <c r="J887" i="19"/>
  <c r="J355" i="19"/>
  <c r="J244" i="19"/>
  <c r="J434" i="19"/>
  <c r="J181" i="19"/>
  <c r="J650" i="19"/>
  <c r="J637" i="19"/>
  <c r="J30" i="19"/>
  <c r="J402" i="19"/>
  <c r="J403" i="19"/>
  <c r="J404" i="19"/>
  <c r="J405" i="19"/>
  <c r="J963" i="19"/>
  <c r="J279" i="19"/>
  <c r="J775" i="19"/>
  <c r="J444" i="19"/>
  <c r="J652" i="19"/>
  <c r="J159" i="19"/>
  <c r="J165" i="19"/>
  <c r="J175" i="19"/>
  <c r="J714" i="19"/>
  <c r="J781" i="19"/>
  <c r="J927" i="19"/>
  <c r="J202" i="19"/>
  <c r="J180" i="19"/>
  <c r="J543" i="19"/>
  <c r="J651" i="19"/>
  <c r="J628" i="19"/>
  <c r="J629" i="19"/>
  <c r="J949" i="19"/>
  <c r="J113" i="19"/>
  <c r="J337" i="19"/>
  <c r="J315" i="19"/>
  <c r="J970" i="19"/>
  <c r="J475" i="19"/>
  <c r="J587" i="19"/>
  <c r="J897" i="19"/>
  <c r="J298" i="19"/>
  <c r="J795" i="19"/>
  <c r="J709" i="19"/>
  <c r="J801" i="19"/>
  <c r="J572" i="19"/>
  <c r="J929" i="19"/>
  <c r="J653" i="19"/>
  <c r="J457" i="19"/>
  <c r="J49" i="19"/>
  <c r="J123" i="19"/>
  <c r="J559" i="19"/>
  <c r="J608" i="19"/>
  <c r="J998" i="19"/>
  <c r="J463" i="19"/>
  <c r="J445" i="19"/>
  <c r="J835" i="19"/>
  <c r="J288" i="19"/>
  <c r="J972" i="19"/>
  <c r="J117" i="19"/>
  <c r="J973" i="19"/>
  <c r="J729" i="19"/>
  <c r="J636" i="19"/>
  <c r="J416" i="19"/>
  <c r="J950" i="19"/>
  <c r="J626" i="19"/>
  <c r="J875" i="19"/>
  <c r="J203" i="19"/>
  <c r="J649" i="19"/>
  <c r="J553" i="19"/>
  <c r="J803" i="19"/>
  <c r="J440" i="19"/>
  <c r="J716" i="19"/>
  <c r="J138" i="19"/>
  <c r="J291" i="19"/>
  <c r="J3" i="19"/>
  <c r="J485" i="19"/>
  <c r="J82" i="19"/>
  <c r="J325" i="19"/>
  <c r="J205" i="19"/>
  <c r="J292" i="19"/>
  <c r="J293" i="19"/>
  <c r="J318" i="19"/>
  <c r="J451" i="19"/>
  <c r="J234" i="19"/>
  <c r="J631" i="19"/>
  <c r="J807" i="19"/>
  <c r="J780" i="19"/>
  <c r="J290" i="19"/>
  <c r="J939" i="19"/>
  <c r="J940" i="19"/>
  <c r="J809" i="19"/>
  <c r="J164" i="19"/>
  <c r="J836" i="19"/>
  <c r="J874" i="19"/>
  <c r="J818" i="19"/>
  <c r="J217" i="19"/>
  <c r="J1000" i="19"/>
  <c r="J91" i="19"/>
  <c r="J945" i="19"/>
  <c r="J250" i="19"/>
  <c r="J515" i="19"/>
  <c r="J509" i="19"/>
  <c r="J575" i="19"/>
  <c r="J220" i="19"/>
  <c r="J384" i="19"/>
  <c r="J251" i="19"/>
  <c r="J558" i="19"/>
  <c r="J126" i="19"/>
  <c r="J573" i="19"/>
  <c r="J34" i="19"/>
  <c r="J777" i="19"/>
  <c r="J87" i="19"/>
  <c r="J327" i="19"/>
  <c r="J294" i="19"/>
  <c r="J529" i="19"/>
  <c r="J966" i="19"/>
  <c r="J218" i="19"/>
  <c r="J581" i="19"/>
  <c r="J122" i="19"/>
  <c r="J52" i="19"/>
  <c r="J55" i="19"/>
  <c r="J910" i="19"/>
  <c r="J118" i="19"/>
  <c r="J423" i="19"/>
  <c r="J219" i="19"/>
  <c r="J862" i="19"/>
  <c r="J604" i="19"/>
  <c r="J789" i="19"/>
  <c r="J470" i="19"/>
  <c r="J983" i="19"/>
  <c r="J603" i="19"/>
  <c r="J230" i="19"/>
  <c r="J112" i="19"/>
  <c r="J724" i="19"/>
  <c r="J280" i="19"/>
  <c r="J429" i="19"/>
  <c r="J964" i="19"/>
  <c r="J154" i="19"/>
  <c r="J349" i="19"/>
  <c r="J350" i="19"/>
  <c r="J351" i="19"/>
  <c r="J352" i="19"/>
  <c r="J654" i="19"/>
  <c r="J390" i="19"/>
  <c r="J602" i="19"/>
  <c r="J311" i="19"/>
  <c r="J166" i="19"/>
  <c r="J109" i="19"/>
  <c r="J726" i="19"/>
  <c r="J510" i="19"/>
  <c r="J937" i="19"/>
  <c r="J989" i="19"/>
  <c r="J630" i="19"/>
  <c r="J240" i="19"/>
  <c r="J656" i="19"/>
  <c r="J266" i="19"/>
  <c r="J306" i="19"/>
  <c r="J75" i="19"/>
  <c r="J938" i="19"/>
  <c r="J188" i="19"/>
  <c r="J173" i="19"/>
  <c r="J399" i="19"/>
  <c r="J814" i="19"/>
  <c r="J39" i="19"/>
  <c r="J662" i="19"/>
  <c r="J666" i="19"/>
  <c r="J901" i="19"/>
  <c r="J985" i="19"/>
  <c r="J492" i="19"/>
  <c r="J286" i="19"/>
  <c r="J944" i="19"/>
  <c r="J63" i="19"/>
  <c r="J870" i="19"/>
  <c r="J237" i="19"/>
  <c r="J472" i="19"/>
  <c r="J473" i="19"/>
  <c r="J513" i="19"/>
  <c r="J739" i="19"/>
  <c r="J491" i="19"/>
  <c r="J359" i="19"/>
  <c r="J172" i="19"/>
  <c r="J387" i="19"/>
  <c r="J584" i="19"/>
  <c r="J443" i="19"/>
  <c r="J452" i="19"/>
  <c r="J917" i="19"/>
  <c r="J381" i="19"/>
  <c r="J183" i="19"/>
  <c r="J680" i="19"/>
  <c r="J19" i="19"/>
  <c r="J58" i="19"/>
  <c r="J734" i="19"/>
  <c r="J580" i="19"/>
  <c r="J924" i="19"/>
  <c r="J102" i="19"/>
  <c r="J511" i="19"/>
  <c r="J268" i="19"/>
  <c r="J980" i="19"/>
  <c r="J556" i="19"/>
  <c r="J284" i="19"/>
  <c r="J374" i="19"/>
  <c r="J520" i="19"/>
  <c r="J46" i="19"/>
  <c r="J317" i="19"/>
  <c r="J830" i="19"/>
  <c r="J258" i="19"/>
  <c r="J526" i="19"/>
  <c r="J705" i="19"/>
  <c r="J521" i="19"/>
  <c r="J757" i="19"/>
  <c r="J94" i="19"/>
  <c r="J715" i="19"/>
  <c r="J961" i="19"/>
  <c r="J299" i="19"/>
  <c r="J530" i="19"/>
  <c r="J864" i="19"/>
  <c r="J95" i="19"/>
  <c r="J736" i="19"/>
  <c r="J866" i="19"/>
  <c r="J619" i="19"/>
  <c r="J898" i="19"/>
  <c r="J852" i="19"/>
  <c r="J876" i="19"/>
  <c r="J840" i="19"/>
  <c r="J42" i="19"/>
  <c r="J400" i="19"/>
  <c r="J518" i="19"/>
  <c r="J977" i="19"/>
  <c r="J253" i="19"/>
  <c r="J414" i="19"/>
  <c r="J812" i="19"/>
  <c r="J738" i="19"/>
  <c r="J454" i="19"/>
  <c r="J391" i="19"/>
  <c r="J735" i="19"/>
  <c r="J242" i="19"/>
  <c r="J272" i="19"/>
  <c r="J820" i="19"/>
  <c r="J822" i="19"/>
  <c r="J853" i="19"/>
  <c r="J53" i="19"/>
  <c r="J597" i="19"/>
  <c r="J486" i="19"/>
  <c r="J406" i="19"/>
  <c r="J32" i="19"/>
  <c r="J90" i="19"/>
  <c r="J498" i="19"/>
  <c r="J161" i="19"/>
  <c r="J713" i="19"/>
  <c r="J519" i="19"/>
  <c r="J540" i="19"/>
  <c r="J624" i="19"/>
  <c r="J806" i="19"/>
  <c r="J919" i="19"/>
  <c r="J844" i="19"/>
  <c r="J528" i="19"/>
  <c r="J460" i="19"/>
  <c r="J909" i="19"/>
  <c r="J358" i="19"/>
  <c r="J671" i="19"/>
  <c r="J442" i="19"/>
  <c r="J955" i="19"/>
  <c r="J137" i="19"/>
  <c r="J883" i="19"/>
  <c r="J517" i="19"/>
  <c r="J372" i="19"/>
  <c r="J360" i="19"/>
  <c r="J305" i="19"/>
  <c r="J609" i="19"/>
  <c r="J249" i="19"/>
  <c r="J77" i="19"/>
  <c r="J201" i="19"/>
  <c r="J860" i="19"/>
  <c r="J845" i="19"/>
  <c r="J131" i="19"/>
  <c r="J791" i="19"/>
  <c r="J792" i="19"/>
  <c r="J373" i="19"/>
  <c r="J371" i="19"/>
  <c r="J248" i="19"/>
  <c r="J658" i="19"/>
  <c r="J900" i="19"/>
  <c r="J670" i="19"/>
  <c r="J44" i="19"/>
  <c r="J301" i="19"/>
  <c r="J813" i="19"/>
  <c r="J533" i="19"/>
  <c r="J490" i="19"/>
  <c r="J157" i="19"/>
  <c r="J941" i="19"/>
  <c r="J951" i="19"/>
  <c r="J577" i="19"/>
  <c r="J14" i="19"/>
  <c r="J195" i="19"/>
  <c r="J412" i="19"/>
  <c r="J439" i="19"/>
  <c r="J158" i="19"/>
  <c r="J114" i="19"/>
  <c r="J537" i="19"/>
  <c r="J742" i="19"/>
  <c r="J877" i="19"/>
  <c r="J546" i="19"/>
  <c r="J512" i="19"/>
  <c r="J618" i="19"/>
  <c r="J420" i="19"/>
  <c r="J986" i="19"/>
  <c r="J675" i="19"/>
  <c r="J502" i="19"/>
  <c r="J422" i="19"/>
  <c r="J410" i="19"/>
  <c r="J638" i="19"/>
  <c r="J134" i="19"/>
  <c r="J156" i="19"/>
  <c r="J254" i="19"/>
  <c r="J489" i="19"/>
  <c r="J189" i="19"/>
  <c r="J548" i="19"/>
  <c r="J570" i="19"/>
  <c r="J37" i="19"/>
  <c r="J178" i="19"/>
  <c r="J26" i="19"/>
  <c r="J146" i="19"/>
  <c r="J147" i="19"/>
  <c r="J222" i="19"/>
  <c r="J879" i="19"/>
  <c r="J589" i="19"/>
  <c r="J661" i="19"/>
  <c r="J99" i="19"/>
  <c r="J36" i="19"/>
  <c r="J155" i="19"/>
  <c r="J340" i="19"/>
  <c r="J335" i="19"/>
  <c r="J621" i="19"/>
  <c r="J920" i="19"/>
  <c r="J235" i="19"/>
  <c r="J747" i="19"/>
  <c r="J541" i="19"/>
  <c r="J462" i="19"/>
  <c r="J13" i="19"/>
  <c r="J458" i="19"/>
  <c r="J446" i="19"/>
  <c r="J447" i="19"/>
  <c r="J477" i="19"/>
  <c r="J590" i="19"/>
  <c r="J706" i="19"/>
  <c r="J568" i="19"/>
  <c r="J376" i="19"/>
  <c r="J38" i="19"/>
  <c r="J826" i="19"/>
  <c r="J687" i="19"/>
  <c r="J493" i="19"/>
  <c r="J936" i="19"/>
  <c r="J748" i="19"/>
  <c r="J259" i="19"/>
  <c r="J9" i="19"/>
  <c r="J703" i="19"/>
  <c r="J314" i="19"/>
  <c r="J695" i="19"/>
  <c r="J890" i="19"/>
  <c r="J505" i="19"/>
  <c r="J506" i="19"/>
  <c r="J773" i="19"/>
  <c r="J100" i="19"/>
  <c r="J623" i="19"/>
  <c r="J886" i="19"/>
  <c r="J274" i="19"/>
  <c r="J749" i="19"/>
  <c r="J522" i="19"/>
  <c r="J865" i="19"/>
  <c r="J805" i="19"/>
  <c r="J171" i="19"/>
  <c r="J743" i="19"/>
  <c r="J417" i="19"/>
  <c r="J667" i="19"/>
  <c r="J827" i="19"/>
  <c r="J689" i="19"/>
  <c r="J790" i="19"/>
  <c r="J104" i="19"/>
  <c r="J642" i="19"/>
  <c r="J29" i="19"/>
  <c r="J363" i="19"/>
  <c r="J778" i="19"/>
  <c r="J209" i="19"/>
  <c r="J690" i="19"/>
  <c r="J496" i="19"/>
  <c r="J753" i="19"/>
  <c r="J754" i="19"/>
  <c r="J997" i="19"/>
  <c r="J483" i="19"/>
  <c r="J148" i="19"/>
  <c r="J226" i="19"/>
  <c r="J128" i="19"/>
  <c r="J564" i="19"/>
  <c r="J601" i="19"/>
  <c r="J261" i="19"/>
  <c r="J448" i="19"/>
  <c r="J660" i="19"/>
  <c r="J557" i="19"/>
  <c r="J124" i="19"/>
  <c r="J849" i="19"/>
  <c r="J563" i="19"/>
  <c r="J174" i="19"/>
  <c r="J768" i="19"/>
  <c r="J798" i="19"/>
  <c r="J858" i="19"/>
  <c r="J271" i="19"/>
  <c r="J98" i="19"/>
  <c r="J839" i="19"/>
  <c r="J256" i="19"/>
  <c r="J270" i="19"/>
  <c r="J885" i="19"/>
  <c r="J308" i="19"/>
  <c r="J430" i="19"/>
  <c r="J111" i="19"/>
  <c r="J302" i="19"/>
  <c r="J252" i="19"/>
  <c r="J582" i="19"/>
  <c r="J907" i="19"/>
  <c r="J425" i="19"/>
  <c r="J130" i="19"/>
  <c r="J981" i="19"/>
  <c r="J682" i="19"/>
  <c r="J770" i="19"/>
  <c r="J677" i="19"/>
  <c r="J70" i="19"/>
  <c r="J480" i="19"/>
  <c r="J435" i="19"/>
  <c r="J193" i="19"/>
  <c r="J194" i="19"/>
  <c r="J787" i="19"/>
  <c r="J428" i="19"/>
  <c r="J688" i="19"/>
  <c r="J182" i="19"/>
  <c r="J409" i="19"/>
  <c r="J176" i="19"/>
  <c r="J269" i="19"/>
  <c r="J343" i="19"/>
  <c r="J287" i="19"/>
  <c r="J664" i="19"/>
  <c r="J497" i="19"/>
  <c r="J539" i="19"/>
  <c r="J635" i="19"/>
  <c r="J92" i="19"/>
  <c r="J141" i="19"/>
  <c r="J802" i="19"/>
  <c r="J678" i="19"/>
  <c r="J275" i="19"/>
  <c r="J276" i="19"/>
  <c r="J263" i="19"/>
  <c r="J979" i="19"/>
  <c r="J394" i="19"/>
  <c r="J450" i="19"/>
  <c r="J952" i="19"/>
  <c r="J84" i="19"/>
  <c r="J347" i="19"/>
  <c r="J487" i="19"/>
  <c r="J313" i="19"/>
  <c r="J819" i="19"/>
  <c r="J407" i="19"/>
  <c r="J427" i="19"/>
  <c r="J527" i="19"/>
  <c r="J466" i="19"/>
  <c r="J516" i="19"/>
  <c r="J140" i="19"/>
  <c r="J139" i="19"/>
  <c r="J142" i="19"/>
  <c r="J143" i="19"/>
  <c r="J144" i="19"/>
  <c r="J145" i="19"/>
  <c r="J816" i="19"/>
  <c r="J177" i="19"/>
  <c r="J365" i="19"/>
  <c r="J698" i="19"/>
  <c r="J992" i="19"/>
  <c r="J212" i="19"/>
  <c r="J525" i="19"/>
  <c r="J101" i="19"/>
  <c r="J999" i="19"/>
  <c r="J974" i="19"/>
  <c r="J190" i="19"/>
  <c r="J859" i="19"/>
  <c r="J745" i="19"/>
  <c r="J283" i="19"/>
  <c r="J186" i="19"/>
  <c r="J841" i="19"/>
  <c r="J210" i="19"/>
  <c r="J536" i="19"/>
  <c r="J625" i="19"/>
  <c r="J187" i="19"/>
  <c r="J500" i="19"/>
  <c r="J265" i="19"/>
  <c r="J192" i="19"/>
  <c r="J560" i="19"/>
  <c r="J346" i="19"/>
  <c r="J794" i="19"/>
  <c r="J571" i="19"/>
  <c r="J206" i="19"/>
  <c r="J611" i="19"/>
  <c r="J8" i="19"/>
  <c r="J453" i="19"/>
  <c r="J643" i="19"/>
  <c r="J644" i="19"/>
  <c r="J273" i="19"/>
  <c r="J641" i="19"/>
  <c r="J170" i="19"/>
  <c r="J507" i="19"/>
  <c r="J645" i="19"/>
  <c r="J646" i="19"/>
  <c r="J737" i="19"/>
  <c r="J954" i="19"/>
  <c r="J40" i="19"/>
  <c r="I41" i="19"/>
  <c r="I488" i="19"/>
  <c r="I197" i="19"/>
  <c r="I198" i="19"/>
  <c r="I115" i="19"/>
  <c r="I863" i="19"/>
  <c r="I673" i="19"/>
  <c r="I426" i="19"/>
  <c r="I824" i="19"/>
  <c r="I361" i="19"/>
  <c r="I309" i="19"/>
  <c r="I828" i="19"/>
  <c r="I911" i="19"/>
  <c r="I767" i="19"/>
  <c r="I607" i="19"/>
  <c r="I685" i="19"/>
  <c r="I815" i="19"/>
  <c r="I762" i="19"/>
  <c r="I85" i="19"/>
  <c r="I86" i="19"/>
  <c r="I89" i="19"/>
  <c r="I59" i="19"/>
  <c r="I471" i="19"/>
  <c r="I200" i="19"/>
  <c r="I243" i="19"/>
  <c r="I851" i="19"/>
  <c r="I959" i="19"/>
  <c r="I925" i="19"/>
  <c r="I700" i="19"/>
  <c r="I15" i="19"/>
  <c r="I16" i="19"/>
  <c r="I17" i="19"/>
  <c r="I388" i="19"/>
  <c r="I942" i="19"/>
  <c r="I345" i="19"/>
  <c r="I1001" i="19"/>
  <c r="I881" i="19"/>
  <c r="I304" i="19"/>
  <c r="I461" i="19"/>
  <c r="I514" i="19"/>
  <c r="I610" i="19"/>
  <c r="I4" i="19"/>
  <c r="I665" i="19"/>
  <c r="I751" i="19"/>
  <c r="I776" i="19"/>
  <c r="I296" i="19"/>
  <c r="I74" i="19"/>
  <c r="I800" i="19"/>
  <c r="I481" i="19"/>
  <c r="I469" i="19"/>
  <c r="I545" i="19"/>
  <c r="I436" i="19"/>
  <c r="I437" i="19"/>
  <c r="I73" i="19"/>
  <c r="I842" i="19"/>
  <c r="I922" i="19"/>
  <c r="I832" i="19"/>
  <c r="I975" i="19"/>
  <c r="I894" i="19"/>
  <c r="I236" i="19"/>
  <c r="I763" i="19"/>
  <c r="I744" i="19"/>
  <c r="I61" i="19"/>
  <c r="I353" i="19"/>
  <c r="I56" i="19"/>
  <c r="I107" i="19"/>
  <c r="I712" i="19"/>
  <c r="I441" i="19"/>
  <c r="I392" i="19"/>
  <c r="I857" i="19"/>
  <c r="I872" i="19"/>
  <c r="I88" i="19"/>
  <c r="I33" i="19"/>
  <c r="I508" i="19"/>
  <c r="I562" i="19"/>
  <c r="I668" i="19"/>
  <c r="I221" i="19"/>
  <c r="I613" i="19"/>
  <c r="I213" i="19"/>
  <c r="I48" i="19"/>
  <c r="I868" i="19"/>
  <c r="I151" i="19"/>
  <c r="I431" i="19"/>
  <c r="I993" i="19"/>
  <c r="I503" i="19"/>
  <c r="I504" i="19"/>
  <c r="I105" i="19"/>
  <c r="I320" i="19"/>
  <c r="I932" i="19"/>
  <c r="I615" i="19"/>
  <c r="I11" i="19"/>
  <c r="I432" i="19"/>
  <c r="I324" i="19"/>
  <c r="I834" i="19"/>
  <c r="I746" i="19"/>
  <c r="I953" i="19"/>
  <c r="I465" i="19"/>
  <c r="I838" i="19"/>
  <c r="I81" i="19"/>
  <c r="I833" i="19"/>
  <c r="I731" i="19"/>
  <c r="I310" i="19"/>
  <c r="I136" i="19"/>
  <c r="I329" i="19"/>
  <c r="I785" i="19"/>
  <c r="I600" i="19"/>
  <c r="I772" i="19"/>
  <c r="I478" i="19"/>
  <c r="I918" i="19"/>
  <c r="I648" i="19"/>
  <c r="I120" i="19"/>
  <c r="I861" i="19"/>
  <c r="I676" i="19"/>
  <c r="I163" i="19"/>
  <c r="I467" i="19"/>
  <c r="I393" i="19"/>
  <c r="I150" i="19"/>
  <c r="I701" i="19"/>
  <c r="I227" i="19"/>
  <c r="I228" i="19"/>
  <c r="I229" i="19"/>
  <c r="I632" i="19"/>
  <c r="I285" i="19"/>
  <c r="I893" i="19"/>
  <c r="I899" i="19"/>
  <c r="I456" i="19"/>
  <c r="I793" i="19"/>
  <c r="I928" i="19"/>
  <c r="I342" i="19"/>
  <c r="I121" i="19"/>
  <c r="I132" i="19"/>
  <c r="I759" i="19"/>
  <c r="I761" i="19"/>
  <c r="I344" i="19"/>
  <c r="I125" i="19"/>
  <c r="I614" i="19"/>
  <c r="I322" i="19"/>
  <c r="I5" i="19"/>
  <c r="I821" i="19"/>
  <c r="I946" i="19"/>
  <c r="I135" i="19"/>
  <c r="I534" i="19"/>
  <c r="I260" i="19"/>
  <c r="I982" i="19"/>
  <c r="I760" i="19"/>
  <c r="I594" i="19"/>
  <c r="I595" i="19"/>
  <c r="I398" i="19"/>
  <c r="I396" i="19"/>
  <c r="I484" i="19"/>
  <c r="I788" i="19"/>
  <c r="I119" i="19"/>
  <c r="I455" i="19"/>
  <c r="I523" i="19"/>
  <c r="I421" i="19"/>
  <c r="I362" i="19"/>
  <c r="I771" i="19"/>
  <c r="I848" i="19"/>
  <c r="I28" i="19"/>
  <c r="I542" i="19"/>
  <c r="I596" i="19"/>
  <c r="I307" i="19"/>
  <c r="I397" i="19"/>
  <c r="I204" i="19"/>
  <c r="I681" i="19"/>
  <c r="I869" i="19"/>
  <c r="I903" i="19"/>
  <c r="I895" i="19"/>
  <c r="I357" i="19"/>
  <c r="I856" i="19"/>
  <c r="I686" i="19"/>
  <c r="I96" i="19"/>
  <c r="I752" i="19"/>
  <c r="I326" i="19"/>
  <c r="I339" i="19"/>
  <c r="I750" i="19"/>
  <c r="I330" i="19"/>
  <c r="I547" i="19"/>
  <c r="I926" i="19"/>
  <c r="I6" i="19"/>
  <c r="I7" i="19"/>
  <c r="I64" i="19"/>
  <c r="I933" i="19"/>
  <c r="I476" i="19"/>
  <c r="I57" i="19"/>
  <c r="I694" i="19"/>
  <c r="I583" i="19"/>
  <c r="I80" i="19"/>
  <c r="I152" i="19"/>
  <c r="I627" i="19"/>
  <c r="I35" i="19"/>
  <c r="I779" i="19"/>
  <c r="I561" i="19"/>
  <c r="I331" i="19"/>
  <c r="I655" i="19"/>
  <c r="I718" i="19"/>
  <c r="I719" i="19"/>
  <c r="I720" i="19"/>
  <c r="I721" i="19"/>
  <c r="I722" i="19"/>
  <c r="I18" i="19"/>
  <c r="I902" i="19"/>
  <c r="I947" i="19"/>
  <c r="I847" i="19"/>
  <c r="I552" i="19"/>
  <c r="I725" i="19"/>
  <c r="I755" i="19"/>
  <c r="I225" i="19"/>
  <c r="I377" i="19"/>
  <c r="I66" i="19"/>
  <c r="I684" i="19"/>
  <c r="I246" i="19"/>
  <c r="I328" i="19"/>
  <c r="I702" i="19"/>
  <c r="I464" i="19"/>
  <c r="I31" i="19"/>
  <c r="I408" i="19"/>
  <c r="I810" i="19"/>
  <c r="I184" i="19"/>
  <c r="I185" i="19"/>
  <c r="I591" i="19"/>
  <c r="I965" i="19"/>
  <c r="I129" i="19"/>
  <c r="I555" i="19"/>
  <c r="I323" i="19"/>
  <c r="I51" i="19"/>
  <c r="I740" i="19"/>
  <c r="I106" i="19"/>
  <c r="I574" i="19"/>
  <c r="I782" i="19"/>
  <c r="I884" i="19"/>
  <c r="I224" i="19"/>
  <c r="I116" i="19"/>
  <c r="I930" i="19"/>
  <c r="I843" i="19"/>
  <c r="I160" i="19"/>
  <c r="I241" i="19"/>
  <c r="I380" i="19"/>
  <c r="I277" i="19"/>
  <c r="I216" i="19"/>
  <c r="I196" i="19"/>
  <c r="I873" i="19"/>
  <c r="I904" i="19"/>
  <c r="I316" i="19"/>
  <c r="I599" i="19"/>
  <c r="I395" i="19"/>
  <c r="I264" i="19"/>
  <c r="I620" i="19"/>
  <c r="I995" i="19"/>
  <c r="I674" i="19"/>
  <c r="I223" i="19"/>
  <c r="I278" i="19"/>
  <c r="I586" i="19"/>
  <c r="I829" i="19"/>
  <c r="I214" i="19"/>
  <c r="I996" i="19"/>
  <c r="I267" i="19"/>
  <c r="I215" i="19"/>
  <c r="I474" i="19"/>
  <c r="I905" i="19"/>
  <c r="I693" i="19"/>
  <c r="I501" i="19"/>
  <c r="I640" i="19"/>
  <c r="I71" i="19"/>
  <c r="I957" i="19"/>
  <c r="I704" i="19"/>
  <c r="I878" i="19"/>
  <c r="I65" i="19"/>
  <c r="I692" i="19"/>
  <c r="I93" i="19"/>
  <c r="I499" i="19"/>
  <c r="I994" i="19"/>
  <c r="I967" i="19"/>
  <c r="I297" i="19"/>
  <c r="I908" i="19"/>
  <c r="I300" i="19"/>
  <c r="I424" i="19"/>
  <c r="I332" i="19"/>
  <c r="I766" i="19"/>
  <c r="I199" i="19"/>
  <c r="I544" i="19"/>
  <c r="I366" i="19"/>
  <c r="I50" i="19"/>
  <c r="I708" i="19"/>
  <c r="I622" i="19"/>
  <c r="I153" i="19"/>
  <c r="I554" i="19"/>
  <c r="I663" i="19"/>
  <c r="I657" i="19"/>
  <c r="I289" i="19"/>
  <c r="I956" i="19"/>
  <c r="I479" i="19"/>
  <c r="I168" i="19"/>
  <c r="I679" i="19"/>
  <c r="I245" i="19"/>
  <c r="I303" i="19"/>
  <c r="I312" i="19"/>
  <c r="I550" i="19"/>
  <c r="I578" i="19"/>
  <c r="I76" i="19"/>
  <c r="I934" i="19"/>
  <c r="I774" i="19"/>
  <c r="I255" i="19"/>
  <c r="I208" i="19"/>
  <c r="I110" i="19"/>
  <c r="I494" i="19"/>
  <c r="I336" i="19"/>
  <c r="I239" i="19"/>
  <c r="I341" i="19"/>
  <c r="I764" i="19"/>
  <c r="I207" i="19"/>
  <c r="I717" i="19"/>
  <c r="I21" i="19"/>
  <c r="I891" i="19"/>
  <c r="I669" i="19"/>
  <c r="I711" i="19"/>
  <c r="I855" i="19"/>
  <c r="I921" i="19"/>
  <c r="I382" i="19"/>
  <c r="I383" i="19"/>
  <c r="I385" i="19"/>
  <c r="I888" i="19"/>
  <c r="I295" i="19"/>
  <c r="I282" i="19"/>
  <c r="I935" i="19"/>
  <c r="I369" i="19"/>
  <c r="I97" i="19"/>
  <c r="I459" i="19"/>
  <c r="I605" i="19"/>
  <c r="I854" i="19"/>
  <c r="I231" i="19"/>
  <c r="I786" i="19"/>
  <c r="I960" i="19"/>
  <c r="I321" i="19"/>
  <c r="I211" i="19"/>
  <c r="I912" i="19"/>
  <c r="I367" i="19"/>
  <c r="I987" i="19"/>
  <c r="I333" i="19"/>
  <c r="I971" i="19"/>
  <c r="I616" i="19"/>
  <c r="I617" i="19"/>
  <c r="I741" i="19"/>
  <c r="I169" i="19"/>
  <c r="I47" i="19"/>
  <c r="I804" i="19"/>
  <c r="I598" i="19"/>
  <c r="I867" i="19"/>
  <c r="I262" i="19"/>
  <c r="I531" i="19"/>
  <c r="I338" i="19"/>
  <c r="I370" i="19"/>
  <c r="I634" i="19"/>
  <c r="I524" i="19"/>
  <c r="I647" i="19"/>
  <c r="I978" i="19"/>
  <c r="I334" i="19"/>
  <c r="I931" i="19"/>
  <c r="I991" i="19"/>
  <c r="I732" i="19"/>
  <c r="I733" i="19"/>
  <c r="I356" i="19"/>
  <c r="I538" i="19"/>
  <c r="I765" i="19"/>
  <c r="I167" i="19"/>
  <c r="I846" i="19"/>
  <c r="I880" i="19"/>
  <c r="I585" i="19"/>
  <c r="I2" i="19"/>
  <c r="I232" i="19"/>
  <c r="I238" i="19"/>
  <c r="I914" i="19"/>
  <c r="I233" i="19"/>
  <c r="I411" i="19"/>
  <c r="I969" i="19"/>
  <c r="I532" i="19"/>
  <c r="I948" i="19"/>
  <c r="I495" i="19"/>
  <c r="I79" i="19"/>
  <c r="I368" i="19"/>
  <c r="I783" i="19"/>
  <c r="I319" i="19"/>
  <c r="I659" i="19"/>
  <c r="I730" i="19"/>
  <c r="I958" i="19"/>
  <c r="I592" i="19"/>
  <c r="I871" i="19"/>
  <c r="I633" i="19"/>
  <c r="I54" i="19"/>
  <c r="I889" i="19"/>
  <c r="I482" i="19"/>
  <c r="I67" i="19"/>
  <c r="I68" i="19"/>
  <c r="I796" i="19"/>
  <c r="I419" i="19"/>
  <c r="I988" i="19"/>
  <c r="I364" i="19"/>
  <c r="I413" i="19"/>
  <c r="I468" i="19"/>
  <c r="I723" i="19"/>
  <c r="I837" i="19"/>
  <c r="I386" i="19"/>
  <c r="I108" i="19"/>
  <c r="I906" i="19"/>
  <c r="I593" i="19"/>
  <c r="I83" i="19"/>
  <c r="I612" i="19"/>
  <c r="I354" i="19"/>
  <c r="I433" i="19"/>
  <c r="I401" i="19"/>
  <c r="I438" i="19"/>
  <c r="I379" i="19"/>
  <c r="I968" i="19"/>
  <c r="I565" i="19"/>
  <c r="I418" i="19"/>
  <c r="I808" i="19"/>
  <c r="I769" i="19"/>
  <c r="I149" i="19"/>
  <c r="I60" i="19"/>
  <c r="I915" i="19"/>
  <c r="I916" i="19"/>
  <c r="I727" i="19"/>
  <c r="I10" i="19"/>
  <c r="I990" i="19"/>
  <c r="I43" i="19"/>
  <c r="I639" i="19"/>
  <c r="I576" i="19"/>
  <c r="I683" i="19"/>
  <c r="I913" i="19"/>
  <c r="I672" i="19"/>
  <c r="I984" i="19"/>
  <c r="I823" i="19"/>
  <c r="I588" i="19"/>
  <c r="I728" i="19"/>
  <c r="I179" i="19"/>
  <c r="I758" i="19"/>
  <c r="I976" i="19"/>
  <c r="I697" i="19"/>
  <c r="I191" i="19"/>
  <c r="I378" i="19"/>
  <c r="I606" i="19"/>
  <c r="I569" i="19"/>
  <c r="I923" i="19"/>
  <c r="I799" i="19"/>
  <c r="I566" i="19"/>
  <c r="I962" i="19"/>
  <c r="I78" i="19"/>
  <c r="I784" i="19"/>
  <c r="I69" i="19"/>
  <c r="I882" i="19"/>
  <c r="I691" i="19"/>
  <c r="I696" i="19"/>
  <c r="I707" i="19"/>
  <c r="I811" i="19"/>
  <c r="I892" i="19"/>
  <c r="I20" i="19"/>
  <c r="I162" i="19"/>
  <c r="I825" i="19"/>
  <c r="I45" i="19"/>
  <c r="I72" i="19"/>
  <c r="I797" i="19"/>
  <c r="I133" i="19"/>
  <c r="I12" i="19"/>
  <c r="I62" i="19"/>
  <c r="I281" i="19"/>
  <c r="I247" i="19"/>
  <c r="I817" i="19"/>
  <c r="I535" i="19"/>
  <c r="I22" i="19"/>
  <c r="I27" i="19"/>
  <c r="I579" i="19"/>
  <c r="I831" i="19"/>
  <c r="I449" i="19"/>
  <c r="I415" i="19"/>
  <c r="I257" i="19"/>
  <c r="I389" i="19"/>
  <c r="I348" i="19"/>
  <c r="I23" i="19"/>
  <c r="I24" i="19"/>
  <c r="I25" i="19"/>
  <c r="I710" i="19"/>
  <c r="I896" i="19"/>
  <c r="I756" i="19"/>
  <c r="I549" i="19"/>
  <c r="I699" i="19"/>
  <c r="I375" i="19"/>
  <c r="I567" i="19"/>
  <c r="I103" i="19"/>
  <c r="I850" i="19"/>
  <c r="I127" i="19"/>
  <c r="I551" i="19"/>
  <c r="I943" i="19"/>
  <c r="I887" i="19"/>
  <c r="I355" i="19"/>
  <c r="I244" i="19"/>
  <c r="I434" i="19"/>
  <c r="I181" i="19"/>
  <c r="I650" i="19"/>
  <c r="I637" i="19"/>
  <c r="I30" i="19"/>
  <c r="I402" i="19"/>
  <c r="I403" i="19"/>
  <c r="I404" i="19"/>
  <c r="I405" i="19"/>
  <c r="I963" i="19"/>
  <c r="I279" i="19"/>
  <c r="I775" i="19"/>
  <c r="I444" i="19"/>
  <c r="I652" i="19"/>
  <c r="I159" i="19"/>
  <c r="I165" i="19"/>
  <c r="I175" i="19"/>
  <c r="I714" i="19"/>
  <c r="I781" i="19"/>
  <c r="I927" i="19"/>
  <c r="I202" i="19"/>
  <c r="I180" i="19"/>
  <c r="I543" i="19"/>
  <c r="I651" i="19"/>
  <c r="I628" i="19"/>
  <c r="I629" i="19"/>
  <c r="I949" i="19"/>
  <c r="I113" i="19"/>
  <c r="I337" i="19"/>
  <c r="I315" i="19"/>
  <c r="I970" i="19"/>
  <c r="I475" i="19"/>
  <c r="I587" i="19"/>
  <c r="I897" i="19"/>
  <c r="I298" i="19"/>
  <c r="I795" i="19"/>
  <c r="I709" i="19"/>
  <c r="I801" i="19"/>
  <c r="I572" i="19"/>
  <c r="I929" i="19"/>
  <c r="I653" i="19"/>
  <c r="I457" i="19"/>
  <c r="I49" i="19"/>
  <c r="I123" i="19"/>
  <c r="I559" i="19"/>
  <c r="I608" i="19"/>
  <c r="I998" i="19"/>
  <c r="I463" i="19"/>
  <c r="I445" i="19"/>
  <c r="I835" i="19"/>
  <c r="I288" i="19"/>
  <c r="I972" i="19"/>
  <c r="I117" i="19"/>
  <c r="I973" i="19"/>
  <c r="I729" i="19"/>
  <c r="I636" i="19"/>
  <c r="I416" i="19"/>
  <c r="I950" i="19"/>
  <c r="I626" i="19"/>
  <c r="I875" i="19"/>
  <c r="I203" i="19"/>
  <c r="I649" i="19"/>
  <c r="I553" i="19"/>
  <c r="I803" i="19"/>
  <c r="I440" i="19"/>
  <c r="I716" i="19"/>
  <c r="I138" i="19"/>
  <c r="I291" i="19"/>
  <c r="I3" i="19"/>
  <c r="I485" i="19"/>
  <c r="I82" i="19"/>
  <c r="I325" i="19"/>
  <c r="I205" i="19"/>
  <c r="I292" i="19"/>
  <c r="I293" i="19"/>
  <c r="I318" i="19"/>
  <c r="I451" i="19"/>
  <c r="I234" i="19"/>
  <c r="I631" i="19"/>
  <c r="I807" i="19"/>
  <c r="I780" i="19"/>
  <c r="I290" i="19"/>
  <c r="I939" i="19"/>
  <c r="I940" i="19"/>
  <c r="I809" i="19"/>
  <c r="I164" i="19"/>
  <c r="I836" i="19"/>
  <c r="I874" i="19"/>
  <c r="I818" i="19"/>
  <c r="I217" i="19"/>
  <c r="I1000" i="19"/>
  <c r="I91" i="19"/>
  <c r="I945" i="19"/>
  <c r="I250" i="19"/>
  <c r="I515" i="19"/>
  <c r="I509" i="19"/>
  <c r="I575" i="19"/>
  <c r="I220" i="19"/>
  <c r="I384" i="19"/>
  <c r="I251" i="19"/>
  <c r="I558" i="19"/>
  <c r="I126" i="19"/>
  <c r="I573" i="19"/>
  <c r="I34" i="19"/>
  <c r="I777" i="19"/>
  <c r="I87" i="19"/>
  <c r="I327" i="19"/>
  <c r="I294" i="19"/>
  <c r="I529" i="19"/>
  <c r="I966" i="19"/>
  <c r="I218" i="19"/>
  <c r="I581" i="19"/>
  <c r="I122" i="19"/>
  <c r="I52" i="19"/>
  <c r="I55" i="19"/>
  <c r="I910" i="19"/>
  <c r="I118" i="19"/>
  <c r="I423" i="19"/>
  <c r="I219" i="19"/>
  <c r="I862" i="19"/>
  <c r="I604" i="19"/>
  <c r="I789" i="19"/>
  <c r="I470" i="19"/>
  <c r="I983" i="19"/>
  <c r="I603" i="19"/>
  <c r="I230" i="19"/>
  <c r="I112" i="19"/>
  <c r="I724" i="19"/>
  <c r="I280" i="19"/>
  <c r="I429" i="19"/>
  <c r="I964" i="19"/>
  <c r="I154" i="19"/>
  <c r="I349" i="19"/>
  <c r="I350" i="19"/>
  <c r="I351" i="19"/>
  <c r="I352" i="19"/>
  <c r="I654" i="19"/>
  <c r="I390" i="19"/>
  <c r="I602" i="19"/>
  <c r="I311" i="19"/>
  <c r="I166" i="19"/>
  <c r="I109" i="19"/>
  <c r="I726" i="19"/>
  <c r="I510" i="19"/>
  <c r="I937" i="19"/>
  <c r="I989" i="19"/>
  <c r="I630" i="19"/>
  <c r="I240" i="19"/>
  <c r="I656" i="19"/>
  <c r="I266" i="19"/>
  <c r="I306" i="19"/>
  <c r="I75" i="19"/>
  <c r="I938" i="19"/>
  <c r="I188" i="19"/>
  <c r="I173" i="19"/>
  <c r="I399" i="19"/>
  <c r="I814" i="19"/>
  <c r="I39" i="19"/>
  <c r="I662" i="19"/>
  <c r="I666" i="19"/>
  <c r="I901" i="19"/>
  <c r="I985" i="19"/>
  <c r="I492" i="19"/>
  <c r="I286" i="19"/>
  <c r="I944" i="19"/>
  <c r="I63" i="19"/>
  <c r="I870" i="19"/>
  <c r="I237" i="19"/>
  <c r="I472" i="19"/>
  <c r="I473" i="19"/>
  <c r="I513" i="19"/>
  <c r="I739" i="19"/>
  <c r="I491" i="19"/>
  <c r="I359" i="19"/>
  <c r="I172" i="19"/>
  <c r="I387" i="19"/>
  <c r="I584" i="19"/>
  <c r="I443" i="19"/>
  <c r="I452" i="19"/>
  <c r="I917" i="19"/>
  <c r="I381" i="19"/>
  <c r="I183" i="19"/>
  <c r="I680" i="19"/>
  <c r="I19" i="19"/>
  <c r="I58" i="19"/>
  <c r="I734" i="19"/>
  <c r="I580" i="19"/>
  <c r="I924" i="19"/>
  <c r="I102" i="19"/>
  <c r="I511" i="19"/>
  <c r="I268" i="19"/>
  <c r="I980" i="19"/>
  <c r="I556" i="19"/>
  <c r="I284" i="19"/>
  <c r="I374" i="19"/>
  <c r="I520" i="19"/>
  <c r="I46" i="19"/>
  <c r="I317" i="19"/>
  <c r="I830" i="19"/>
  <c r="I258" i="19"/>
  <c r="I526" i="19"/>
  <c r="I705" i="19"/>
  <c r="I521" i="19"/>
  <c r="I757" i="19"/>
  <c r="I94" i="19"/>
  <c r="I715" i="19"/>
  <c r="I961" i="19"/>
  <c r="I299" i="19"/>
  <c r="I530" i="19"/>
  <c r="I864" i="19"/>
  <c r="I95" i="19"/>
  <c r="I736" i="19"/>
  <c r="I866" i="19"/>
  <c r="I619" i="19"/>
  <c r="I898" i="19"/>
  <c r="I852" i="19"/>
  <c r="I876" i="19"/>
  <c r="I840" i="19"/>
  <c r="I42" i="19"/>
  <c r="I400" i="19"/>
  <c r="I518" i="19"/>
  <c r="I977" i="19"/>
  <c r="I253" i="19"/>
  <c r="I414" i="19"/>
  <c r="I812" i="19"/>
  <c r="I738" i="19"/>
  <c r="I454" i="19"/>
  <c r="I391" i="19"/>
  <c r="I735" i="19"/>
  <c r="I242" i="19"/>
  <c r="I272" i="19"/>
  <c r="I820" i="19"/>
  <c r="I822" i="19"/>
  <c r="I853" i="19"/>
  <c r="I53" i="19"/>
  <c r="I597" i="19"/>
  <c r="I486" i="19"/>
  <c r="I406" i="19"/>
  <c r="I32" i="19"/>
  <c r="I90" i="19"/>
  <c r="I498" i="19"/>
  <c r="I161" i="19"/>
  <c r="I713" i="19"/>
  <c r="I519" i="19"/>
  <c r="I540" i="19"/>
  <c r="I624" i="19"/>
  <c r="I806" i="19"/>
  <c r="I919" i="19"/>
  <c r="I844" i="19"/>
  <c r="I528" i="19"/>
  <c r="I460" i="19"/>
  <c r="I909" i="19"/>
  <c r="I358" i="19"/>
  <c r="I671" i="19"/>
  <c r="I442" i="19"/>
  <c r="I955" i="19"/>
  <c r="I137" i="19"/>
  <c r="I883" i="19"/>
  <c r="I517" i="19"/>
  <c r="I372" i="19"/>
  <c r="I360" i="19"/>
  <c r="I305" i="19"/>
  <c r="I609" i="19"/>
  <c r="I249" i="19"/>
  <c r="I77" i="19"/>
  <c r="I201" i="19"/>
  <c r="I860" i="19"/>
  <c r="I845" i="19"/>
  <c r="I131" i="19"/>
  <c r="I791" i="19"/>
  <c r="I792" i="19"/>
  <c r="I373" i="19"/>
  <c r="I371" i="19"/>
  <c r="I248" i="19"/>
  <c r="I658" i="19"/>
  <c r="I900" i="19"/>
  <c r="I670" i="19"/>
  <c r="I44" i="19"/>
  <c r="I301" i="19"/>
  <c r="I813" i="19"/>
  <c r="I533" i="19"/>
  <c r="I490" i="19"/>
  <c r="I157" i="19"/>
  <c r="I941" i="19"/>
  <c r="I951" i="19"/>
  <c r="I577" i="19"/>
  <c r="I14" i="19"/>
  <c r="I195" i="19"/>
  <c r="I412" i="19"/>
  <c r="I439" i="19"/>
  <c r="I158" i="19"/>
  <c r="I114" i="19"/>
  <c r="I537" i="19"/>
  <c r="I742" i="19"/>
  <c r="I877" i="19"/>
  <c r="I546" i="19"/>
  <c r="I512" i="19"/>
  <c r="I618" i="19"/>
  <c r="I420" i="19"/>
  <c r="I986" i="19"/>
  <c r="I675" i="19"/>
  <c r="I502" i="19"/>
  <c r="I422" i="19"/>
  <c r="I410" i="19"/>
  <c r="I638" i="19"/>
  <c r="I134" i="19"/>
  <c r="I156" i="19"/>
  <c r="I254" i="19"/>
  <c r="I489" i="19"/>
  <c r="I189" i="19"/>
  <c r="I548" i="19"/>
  <c r="I570" i="19"/>
  <c r="I37" i="19"/>
  <c r="I178" i="19"/>
  <c r="I26" i="19"/>
  <c r="I146" i="19"/>
  <c r="I147" i="19"/>
  <c r="I222" i="19"/>
  <c r="I879" i="19"/>
  <c r="I589" i="19"/>
  <c r="I661" i="19"/>
  <c r="I99" i="19"/>
  <c r="I36" i="19"/>
  <c r="I155" i="19"/>
  <c r="I340" i="19"/>
  <c r="I335" i="19"/>
  <c r="I621" i="19"/>
  <c r="I920" i="19"/>
  <c r="I235" i="19"/>
  <c r="I747" i="19"/>
  <c r="I541" i="19"/>
  <c r="I462" i="19"/>
  <c r="I13" i="19"/>
  <c r="I458" i="19"/>
  <c r="I446" i="19"/>
  <c r="I447" i="19"/>
  <c r="I477" i="19"/>
  <c r="I590" i="19"/>
  <c r="I706" i="19"/>
  <c r="I568" i="19"/>
  <c r="I376" i="19"/>
  <c r="I38" i="19"/>
  <c r="I826" i="19"/>
  <c r="I687" i="19"/>
  <c r="I493" i="19"/>
  <c r="I936" i="19"/>
  <c r="I748" i="19"/>
  <c r="I259" i="19"/>
  <c r="I9" i="19"/>
  <c r="I703" i="19"/>
  <c r="I314" i="19"/>
  <c r="I695" i="19"/>
  <c r="I890" i="19"/>
  <c r="I505" i="19"/>
  <c r="I506" i="19"/>
  <c r="I773" i="19"/>
  <c r="I100" i="19"/>
  <c r="I623" i="19"/>
  <c r="I886" i="19"/>
  <c r="I274" i="19"/>
  <c r="I749" i="19"/>
  <c r="I522" i="19"/>
  <c r="I865" i="19"/>
  <c r="I805" i="19"/>
  <c r="I171" i="19"/>
  <c r="I743" i="19"/>
  <c r="I417" i="19"/>
  <c r="I667" i="19"/>
  <c r="I827" i="19"/>
  <c r="I689" i="19"/>
  <c r="I790" i="19"/>
  <c r="I104" i="19"/>
  <c r="I642" i="19"/>
  <c r="I29" i="19"/>
  <c r="I363" i="19"/>
  <c r="I778" i="19"/>
  <c r="I209" i="19"/>
  <c r="I690" i="19"/>
  <c r="I496" i="19"/>
  <c r="I753" i="19"/>
  <c r="I754" i="19"/>
  <c r="I997" i="19"/>
  <c r="I483" i="19"/>
  <c r="I148" i="19"/>
  <c r="I226" i="19"/>
  <c r="I128" i="19"/>
  <c r="I564" i="19"/>
  <c r="I601" i="19"/>
  <c r="I261" i="19"/>
  <c r="I448" i="19"/>
  <c r="I660" i="19"/>
  <c r="I557" i="19"/>
  <c r="I124" i="19"/>
  <c r="I849" i="19"/>
  <c r="I563" i="19"/>
  <c r="I174" i="19"/>
  <c r="I768" i="19"/>
  <c r="I798" i="19"/>
  <c r="I858" i="19"/>
  <c r="I271" i="19"/>
  <c r="I98" i="19"/>
  <c r="I839" i="19"/>
  <c r="I256" i="19"/>
  <c r="I270" i="19"/>
  <c r="I885" i="19"/>
  <c r="I308" i="19"/>
  <c r="I430" i="19"/>
  <c r="I111" i="19"/>
  <c r="I302" i="19"/>
  <c r="I252" i="19"/>
  <c r="I582" i="19"/>
  <c r="I907" i="19"/>
  <c r="I425" i="19"/>
  <c r="I130" i="19"/>
  <c r="I981" i="19"/>
  <c r="I682" i="19"/>
  <c r="I770" i="19"/>
  <c r="I677" i="19"/>
  <c r="I70" i="19"/>
  <c r="I480" i="19"/>
  <c r="I435" i="19"/>
  <c r="I193" i="19"/>
  <c r="I194" i="19"/>
  <c r="I787" i="19"/>
  <c r="I428" i="19"/>
  <c r="I688" i="19"/>
  <c r="I182" i="19"/>
  <c r="I409" i="19"/>
  <c r="I176" i="19"/>
  <c r="I269" i="19"/>
  <c r="I343" i="19"/>
  <c r="I287" i="19"/>
  <c r="I664" i="19"/>
  <c r="I497" i="19"/>
  <c r="I539" i="19"/>
  <c r="I635" i="19"/>
  <c r="I92" i="19"/>
  <c r="I141" i="19"/>
  <c r="I802" i="19"/>
  <c r="I678" i="19"/>
  <c r="I275" i="19"/>
  <c r="I276" i="19"/>
  <c r="I263" i="19"/>
  <c r="I979" i="19"/>
  <c r="I394" i="19"/>
  <c r="I450" i="19"/>
  <c r="I952" i="19"/>
  <c r="I84" i="19"/>
  <c r="I347" i="19"/>
  <c r="I487" i="19"/>
  <c r="I313" i="19"/>
  <c r="I819" i="19"/>
  <c r="I407" i="19"/>
  <c r="I427" i="19"/>
  <c r="I527" i="19"/>
  <c r="I466" i="19"/>
  <c r="I516" i="19"/>
  <c r="I140" i="19"/>
  <c r="I139" i="19"/>
  <c r="I142" i="19"/>
  <c r="I143" i="19"/>
  <c r="I144" i="19"/>
  <c r="I145" i="19"/>
  <c r="I816" i="19"/>
  <c r="I177" i="19"/>
  <c r="I365" i="19"/>
  <c r="I698" i="19"/>
  <c r="I992" i="19"/>
  <c r="I212" i="19"/>
  <c r="I525" i="19"/>
  <c r="I101" i="19"/>
  <c r="I999" i="19"/>
  <c r="I974" i="19"/>
  <c r="I190" i="19"/>
  <c r="I859" i="19"/>
  <c r="I745" i="19"/>
  <c r="I283" i="19"/>
  <c r="I186" i="19"/>
  <c r="I841" i="19"/>
  <c r="I210" i="19"/>
  <c r="I536" i="19"/>
  <c r="I625" i="19"/>
  <c r="I187" i="19"/>
  <c r="I500" i="19"/>
  <c r="I265" i="19"/>
  <c r="I192" i="19"/>
  <c r="I560" i="19"/>
  <c r="I346" i="19"/>
  <c r="I794" i="19"/>
  <c r="I571" i="19"/>
  <c r="I206" i="19"/>
  <c r="I611" i="19"/>
  <c r="I8" i="19"/>
  <c r="I453" i="19"/>
  <c r="I643" i="19"/>
  <c r="I644" i="19"/>
  <c r="I273" i="19"/>
  <c r="I641" i="19"/>
  <c r="I170" i="19"/>
  <c r="I507" i="19"/>
  <c r="I645" i="19"/>
  <c r="I646" i="19"/>
  <c r="I737" i="19"/>
  <c r="I954" i="19"/>
  <c r="I40" i="19"/>
  <c r="H41" i="19"/>
  <c r="H488" i="19"/>
  <c r="H197" i="19"/>
  <c r="H198" i="19"/>
  <c r="H115" i="19"/>
  <c r="H863" i="19"/>
  <c r="H673" i="19"/>
  <c r="H426" i="19"/>
  <c r="H824" i="19"/>
  <c r="H361" i="19"/>
  <c r="H309" i="19"/>
  <c r="H828" i="19"/>
  <c r="H911" i="19"/>
  <c r="H767" i="19"/>
  <c r="H607" i="19"/>
  <c r="H685" i="19"/>
  <c r="H815" i="19"/>
  <c r="H762" i="19"/>
  <c r="H85" i="19"/>
  <c r="H86" i="19"/>
  <c r="H89" i="19"/>
  <c r="H59" i="19"/>
  <c r="H471" i="19"/>
  <c r="H200" i="19"/>
  <c r="H243" i="19"/>
  <c r="H851" i="19"/>
  <c r="H959" i="19"/>
  <c r="H925" i="19"/>
  <c r="H700" i="19"/>
  <c r="H15" i="19"/>
  <c r="H16" i="19"/>
  <c r="H17" i="19"/>
  <c r="H388" i="19"/>
  <c r="H942" i="19"/>
  <c r="H345" i="19"/>
  <c r="H1001" i="19"/>
  <c r="H881" i="19"/>
  <c r="H304" i="19"/>
  <c r="H461" i="19"/>
  <c r="H514" i="19"/>
  <c r="H610" i="19"/>
  <c r="H4" i="19"/>
  <c r="H665" i="19"/>
  <c r="H751" i="19"/>
  <c r="H776" i="19"/>
  <c r="H296" i="19"/>
  <c r="H74" i="19"/>
  <c r="H800" i="19"/>
  <c r="H481" i="19"/>
  <c r="H469" i="19"/>
  <c r="H545" i="19"/>
  <c r="H436" i="19"/>
  <c r="H437" i="19"/>
  <c r="H73" i="19"/>
  <c r="H842" i="19"/>
  <c r="H922" i="19"/>
  <c r="H832" i="19"/>
  <c r="H975" i="19"/>
  <c r="H894" i="19"/>
  <c r="H236" i="19"/>
  <c r="H763" i="19"/>
  <c r="H744" i="19"/>
  <c r="H61" i="19"/>
  <c r="H353" i="19"/>
  <c r="H56" i="19"/>
  <c r="H107" i="19"/>
  <c r="H712" i="19"/>
  <c r="H441" i="19"/>
  <c r="H392" i="19"/>
  <c r="H857" i="19"/>
  <c r="H872" i="19"/>
  <c r="H88" i="19"/>
  <c r="H33" i="19"/>
  <c r="H508" i="19"/>
  <c r="H562" i="19"/>
  <c r="H668" i="19"/>
  <c r="H221" i="19"/>
  <c r="H613" i="19"/>
  <c r="H213" i="19"/>
  <c r="H48" i="19"/>
  <c r="H868" i="19"/>
  <c r="H151" i="19"/>
  <c r="H431" i="19"/>
  <c r="H993" i="19"/>
  <c r="H503" i="19"/>
  <c r="H504" i="19"/>
  <c r="H105" i="19"/>
  <c r="H320" i="19"/>
  <c r="H932" i="19"/>
  <c r="H615" i="19"/>
  <c r="H11" i="19"/>
  <c r="H432" i="19"/>
  <c r="H324" i="19"/>
  <c r="H834" i="19"/>
  <c r="H746" i="19"/>
  <c r="H953" i="19"/>
  <c r="H465" i="19"/>
  <c r="H838" i="19"/>
  <c r="H81" i="19"/>
  <c r="H833" i="19"/>
  <c r="H731" i="19"/>
  <c r="H310" i="19"/>
  <c r="H136" i="19"/>
  <c r="H329" i="19"/>
  <c r="H785" i="19"/>
  <c r="H600" i="19"/>
  <c r="H772" i="19"/>
  <c r="H478" i="19"/>
  <c r="H918" i="19"/>
  <c r="H648" i="19"/>
  <c r="H120" i="19"/>
  <c r="H861" i="19"/>
  <c r="H676" i="19"/>
  <c r="H163" i="19"/>
  <c r="H467" i="19"/>
  <c r="H393" i="19"/>
  <c r="H150" i="19"/>
  <c r="H701" i="19"/>
  <c r="H227" i="19"/>
  <c r="H228" i="19"/>
  <c r="H229" i="19"/>
  <c r="H632" i="19"/>
  <c r="H285" i="19"/>
  <c r="H893" i="19"/>
  <c r="H899" i="19"/>
  <c r="H456" i="19"/>
  <c r="H793" i="19"/>
  <c r="H928" i="19"/>
  <c r="H342" i="19"/>
  <c r="H121" i="19"/>
  <c r="H132" i="19"/>
  <c r="H759" i="19"/>
  <c r="H761" i="19"/>
  <c r="H344" i="19"/>
  <c r="H125" i="19"/>
  <c r="H614" i="19"/>
  <c r="H322" i="19"/>
  <c r="H5" i="19"/>
  <c r="H821" i="19"/>
  <c r="H946" i="19"/>
  <c r="H135" i="19"/>
  <c r="H534" i="19"/>
  <c r="H260" i="19"/>
  <c r="H982" i="19"/>
  <c r="H760" i="19"/>
  <c r="H594" i="19"/>
  <c r="H595" i="19"/>
  <c r="H398" i="19"/>
  <c r="H396" i="19"/>
  <c r="H484" i="19"/>
  <c r="H788" i="19"/>
  <c r="H119" i="19"/>
  <c r="H455" i="19"/>
  <c r="H523" i="19"/>
  <c r="H421" i="19"/>
  <c r="H362" i="19"/>
  <c r="H771" i="19"/>
  <c r="H848" i="19"/>
  <c r="H28" i="19"/>
  <c r="H542" i="19"/>
  <c r="H596" i="19"/>
  <c r="H307" i="19"/>
  <c r="H397" i="19"/>
  <c r="H204" i="19"/>
  <c r="H681" i="19"/>
  <c r="H869" i="19"/>
  <c r="H903" i="19"/>
  <c r="H895" i="19"/>
  <c r="H357" i="19"/>
  <c r="H856" i="19"/>
  <c r="H686" i="19"/>
  <c r="H96" i="19"/>
  <c r="H752" i="19"/>
  <c r="H326" i="19"/>
  <c r="H339" i="19"/>
  <c r="H750" i="19"/>
  <c r="H330" i="19"/>
  <c r="H547" i="19"/>
  <c r="H926" i="19"/>
  <c r="H6" i="19"/>
  <c r="H7" i="19"/>
  <c r="H64" i="19"/>
  <c r="H933" i="19"/>
  <c r="H476" i="19"/>
  <c r="H57" i="19"/>
  <c r="H694" i="19"/>
  <c r="H583" i="19"/>
  <c r="H80" i="19"/>
  <c r="H152" i="19"/>
  <c r="H627" i="19"/>
  <c r="H35" i="19"/>
  <c r="H779" i="19"/>
  <c r="H561" i="19"/>
  <c r="H331" i="19"/>
  <c r="H655" i="19"/>
  <c r="H718" i="19"/>
  <c r="H719" i="19"/>
  <c r="H720" i="19"/>
  <c r="H721" i="19"/>
  <c r="H722" i="19"/>
  <c r="H18" i="19"/>
  <c r="H902" i="19"/>
  <c r="H947" i="19"/>
  <c r="H847" i="19"/>
  <c r="H552" i="19"/>
  <c r="H725" i="19"/>
  <c r="H755" i="19"/>
  <c r="H225" i="19"/>
  <c r="H377" i="19"/>
  <c r="H66" i="19"/>
  <c r="H684" i="19"/>
  <c r="H246" i="19"/>
  <c r="H328" i="19"/>
  <c r="H702" i="19"/>
  <c r="H464" i="19"/>
  <c r="H31" i="19"/>
  <c r="H408" i="19"/>
  <c r="H810" i="19"/>
  <c r="H184" i="19"/>
  <c r="H185" i="19"/>
  <c r="H591" i="19"/>
  <c r="H965" i="19"/>
  <c r="H129" i="19"/>
  <c r="H555" i="19"/>
  <c r="H323" i="19"/>
  <c r="H51" i="19"/>
  <c r="H740" i="19"/>
  <c r="H106" i="19"/>
  <c r="H574" i="19"/>
  <c r="H782" i="19"/>
  <c r="H884" i="19"/>
  <c r="H224" i="19"/>
  <c r="H116" i="19"/>
  <c r="H930" i="19"/>
  <c r="H843" i="19"/>
  <c r="H160" i="19"/>
  <c r="H241" i="19"/>
  <c r="H380" i="19"/>
  <c r="H277" i="19"/>
  <c r="H216" i="19"/>
  <c r="H196" i="19"/>
  <c r="H873" i="19"/>
  <c r="H904" i="19"/>
  <c r="H316" i="19"/>
  <c r="H599" i="19"/>
  <c r="H395" i="19"/>
  <c r="H264" i="19"/>
  <c r="H620" i="19"/>
  <c r="H995" i="19"/>
  <c r="H674" i="19"/>
  <c r="H223" i="19"/>
  <c r="H278" i="19"/>
  <c r="H586" i="19"/>
  <c r="H829" i="19"/>
  <c r="H214" i="19"/>
  <c r="H996" i="19"/>
  <c r="H267" i="19"/>
  <c r="H215" i="19"/>
  <c r="H474" i="19"/>
  <c r="H905" i="19"/>
  <c r="H693" i="19"/>
  <c r="H501" i="19"/>
  <c r="H640" i="19"/>
  <c r="H71" i="19"/>
  <c r="H957" i="19"/>
  <c r="H704" i="19"/>
  <c r="H878" i="19"/>
  <c r="H65" i="19"/>
  <c r="H692" i="19"/>
  <c r="H93" i="19"/>
  <c r="H499" i="19"/>
  <c r="H994" i="19"/>
  <c r="H967" i="19"/>
  <c r="H297" i="19"/>
  <c r="H908" i="19"/>
  <c r="H300" i="19"/>
  <c r="H424" i="19"/>
  <c r="H332" i="19"/>
  <c r="H766" i="19"/>
  <c r="H199" i="19"/>
  <c r="H544" i="19"/>
  <c r="H366" i="19"/>
  <c r="H50" i="19"/>
  <c r="H708" i="19"/>
  <c r="H622" i="19"/>
  <c r="H153" i="19"/>
  <c r="H554" i="19"/>
  <c r="H663" i="19"/>
  <c r="H657" i="19"/>
  <c r="H289" i="19"/>
  <c r="H956" i="19"/>
  <c r="H479" i="19"/>
  <c r="H168" i="19"/>
  <c r="H679" i="19"/>
  <c r="H245" i="19"/>
  <c r="H303" i="19"/>
  <c r="H312" i="19"/>
  <c r="H550" i="19"/>
  <c r="H578" i="19"/>
  <c r="H76" i="19"/>
  <c r="H934" i="19"/>
  <c r="H774" i="19"/>
  <c r="H255" i="19"/>
  <c r="H208" i="19"/>
  <c r="H110" i="19"/>
  <c r="H494" i="19"/>
  <c r="H336" i="19"/>
  <c r="H239" i="19"/>
  <c r="H341" i="19"/>
  <c r="H764" i="19"/>
  <c r="H207" i="19"/>
  <c r="H717" i="19"/>
  <c r="H21" i="19"/>
  <c r="H891" i="19"/>
  <c r="H669" i="19"/>
  <c r="H711" i="19"/>
  <c r="H855" i="19"/>
  <c r="H921" i="19"/>
  <c r="H382" i="19"/>
  <c r="H383" i="19"/>
  <c r="H385" i="19"/>
  <c r="H888" i="19"/>
  <c r="H295" i="19"/>
  <c r="H282" i="19"/>
  <c r="H935" i="19"/>
  <c r="H369" i="19"/>
  <c r="H97" i="19"/>
  <c r="H459" i="19"/>
  <c r="H605" i="19"/>
  <c r="H854" i="19"/>
  <c r="H231" i="19"/>
  <c r="H786" i="19"/>
  <c r="H960" i="19"/>
  <c r="H321" i="19"/>
  <c r="H211" i="19"/>
  <c r="H912" i="19"/>
  <c r="H367" i="19"/>
  <c r="H987" i="19"/>
  <c r="H333" i="19"/>
  <c r="H971" i="19"/>
  <c r="H616" i="19"/>
  <c r="H617" i="19"/>
  <c r="H741" i="19"/>
  <c r="H169" i="19"/>
  <c r="H47" i="19"/>
  <c r="H804" i="19"/>
  <c r="H598" i="19"/>
  <c r="H867" i="19"/>
  <c r="H262" i="19"/>
  <c r="H531" i="19"/>
  <c r="H338" i="19"/>
  <c r="H370" i="19"/>
  <c r="H634" i="19"/>
  <c r="H524" i="19"/>
  <c r="H647" i="19"/>
  <c r="H978" i="19"/>
  <c r="H334" i="19"/>
  <c r="H931" i="19"/>
  <c r="H991" i="19"/>
  <c r="H732" i="19"/>
  <c r="H733" i="19"/>
  <c r="H356" i="19"/>
  <c r="H538" i="19"/>
  <c r="H765" i="19"/>
  <c r="H167" i="19"/>
  <c r="H846" i="19"/>
  <c r="H880" i="19"/>
  <c r="H585" i="19"/>
  <c r="H2" i="19"/>
  <c r="H232" i="19"/>
  <c r="H238" i="19"/>
  <c r="H914" i="19"/>
  <c r="H233" i="19"/>
  <c r="H411" i="19"/>
  <c r="H969" i="19"/>
  <c r="H532" i="19"/>
  <c r="H948" i="19"/>
  <c r="H495" i="19"/>
  <c r="H79" i="19"/>
  <c r="H368" i="19"/>
  <c r="H783" i="19"/>
  <c r="H319" i="19"/>
  <c r="H659" i="19"/>
  <c r="H730" i="19"/>
  <c r="H958" i="19"/>
  <c r="H592" i="19"/>
  <c r="H871" i="19"/>
  <c r="H633" i="19"/>
  <c r="H54" i="19"/>
  <c r="H889" i="19"/>
  <c r="H482" i="19"/>
  <c r="H67" i="19"/>
  <c r="H68" i="19"/>
  <c r="H796" i="19"/>
  <c r="H419" i="19"/>
  <c r="H988" i="19"/>
  <c r="H364" i="19"/>
  <c r="H413" i="19"/>
  <c r="H468" i="19"/>
  <c r="H723" i="19"/>
  <c r="H837" i="19"/>
  <c r="H386" i="19"/>
  <c r="H108" i="19"/>
  <c r="H906" i="19"/>
  <c r="H593" i="19"/>
  <c r="H83" i="19"/>
  <c r="H612" i="19"/>
  <c r="H354" i="19"/>
  <c r="H433" i="19"/>
  <c r="H401" i="19"/>
  <c r="H438" i="19"/>
  <c r="H379" i="19"/>
  <c r="H968" i="19"/>
  <c r="H565" i="19"/>
  <c r="H418" i="19"/>
  <c r="H808" i="19"/>
  <c r="H769" i="19"/>
  <c r="H149" i="19"/>
  <c r="H60" i="19"/>
  <c r="H915" i="19"/>
  <c r="H916" i="19"/>
  <c r="H727" i="19"/>
  <c r="H10" i="19"/>
  <c r="H990" i="19"/>
  <c r="H43" i="19"/>
  <c r="H639" i="19"/>
  <c r="H576" i="19"/>
  <c r="H683" i="19"/>
  <c r="H913" i="19"/>
  <c r="H672" i="19"/>
  <c r="H984" i="19"/>
  <c r="H823" i="19"/>
  <c r="H588" i="19"/>
  <c r="H728" i="19"/>
  <c r="H179" i="19"/>
  <c r="H758" i="19"/>
  <c r="H976" i="19"/>
  <c r="H697" i="19"/>
  <c r="H191" i="19"/>
  <c r="H378" i="19"/>
  <c r="H606" i="19"/>
  <c r="H569" i="19"/>
  <c r="H923" i="19"/>
  <c r="H799" i="19"/>
  <c r="H566" i="19"/>
  <c r="H962" i="19"/>
  <c r="H78" i="19"/>
  <c r="H784" i="19"/>
  <c r="H69" i="19"/>
  <c r="H882" i="19"/>
  <c r="H691" i="19"/>
  <c r="H696" i="19"/>
  <c r="H707" i="19"/>
  <c r="H811" i="19"/>
  <c r="H892" i="19"/>
  <c r="H20" i="19"/>
  <c r="H162" i="19"/>
  <c r="H825" i="19"/>
  <c r="H45" i="19"/>
  <c r="H72" i="19"/>
  <c r="H797" i="19"/>
  <c r="H133" i="19"/>
  <c r="H12" i="19"/>
  <c r="H62" i="19"/>
  <c r="H281" i="19"/>
  <c r="H247" i="19"/>
  <c r="H817" i="19"/>
  <c r="H535" i="19"/>
  <c r="H22" i="19"/>
  <c r="H27" i="19"/>
  <c r="H579" i="19"/>
  <c r="H831" i="19"/>
  <c r="H449" i="19"/>
  <c r="H415" i="19"/>
  <c r="H257" i="19"/>
  <c r="H389" i="19"/>
  <c r="H348" i="19"/>
  <c r="H23" i="19"/>
  <c r="H24" i="19"/>
  <c r="H25" i="19"/>
  <c r="H710" i="19"/>
  <c r="H896" i="19"/>
  <c r="H756" i="19"/>
  <c r="H549" i="19"/>
  <c r="H699" i="19"/>
  <c r="H375" i="19"/>
  <c r="H567" i="19"/>
  <c r="H103" i="19"/>
  <c r="H850" i="19"/>
  <c r="H127" i="19"/>
  <c r="H551" i="19"/>
  <c r="H943" i="19"/>
  <c r="H887" i="19"/>
  <c r="H355" i="19"/>
  <c r="H244" i="19"/>
  <c r="H434" i="19"/>
  <c r="H181" i="19"/>
  <c r="H650" i="19"/>
  <c r="H637" i="19"/>
  <c r="H30" i="19"/>
  <c r="H402" i="19"/>
  <c r="H403" i="19"/>
  <c r="H404" i="19"/>
  <c r="H405" i="19"/>
  <c r="H963" i="19"/>
  <c r="H279" i="19"/>
  <c r="H775" i="19"/>
  <c r="H444" i="19"/>
  <c r="H652" i="19"/>
  <c r="H159" i="19"/>
  <c r="H165" i="19"/>
  <c r="H175" i="19"/>
  <c r="H714" i="19"/>
  <c r="H781" i="19"/>
  <c r="H927" i="19"/>
  <c r="H202" i="19"/>
  <c r="H180" i="19"/>
  <c r="H543" i="19"/>
  <c r="H651" i="19"/>
  <c r="H628" i="19"/>
  <c r="H629" i="19"/>
  <c r="H949" i="19"/>
  <c r="H113" i="19"/>
  <c r="H337" i="19"/>
  <c r="H315" i="19"/>
  <c r="H970" i="19"/>
  <c r="H475" i="19"/>
  <c r="H587" i="19"/>
  <c r="H897" i="19"/>
  <c r="H298" i="19"/>
  <c r="H795" i="19"/>
  <c r="H709" i="19"/>
  <c r="H801" i="19"/>
  <c r="H572" i="19"/>
  <c r="H929" i="19"/>
  <c r="H653" i="19"/>
  <c r="H457" i="19"/>
  <c r="H49" i="19"/>
  <c r="H123" i="19"/>
  <c r="H559" i="19"/>
  <c r="H608" i="19"/>
  <c r="H998" i="19"/>
  <c r="H463" i="19"/>
  <c r="H445" i="19"/>
  <c r="H835" i="19"/>
  <c r="H288" i="19"/>
  <c r="H972" i="19"/>
  <c r="H117" i="19"/>
  <c r="H973" i="19"/>
  <c r="H729" i="19"/>
  <c r="H636" i="19"/>
  <c r="H416" i="19"/>
  <c r="H950" i="19"/>
  <c r="H626" i="19"/>
  <c r="H875" i="19"/>
  <c r="H203" i="19"/>
  <c r="H649" i="19"/>
  <c r="H553" i="19"/>
  <c r="H803" i="19"/>
  <c r="H440" i="19"/>
  <c r="H716" i="19"/>
  <c r="H138" i="19"/>
  <c r="H291" i="19"/>
  <c r="H3" i="19"/>
  <c r="H485" i="19"/>
  <c r="H82" i="19"/>
  <c r="H325" i="19"/>
  <c r="H205" i="19"/>
  <c r="H292" i="19"/>
  <c r="H293" i="19"/>
  <c r="H318" i="19"/>
  <c r="H451" i="19"/>
  <c r="H234" i="19"/>
  <c r="H631" i="19"/>
  <c r="H807" i="19"/>
  <c r="H780" i="19"/>
  <c r="H290" i="19"/>
  <c r="H939" i="19"/>
  <c r="H940" i="19"/>
  <c r="H809" i="19"/>
  <c r="H164" i="19"/>
  <c r="H836" i="19"/>
  <c r="H874" i="19"/>
  <c r="H818" i="19"/>
  <c r="H217" i="19"/>
  <c r="H1000" i="19"/>
  <c r="H91" i="19"/>
  <c r="H945" i="19"/>
  <c r="H250" i="19"/>
  <c r="H515" i="19"/>
  <c r="H509" i="19"/>
  <c r="H575" i="19"/>
  <c r="H220" i="19"/>
  <c r="H384" i="19"/>
  <c r="H251" i="19"/>
  <c r="H558" i="19"/>
  <c r="H126" i="19"/>
  <c r="H573" i="19"/>
  <c r="H34" i="19"/>
  <c r="H777" i="19"/>
  <c r="H87" i="19"/>
  <c r="H327" i="19"/>
  <c r="H294" i="19"/>
  <c r="H529" i="19"/>
  <c r="H966" i="19"/>
  <c r="H218" i="19"/>
  <c r="H581" i="19"/>
  <c r="H122" i="19"/>
  <c r="H52" i="19"/>
  <c r="H55" i="19"/>
  <c r="H910" i="19"/>
  <c r="H118" i="19"/>
  <c r="H423" i="19"/>
  <c r="H219" i="19"/>
  <c r="H862" i="19"/>
  <c r="H604" i="19"/>
  <c r="H789" i="19"/>
  <c r="H470" i="19"/>
  <c r="H983" i="19"/>
  <c r="H603" i="19"/>
  <c r="H230" i="19"/>
  <c r="H112" i="19"/>
  <c r="H724" i="19"/>
  <c r="H280" i="19"/>
  <c r="H429" i="19"/>
  <c r="H964" i="19"/>
  <c r="H154" i="19"/>
  <c r="H349" i="19"/>
  <c r="H350" i="19"/>
  <c r="H351" i="19"/>
  <c r="H352" i="19"/>
  <c r="H654" i="19"/>
  <c r="H390" i="19"/>
  <c r="H602" i="19"/>
  <c r="H311" i="19"/>
  <c r="H166" i="19"/>
  <c r="H109" i="19"/>
  <c r="H726" i="19"/>
  <c r="H510" i="19"/>
  <c r="H937" i="19"/>
  <c r="H989" i="19"/>
  <c r="H630" i="19"/>
  <c r="H240" i="19"/>
  <c r="H656" i="19"/>
  <c r="H266" i="19"/>
  <c r="H306" i="19"/>
  <c r="H75" i="19"/>
  <c r="H938" i="19"/>
  <c r="H188" i="19"/>
  <c r="H173" i="19"/>
  <c r="H399" i="19"/>
  <c r="H814" i="19"/>
  <c r="H39" i="19"/>
  <c r="H662" i="19"/>
  <c r="H666" i="19"/>
  <c r="H901" i="19"/>
  <c r="H985" i="19"/>
  <c r="H492" i="19"/>
  <c r="H286" i="19"/>
  <c r="H944" i="19"/>
  <c r="H63" i="19"/>
  <c r="H870" i="19"/>
  <c r="H237" i="19"/>
  <c r="H472" i="19"/>
  <c r="H473" i="19"/>
  <c r="H513" i="19"/>
  <c r="H739" i="19"/>
  <c r="H491" i="19"/>
  <c r="H359" i="19"/>
  <c r="H172" i="19"/>
  <c r="H387" i="19"/>
  <c r="H584" i="19"/>
  <c r="H443" i="19"/>
  <c r="H452" i="19"/>
  <c r="H917" i="19"/>
  <c r="H381" i="19"/>
  <c r="H183" i="19"/>
  <c r="H680" i="19"/>
  <c r="H19" i="19"/>
  <c r="H58" i="19"/>
  <c r="H734" i="19"/>
  <c r="H580" i="19"/>
  <c r="H924" i="19"/>
  <c r="H102" i="19"/>
  <c r="H511" i="19"/>
  <c r="H268" i="19"/>
  <c r="H980" i="19"/>
  <c r="H556" i="19"/>
  <c r="H284" i="19"/>
  <c r="H374" i="19"/>
  <c r="H520" i="19"/>
  <c r="H46" i="19"/>
  <c r="H317" i="19"/>
  <c r="H830" i="19"/>
  <c r="H258" i="19"/>
  <c r="H526" i="19"/>
  <c r="H705" i="19"/>
  <c r="H521" i="19"/>
  <c r="H757" i="19"/>
  <c r="H94" i="19"/>
  <c r="H715" i="19"/>
  <c r="H961" i="19"/>
  <c r="H299" i="19"/>
  <c r="H530" i="19"/>
  <c r="H864" i="19"/>
  <c r="H95" i="19"/>
  <c r="H736" i="19"/>
  <c r="H866" i="19"/>
  <c r="H619" i="19"/>
  <c r="H898" i="19"/>
  <c r="H852" i="19"/>
  <c r="H876" i="19"/>
  <c r="H840" i="19"/>
  <c r="H42" i="19"/>
  <c r="H400" i="19"/>
  <c r="H518" i="19"/>
  <c r="H977" i="19"/>
  <c r="H253" i="19"/>
  <c r="H414" i="19"/>
  <c r="H812" i="19"/>
  <c r="H738" i="19"/>
  <c r="H454" i="19"/>
  <c r="H391" i="19"/>
  <c r="H735" i="19"/>
  <c r="H242" i="19"/>
  <c r="H272" i="19"/>
  <c r="H820" i="19"/>
  <c r="H822" i="19"/>
  <c r="H853" i="19"/>
  <c r="H53" i="19"/>
  <c r="H597" i="19"/>
  <c r="H486" i="19"/>
  <c r="H406" i="19"/>
  <c r="H32" i="19"/>
  <c r="H90" i="19"/>
  <c r="H498" i="19"/>
  <c r="H161" i="19"/>
  <c r="H713" i="19"/>
  <c r="H519" i="19"/>
  <c r="H540" i="19"/>
  <c r="H624" i="19"/>
  <c r="H806" i="19"/>
  <c r="H919" i="19"/>
  <c r="H844" i="19"/>
  <c r="H528" i="19"/>
  <c r="H460" i="19"/>
  <c r="H909" i="19"/>
  <c r="H358" i="19"/>
  <c r="H671" i="19"/>
  <c r="H442" i="19"/>
  <c r="H955" i="19"/>
  <c r="H137" i="19"/>
  <c r="H883" i="19"/>
  <c r="H517" i="19"/>
  <c r="H372" i="19"/>
  <c r="H360" i="19"/>
  <c r="H305" i="19"/>
  <c r="H609" i="19"/>
  <c r="H249" i="19"/>
  <c r="H77" i="19"/>
  <c r="H201" i="19"/>
  <c r="H860" i="19"/>
  <c r="H845" i="19"/>
  <c r="H131" i="19"/>
  <c r="H791" i="19"/>
  <c r="H792" i="19"/>
  <c r="H373" i="19"/>
  <c r="H371" i="19"/>
  <c r="H248" i="19"/>
  <c r="H658" i="19"/>
  <c r="H900" i="19"/>
  <c r="H670" i="19"/>
  <c r="H44" i="19"/>
  <c r="H301" i="19"/>
  <c r="H813" i="19"/>
  <c r="H533" i="19"/>
  <c r="H490" i="19"/>
  <c r="H157" i="19"/>
  <c r="H941" i="19"/>
  <c r="H951" i="19"/>
  <c r="H577" i="19"/>
  <c r="H14" i="19"/>
  <c r="H195" i="19"/>
  <c r="H412" i="19"/>
  <c r="H439" i="19"/>
  <c r="H158" i="19"/>
  <c r="H114" i="19"/>
  <c r="H537" i="19"/>
  <c r="H742" i="19"/>
  <c r="H877" i="19"/>
  <c r="H546" i="19"/>
  <c r="H512" i="19"/>
  <c r="H618" i="19"/>
  <c r="H420" i="19"/>
  <c r="H986" i="19"/>
  <c r="H675" i="19"/>
  <c r="H502" i="19"/>
  <c r="H422" i="19"/>
  <c r="H410" i="19"/>
  <c r="H638" i="19"/>
  <c r="H134" i="19"/>
  <c r="H156" i="19"/>
  <c r="H254" i="19"/>
  <c r="H489" i="19"/>
  <c r="H189" i="19"/>
  <c r="H548" i="19"/>
  <c r="H570" i="19"/>
  <c r="H37" i="19"/>
  <c r="H178" i="19"/>
  <c r="H26" i="19"/>
  <c r="H146" i="19"/>
  <c r="H147" i="19"/>
  <c r="H222" i="19"/>
  <c r="H879" i="19"/>
  <c r="H589" i="19"/>
  <c r="H661" i="19"/>
  <c r="H99" i="19"/>
  <c r="H36" i="19"/>
  <c r="H155" i="19"/>
  <c r="H340" i="19"/>
  <c r="H335" i="19"/>
  <c r="H621" i="19"/>
  <c r="H920" i="19"/>
  <c r="H235" i="19"/>
  <c r="H747" i="19"/>
  <c r="H541" i="19"/>
  <c r="H462" i="19"/>
  <c r="H13" i="19"/>
  <c r="H458" i="19"/>
  <c r="H446" i="19"/>
  <c r="H447" i="19"/>
  <c r="H477" i="19"/>
  <c r="H590" i="19"/>
  <c r="H706" i="19"/>
  <c r="H568" i="19"/>
  <c r="H376" i="19"/>
  <c r="H38" i="19"/>
  <c r="H826" i="19"/>
  <c r="H687" i="19"/>
  <c r="H493" i="19"/>
  <c r="H936" i="19"/>
  <c r="H748" i="19"/>
  <c r="H259" i="19"/>
  <c r="H9" i="19"/>
  <c r="H703" i="19"/>
  <c r="H314" i="19"/>
  <c r="H695" i="19"/>
  <c r="H890" i="19"/>
  <c r="H505" i="19"/>
  <c r="H506" i="19"/>
  <c r="H773" i="19"/>
  <c r="H100" i="19"/>
  <c r="H623" i="19"/>
  <c r="H886" i="19"/>
  <c r="H274" i="19"/>
  <c r="H749" i="19"/>
  <c r="H522" i="19"/>
  <c r="H865" i="19"/>
  <c r="H805" i="19"/>
  <c r="H171" i="19"/>
  <c r="H743" i="19"/>
  <c r="H417" i="19"/>
  <c r="H667" i="19"/>
  <c r="H827" i="19"/>
  <c r="H689" i="19"/>
  <c r="H790" i="19"/>
  <c r="H104" i="19"/>
  <c r="H642" i="19"/>
  <c r="H29" i="19"/>
  <c r="H363" i="19"/>
  <c r="H778" i="19"/>
  <c r="H209" i="19"/>
  <c r="H690" i="19"/>
  <c r="H496" i="19"/>
  <c r="H753" i="19"/>
  <c r="H754" i="19"/>
  <c r="H997" i="19"/>
  <c r="H483" i="19"/>
  <c r="H148" i="19"/>
  <c r="H226" i="19"/>
  <c r="H128" i="19"/>
  <c r="H564" i="19"/>
  <c r="H601" i="19"/>
  <c r="H261" i="19"/>
  <c r="H448" i="19"/>
  <c r="H660" i="19"/>
  <c r="H557" i="19"/>
  <c r="H124" i="19"/>
  <c r="H849" i="19"/>
  <c r="H563" i="19"/>
  <c r="H174" i="19"/>
  <c r="H768" i="19"/>
  <c r="H798" i="19"/>
  <c r="H858" i="19"/>
  <c r="H271" i="19"/>
  <c r="H98" i="19"/>
  <c r="H839" i="19"/>
  <c r="H256" i="19"/>
  <c r="H270" i="19"/>
  <c r="H885" i="19"/>
  <c r="H308" i="19"/>
  <c r="H430" i="19"/>
  <c r="H111" i="19"/>
  <c r="H302" i="19"/>
  <c r="H252" i="19"/>
  <c r="H582" i="19"/>
  <c r="H907" i="19"/>
  <c r="H425" i="19"/>
  <c r="H130" i="19"/>
  <c r="H981" i="19"/>
  <c r="H682" i="19"/>
  <c r="H770" i="19"/>
  <c r="H677" i="19"/>
  <c r="H70" i="19"/>
  <c r="H480" i="19"/>
  <c r="H435" i="19"/>
  <c r="H193" i="19"/>
  <c r="H194" i="19"/>
  <c r="H787" i="19"/>
  <c r="H428" i="19"/>
  <c r="H688" i="19"/>
  <c r="H182" i="19"/>
  <c r="H409" i="19"/>
  <c r="H176" i="19"/>
  <c r="H269" i="19"/>
  <c r="H343" i="19"/>
  <c r="H287" i="19"/>
  <c r="H664" i="19"/>
  <c r="H497" i="19"/>
  <c r="H539" i="19"/>
  <c r="H635" i="19"/>
  <c r="H92" i="19"/>
  <c r="H141" i="19"/>
  <c r="H802" i="19"/>
  <c r="H678" i="19"/>
  <c r="H275" i="19"/>
  <c r="H276" i="19"/>
  <c r="H263" i="19"/>
  <c r="H979" i="19"/>
  <c r="H394" i="19"/>
  <c r="H450" i="19"/>
  <c r="H952" i="19"/>
  <c r="H84" i="19"/>
  <c r="H347" i="19"/>
  <c r="H487" i="19"/>
  <c r="H313" i="19"/>
  <c r="H819" i="19"/>
  <c r="H407" i="19"/>
  <c r="H427" i="19"/>
  <c r="H527" i="19"/>
  <c r="H466" i="19"/>
  <c r="H516" i="19"/>
  <c r="H140" i="19"/>
  <c r="H139" i="19"/>
  <c r="H142" i="19"/>
  <c r="H143" i="19"/>
  <c r="H144" i="19"/>
  <c r="H145" i="19"/>
  <c r="H816" i="19"/>
  <c r="H177" i="19"/>
  <c r="H365" i="19"/>
  <c r="H698" i="19"/>
  <c r="H992" i="19"/>
  <c r="H212" i="19"/>
  <c r="H525" i="19"/>
  <c r="H101" i="19"/>
  <c r="H999" i="19"/>
  <c r="H974" i="19"/>
  <c r="H190" i="19"/>
  <c r="H859" i="19"/>
  <c r="H745" i="19"/>
  <c r="H283" i="19"/>
  <c r="H186" i="19"/>
  <c r="H841" i="19"/>
  <c r="H210" i="19"/>
  <c r="H536" i="19"/>
  <c r="H625" i="19"/>
  <c r="H187" i="19"/>
  <c r="H500" i="19"/>
  <c r="H265" i="19"/>
  <c r="H192" i="19"/>
  <c r="H560" i="19"/>
  <c r="H346" i="19"/>
  <c r="H794" i="19"/>
  <c r="H571" i="19"/>
  <c r="H206" i="19"/>
  <c r="H611" i="19"/>
  <c r="H8" i="19"/>
  <c r="H453" i="19"/>
  <c r="H643" i="19"/>
  <c r="H644" i="19"/>
  <c r="H273" i="19"/>
  <c r="H641" i="19"/>
  <c r="H170" i="19"/>
  <c r="H507" i="19"/>
  <c r="H645" i="19"/>
  <c r="H646" i="19"/>
  <c r="H737" i="19"/>
  <c r="H954" i="19"/>
  <c r="H40" i="19"/>
  <c r="K24" i="28"/>
  <c r="N24" i="28"/>
  <c r="L23" i="28"/>
  <c r="J23" i="28"/>
  <c r="J28" i="2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<sst xmlns="http://schemas.openxmlformats.org/spreadsheetml/2006/main" count="14235" uniqueCount="6249">
  <si>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</si>
  <si>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</si>
  <si>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</si>
  <si>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</si>
  <si>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</si>
  <si>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</si>
  <si>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</si>
  <si>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</si>
  <si>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</si>
  <si>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</si>
  <si>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</si>
  <si>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</si>
  <si>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</si>
  <si>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</si>
  <si>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</si>
  <si>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</si>
  <si>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</si>
  <si>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</si>
  <si>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</si>
  <si>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</si>
  <si>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</si>
  <si>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</si>
  <si>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</si>
  <si>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</si>
  <si>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</si>
  <si>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</si>
  <si>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</si>
  <si>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</si>
  <si>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</si>
  <si>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</si>
  <si>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</si>
  <si>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</si>
  <si>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</si>
  <si>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</si>
  <si>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</si>
  <si>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</si>
  <si>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</si>
  <si>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</si>
  <si>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</si>
  <si>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</si>
  <si>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</si>
  <si>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</si>
  <si>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</si>
  <si>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</si>
  <si>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</si>
  <si>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</si>
  <si>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</si>
  <si>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</si>
  <si>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</si>
  <si>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</si>
  <si>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</si>
  <si>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</si>
  <si>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</si>
  <si>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</si>
  <si>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</si>
  <si>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</si>
  <si>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</si>
  <si>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</si>
  <si>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</si>
  <si>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</si>
  <si>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</si>
  <si>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</si>
  <si>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</si>
  <si>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</si>
  <si>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</si>
  <si>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</si>
  <si>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</si>
  <si>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</si>
  <si>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</si>
  <si>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</si>
  <si>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</si>
  <si>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</si>
  <si>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</si>
  <si>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</si>
  <si>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</si>
  <si>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</si>
  <si>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</si>
  <si>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</si>
  <si>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</si>
  <si>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</si>
  <si>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</si>
  <si>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</si>
  <si>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</si>
  <si>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</si>
  <si>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</si>
  <si>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</si>
  <si>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</si>
  <si>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</si>
  <si>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</si>
  <si>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</si>
  <si>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</si>
  <si>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</si>
  <si>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</si>
  <si>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</si>
  <si>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</si>
  <si>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</si>
  <si>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</si>
  <si>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</si>
  <si>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</si>
  <si>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</si>
  <si>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</si>
  <si>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</si>
  <si>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</si>
  <si>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</si>
  <si>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</si>
  <si>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</si>
  <si>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</si>
  <si>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</si>
  <si>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</si>
  <si>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</si>
  <si>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</si>
  <si>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</si>
  <si>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</si>
  <si>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</si>
  <si>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</si>
  <si>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</si>
  <si>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</si>
  <si>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</si>
  <si>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</si>
  <si>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</si>
  <si>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</si>
  <si>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</si>
  <si>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</si>
  <si>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</si>
  <si>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</si>
  <si>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</si>
  <si>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</si>
  <si>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</si>
  <si>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</si>
  <si>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</si>
  <si>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</si>
  <si>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</si>
  <si>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</si>
  <si>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</si>
  <si>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</si>
  <si>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</si>
  <si>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</si>
  <si>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</si>
  <si>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</si>
  <si>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</si>
  <si>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</si>
  <si>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</si>
  <si>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</si>
  <si>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</si>
  <si>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</si>
  <si>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</si>
  <si>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</si>
  <si>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</si>
  <si>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</si>
  <si>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</si>
  <si>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</si>
  <si>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</si>
  <si>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</si>
  <si>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</si>
  <si>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</si>
  <si>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</si>
  <si>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</si>
  <si>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</si>
  <si>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</si>
  <si>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</si>
  <si>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</si>
  <si>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</si>
  <si>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</si>
  <si>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</si>
  <si>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</si>
  <si>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</si>
  <si>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</si>
  <si>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</si>
  <si>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</si>
  <si>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</si>
  <si>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</si>
  <si>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</si>
  <si>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</si>
  <si>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</si>
  <si>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</si>
  <si>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</si>
  <si>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</si>
  <si>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</si>
  <si>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</si>
  <si>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</si>
  <si>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</si>
  <si>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</si>
  <si>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</si>
  <si>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</si>
  <si>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</si>
  <si>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</si>
  <si>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</si>
  <si>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</si>
  <si>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</si>
  <si>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</si>
  <si>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</si>
  <si>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</si>
  <si>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</si>
  <si>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</si>
  <si>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</si>
  <si>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</si>
  <si>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</si>
  <si>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</si>
  <si>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</si>
  <si>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</si>
  <si>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</si>
  <si>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</si>
  <si>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</si>
  <si>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</si>
  <si>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</si>
  <si>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</si>
  <si>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</si>
  <si>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</si>
  <si>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</si>
  <si>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</si>
  <si>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</si>
  <si>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</si>
  <si>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</si>
  <si>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</si>
  <si>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</si>
  <si>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</si>
  <si>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</si>
  <si>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</si>
  <si>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</si>
  <si>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</si>
  <si>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</si>
  <si>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</si>
  <si>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</si>
  <si>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</si>
  <si>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</si>
  <si>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</si>
  <si>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</si>
  <si>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</si>
  <si>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</si>
  <si>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</si>
  <si>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</si>
  <si>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</si>
  <si>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</si>
  <si>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</si>
  <si>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</si>
  <si>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</si>
  <si>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</si>
  <si>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</si>
  <si>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</si>
  <si>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</si>
  <si>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</si>
  <si>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</si>
  <si>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</si>
  <si>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</si>
  <si>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</si>
  <si>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</si>
  <si>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</si>
  <si>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</si>
  <si>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</si>
  <si>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</si>
  <si>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</si>
  <si>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</si>
  <si>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</si>
  <si>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</si>
  <si>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</si>
  <si>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</si>
  <si>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</si>
  <si>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</si>
  <si>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</si>
  <si>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</si>
  <si>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</si>
  <si>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</si>
  <si>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</si>
  <si>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</si>
  <si>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</si>
  <si>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</si>
  <si>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</si>
  <si>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</si>
  <si>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</si>
  <si>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</si>
  <si>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</si>
  <si>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</si>
  <si>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</si>
  <si>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</si>
  <si>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</si>
  <si>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</si>
  <si>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</si>
  <si>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</si>
  <si>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</si>
  <si>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</si>
  <si>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</si>
  <si>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</si>
  <si>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</si>
  <si>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</si>
  <si>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</si>
  <si>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</si>
  <si>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</si>
  <si>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</si>
  <si>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</si>
  <si>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</si>
  <si>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</si>
  <si>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</si>
  <si>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</si>
  <si>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</si>
  <si>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</si>
  <si>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</si>
  <si>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</si>
  <si>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</si>
  <si>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</si>
  <si>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</si>
  <si>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</si>
  <si>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</si>
  <si>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</si>
  <si>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</si>
  <si>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</si>
  <si>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</si>
  <si>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</si>
  <si>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</si>
  <si>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</si>
  <si>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</si>
  <si>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</si>
  <si>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</si>
  <si>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</si>
  <si>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</si>
  <si>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</si>
  <si>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</si>
  <si>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</si>
  <si>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</si>
  <si>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</si>
  <si>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</si>
  <si>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</si>
  <si>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</si>
  <si>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</si>
  <si>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</si>
  <si>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</si>
  <si>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</si>
  <si>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</si>
  <si>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</si>
  <si>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</si>
  <si>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</si>
  <si>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</si>
  <si>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</si>
  <si>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</si>
  <si>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</si>
  <si>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</si>
  <si>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</si>
  <si>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</si>
  <si>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</si>
  <si>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</si>
  <si>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</si>
  <si>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</si>
  <si>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</si>
  <si>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</si>
  <si>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</si>
  <si>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</si>
  <si>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</si>
  <si>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</si>
  <si>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</si>
  <si>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</si>
  <si>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</si>
  <si>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</si>
  <si>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</si>
  <si>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</si>
  <si>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</si>
  <si>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</si>
  <si>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</si>
  <si>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</si>
  <si>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</si>
  <si>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</si>
  <si>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</si>
  <si>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</si>
  <si>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</si>
  <si>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</si>
  <si>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</si>
  <si>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</si>
  <si>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</si>
  <si>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</si>
  <si>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</si>
  <si>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</si>
  <si>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</si>
  <si>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</si>
  <si>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</si>
  <si>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</si>
  <si>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</si>
  <si>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</si>
  <si>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</si>
  <si>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</si>
  <si>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</si>
  <si>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</si>
  <si>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</si>
  <si>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</si>
  <si>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</si>
  <si>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</si>
  <si>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</si>
  <si>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</si>
  <si>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</si>
  <si>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</si>
  <si>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</si>
  <si>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</si>
  <si>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</si>
  <si>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</si>
  <si>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</si>
  <si>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</si>
  <si>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</si>
  <si>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</si>
  <si>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</si>
  <si>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</si>
  <si>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</si>
  <si>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</si>
  <si>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</si>
  <si>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</si>
  <si>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</si>
  <si>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</si>
  <si>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</si>
  <si>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</si>
  <si>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</si>
  <si>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</si>
  <si>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</si>
  <si>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</si>
  <si>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</si>
  <si>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</si>
  <si>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</si>
  <si>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</si>
  <si>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</si>
  <si>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</si>
  <si>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</si>
  <si>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</si>
  <si>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</si>
  <si>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</si>
  <si>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</si>
  <si>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</si>
  <si>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</si>
  <si>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</si>
  <si>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</si>
  <si>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</si>
  <si>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</si>
  <si>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</si>
  <si>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</si>
  <si>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</si>
  <si>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</si>
  <si>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</si>
  <si>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</si>
  <si>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</si>
  <si>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</si>
  <si>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</si>
  <si>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</si>
  <si>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</si>
  <si>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</si>
  <si>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</si>
  <si>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</si>
  <si>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</si>
  <si>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</si>
  <si>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</si>
  <si>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</si>
  <si>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</si>
  <si>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</si>
  <si>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</si>
  <si>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</si>
  <si>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</si>
  <si>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</si>
  <si>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</si>
  <si>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</si>
  <si>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</si>
  <si>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</si>
  <si>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</si>
  <si>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</si>
  <si>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</si>
  <si>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</si>
  <si>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</si>
  <si>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</si>
  <si>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</si>
  <si>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</si>
  <si>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</si>
  <si>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</si>
  <si>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</si>
  <si>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</si>
  <si>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</si>
  <si>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</si>
  <si>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</si>
  <si>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</si>
  <si>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</si>
  <si>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</si>
  <si>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</si>
  <si>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</si>
  <si>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</si>
  <si>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</si>
  <si>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</si>
  <si>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</si>
  <si>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</si>
  <si>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</si>
  <si>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</si>
  <si>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</si>
  <si>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</si>
  <si>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</si>
  <si>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</si>
  <si>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</si>
  <si>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</si>
  <si>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</si>
  <si>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</si>
  <si>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</si>
  <si>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</si>
  <si>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</si>
  <si>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</si>
  <si>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</si>
  <si>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</si>
  <si>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</si>
  <si>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</si>
  <si>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</si>
  <si>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</si>
  <si>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</si>
  <si>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</si>
  <si>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</si>
  <si>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</si>
  <si>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</si>
  <si>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</si>
  <si>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</si>
  <si>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</si>
  <si>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</si>
  <si>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</si>
  <si>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</si>
  <si>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</si>
  <si>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</si>
  <si>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</si>
  <si>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</si>
  <si>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</si>
  <si>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</si>
  <si>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</si>
  <si>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</si>
  <si>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</si>
  <si>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</si>
  <si>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</si>
  <si>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</si>
  <si>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</si>
  <si>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</si>
  <si>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</si>
  <si>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</si>
  <si>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</si>
  <si>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</si>
  <si>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</si>
  <si>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</si>
  <si>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</si>
  <si>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</si>
  <si>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</si>
  <si>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</si>
  <si>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</si>
  <si>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</si>
  <si>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</si>
  <si>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</si>
  <si>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</si>
  <si>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</si>
  <si>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</si>
  <si>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</si>
  <si>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</si>
  <si>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</si>
  <si>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</si>
  <si>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</si>
  <si>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</si>
  <si>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</si>
  <si>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</si>
  <si>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</si>
  <si>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</si>
  <si>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</si>
  <si>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</si>
  <si>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</si>
  <si>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</si>
  <si>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</si>
  <si>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</si>
  <si>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</si>
  <si>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</si>
  <si>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</si>
  <si>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</si>
  <si>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</si>
  <si>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</si>
  <si>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</si>
  <si>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</si>
  <si>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</si>
  <si>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</si>
  <si>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</si>
  <si>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</si>
  <si>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</si>
  <si>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</si>
  <si>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</si>
  <si>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</si>
  <si>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</si>
  <si>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</si>
  <si>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</si>
  <si>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</si>
  <si>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</si>
  <si>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</si>
  <si>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</si>
  <si>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</si>
  <si>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</si>
  <si>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</si>
  <si>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</si>
  <si>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</si>
  <si>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</si>
  <si>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</si>
  <si>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</si>
  <si>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</si>
  <si>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</si>
  <si>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</si>
  <si>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</si>
  <si>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</si>
  <si>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</si>
  <si>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</si>
  <si>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</si>
  <si>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</si>
  <si>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</si>
  <si>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</si>
  <si>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</si>
  <si>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</si>
  <si>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</si>
  <si>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</si>
  <si>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</si>
  <si>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</si>
  <si>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</si>
  <si>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</si>
  <si>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</si>
  <si>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</si>
  <si>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</si>
  <si>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</si>
  <si>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</si>
  <si>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</si>
  <si>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</si>
  <si>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</si>
  <si>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</si>
  <si>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</si>
  <si>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</si>
  <si>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</si>
  <si>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</si>
  <si>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</si>
  <si>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</si>
  <si>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</si>
  <si>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</si>
  <si>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</si>
  <si>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</si>
  <si>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</si>
  <si>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</si>
  <si>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</si>
  <si>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</si>
  <si>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</si>
  <si>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</si>
  <si>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</si>
  <si>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</si>
  <si>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</si>
  <si>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</si>
  <si>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</si>
  <si>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</si>
  <si>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</si>
  <si>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</si>
  <si>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</si>
  <si>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</si>
  <si>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</si>
  <si>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</si>
  <si>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</si>
  <si>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</si>
  <si>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</si>
  <si>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</si>
  <si>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</si>
  <si>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</si>
  <si>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</si>
  <si>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</si>
  <si>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</si>
  <si>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</si>
  <si>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</si>
  <si>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</si>
  <si>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</si>
  <si>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</si>
  <si>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</si>
  <si>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</si>
  <si>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</si>
  <si>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</si>
  <si>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</si>
  <si>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</si>
  <si>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</si>
  <si>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</si>
  <si>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</si>
  <si>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</si>
  <si>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</si>
  <si>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</si>
  <si>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</si>
  <si>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</si>
  <si>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</si>
  <si>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</si>
  <si>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</si>
  <si>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</si>
  <si>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</si>
  <si>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</si>
  <si>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</si>
  <si>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</si>
  <si>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</si>
  <si>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</si>
  <si>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</si>
  <si>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</si>
  <si>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</si>
  <si>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</si>
  <si>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</si>
  <si>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</si>
  <si>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</si>
  <si>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</si>
  <si>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</si>
  <si>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</si>
  <si>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</si>
  <si>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</si>
  <si>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</si>
  <si>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</si>
  <si>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</si>
  <si>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</si>
  <si>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</si>
  <si>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</si>
  <si>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</si>
  <si>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</si>
  <si>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</si>
  <si>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</si>
  <si>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</si>
  <si>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</si>
  <si>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</si>
  <si>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</si>
  <si>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</si>
  <si>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</si>
  <si>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</si>
  <si>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</si>
  <si>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</si>
  <si>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</si>
  <si>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</si>
  <si>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</si>
  <si>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</si>
  <si>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</si>
  <si>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</si>
  <si>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</si>
  <si>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</si>
  <si>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</si>
  <si>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</si>
  <si>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</si>
  <si>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</si>
  <si>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</si>
  <si>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</si>
  <si>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</si>
  <si>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</si>
  <si>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</si>
  <si>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</si>
  <si>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</si>
  <si>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</si>
  <si>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</si>
  <si>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</si>
  <si>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</si>
  <si>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</si>
  <si>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</si>
  <si>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</si>
  <si>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</si>
  <si>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</si>
  <si>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</si>
  <si>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</si>
  <si>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</si>
  <si>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</si>
  <si>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</si>
  <si>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</si>
  <si>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</si>
  <si>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</si>
  <si>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</si>
  <si>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</si>
  <si>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</si>
  <si>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</si>
  <si>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</si>
  <si>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</si>
  <si>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</si>
  <si>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</si>
  <si>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</si>
  <si>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</si>
  <si>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</si>
  <si>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</si>
  <si>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</si>
  <si>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</si>
  <si>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</si>
  <si>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</si>
  <si>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</si>
  <si>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</si>
  <si>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</si>
  <si>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</si>
  <si>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</si>
  <si>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</si>
  <si>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</si>
  <si>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</si>
  <si>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</si>
  <si>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</si>
  <si>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</si>
  <si>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</si>
  <si>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</si>
  <si>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</si>
  <si>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</si>
  <si>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</si>
  <si>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</si>
  <si>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</si>
  <si>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</si>
  <si>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</si>
  <si>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</si>
  <si>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</si>
  <si>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</si>
  <si>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</si>
  <si>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</si>
  <si>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</si>
  <si>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</si>
  <si>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</si>
  <si>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</si>
  <si>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</si>
  <si>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</si>
  <si>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</si>
  <si>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</si>
  <si>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</si>
  <si>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</si>
  <si>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</si>
  <si>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</si>
  <si>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</si>
  <si>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</si>
  <si>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</si>
  <si>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</si>
  <si>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</si>
  <si>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</si>
  <si>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</si>
  <si>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</si>
  <si>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</si>
  <si>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</si>
  <si>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</si>
  <si>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</si>
  <si>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</si>
  <si>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</si>
  <si>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</si>
  <si>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</si>
  <si>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</si>
  <si>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</si>
  <si>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</si>
  <si>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</si>
  <si>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</si>
  <si>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</si>
  <si>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</si>
  <si>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</si>
  <si>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</si>
  <si>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</si>
  <si>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</si>
  <si>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</si>
  <si>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</si>
  <si>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</si>
  <si>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</si>
  <si>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</si>
  <si>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</si>
  <si>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</si>
  <si>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</si>
  <si>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</si>
  <si>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</si>
  <si>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</si>
  <si>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</si>
  <si>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</si>
  <si>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</si>
  <si>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</si>
  <si>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</si>
  <si>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</si>
  <si>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</si>
  <si>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</si>
  <si>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</si>
  <si>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</si>
  <si>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</si>
  <si>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</si>
  <si>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</si>
  <si>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</si>
  <si>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</si>
  <si>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</si>
  <si>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</si>
  <si>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</si>
  <si>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</si>
  <si>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</si>
  <si>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</si>
  <si>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</si>
  <si>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</si>
  <si>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</si>
  <si>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</si>
  <si>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</si>
  <si>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</si>
  <si>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</si>
  <si>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</si>
  <si>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</si>
  <si>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</si>
  <si>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</si>
  <si>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</si>
  <si>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</si>
  <si>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</si>
  <si>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</si>
  <si>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</si>
  <si>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</si>
  <si>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</si>
  <si>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</si>
  <si>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</si>
  <si>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</si>
  <si>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</si>
  <si>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</si>
  <si>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</si>
  <si>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</si>
  <si>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</si>
  <si>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</si>
  <si>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</si>
  <si>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</si>
  <si>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</si>
  <si>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</si>
  <si>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</si>
  <si>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</si>
  <si>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</si>
  <si>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</si>
  <si>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</si>
  <si>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</si>
  <si>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</si>
  <si>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</si>
  <si>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</si>
  <si>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</si>
  <si>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</si>
  <si>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</si>
  <si>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</si>
  <si>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</si>
  <si>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</si>
  <si>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</si>
  <si>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</si>
  <si>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</si>
  <si>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</si>
  <si>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</si>
  <si>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</si>
  <si>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</si>
  <si>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</si>
  <si>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</si>
  <si>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</si>
  <si>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</si>
  <si>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</si>
  <si>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</si>
  <si>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</si>
  <si>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</si>
  <si>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</si>
  <si>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</si>
  <si>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</si>
  <si>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</si>
  <si>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</si>
  <si>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</si>
  <si>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</si>
  <si>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</si>
  <si>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</si>
  <si>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</si>
  <si>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</si>
  <si>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</si>
  <si>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</si>
  <si>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</si>
  <si>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</si>
  <si>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</si>
  <si>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</si>
  <si>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</si>
  <si>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</si>
  <si>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</si>
  <si>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</si>
  <si>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</si>
  <si>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</si>
  <si>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</si>
  <si>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</si>
  <si>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</si>
  <si>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</si>
  <si>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</si>
  <si>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</si>
  <si>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</si>
  <si>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</si>
  <si>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</si>
  <si>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</si>
  <si>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</si>
  <si>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</si>
  <si>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</si>
  <si>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</si>
  <si>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</si>
  <si>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</si>
  <si>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</si>
  <si>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</si>
  <si>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</si>
  <si>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</si>
  <si>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</si>
  <si>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</si>
  <si>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</si>
  <si>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</si>
  <si>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</si>
  <si>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</si>
  <si>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</si>
  <si>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</si>
  <si>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</si>
  <si>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</si>
  <si>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</si>
  <si>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</si>
  <si>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</si>
  <si>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</si>
  <si>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</si>
  <si>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</si>
  <si>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</si>
  <si>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</si>
  <si>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</si>
  <si>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</si>
  <si>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</si>
  <si>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</si>
  <si>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</si>
  <si>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</si>
  <si>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</si>
  <si>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</si>
  <si>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</si>
  <si>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</si>
  <si>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</si>
  <si>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</si>
  <si>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</si>
  <si>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</si>
  <si>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</si>
  <si>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</si>
  <si>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</si>
  <si>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</si>
  <si>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</si>
  <si>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</si>
  <si>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</si>
  <si>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</si>
  <si>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</si>
  <si>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</si>
  <si>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</si>
  <si>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</si>
  <si>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</si>
  <si>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</si>
  <si>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</si>
  <si>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</si>
  <si>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</si>
  <si>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</si>
  <si>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</si>
  <si>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</si>
  <si>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</si>
  <si>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</si>
  <si>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</si>
  <si>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</si>
  <si>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</si>
  <si>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</si>
  <si>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</si>
  <si>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</si>
  <si>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</si>
  <si>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</si>
  <si>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</si>
  <si>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</si>
  <si>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</si>
  <si>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</si>
  <si>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</si>
  <si>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</si>
  <si>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</si>
  <si>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</si>
  <si>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</si>
  <si>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</si>
  <si>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</si>
  <si>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</si>
  <si>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</si>
  <si>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</si>
  <si>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</si>
  <si>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</si>
  <si>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</si>
  <si>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</si>
  <si>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</si>
  <si>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</si>
  <si>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</si>
  <si>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</si>
  <si>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</si>
  <si>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</si>
  <si>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</si>
  <si>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</si>
  <si>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</si>
  <si>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</si>
  <si>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</si>
  <si>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</si>
  <si>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</si>
  <si>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</si>
  <si>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</si>
  <si>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</si>
  <si>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</si>
  <si>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</si>
  <si>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</si>
  <si>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</si>
  <si>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</si>
  <si>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</si>
  <si>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</si>
  <si>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</si>
  <si>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</si>
  <si>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</si>
  <si>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</si>
  <si>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</si>
  <si>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</si>
  <si>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</si>
  <si>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</si>
  <si>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</si>
  <si>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</si>
  <si>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</si>
  <si>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</si>
  <si>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</si>
  <si>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</si>
  <si>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</si>
  <si>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</si>
  <si>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</si>
  <si>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</si>
  <si>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</si>
  <si>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</si>
  <si>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</si>
  <si>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</si>
  <si>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</si>
  <si>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</si>
  <si>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</si>
  <si>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</si>
  <si>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</si>
  <si>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</si>
  <si>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</si>
  <si>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</si>
  <si>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</si>
  <si>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</si>
  <si>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</si>
  <si>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</si>
  <si>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</si>
  <si>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</si>
  <si>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</si>
  <si>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</si>
  <si>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</si>
  <si>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</si>
  <si>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</si>
  <si>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</si>
  <si>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</si>
  <si>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</si>
  <si>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</si>
  <si>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</si>
  <si>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</si>
  <si>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</si>
  <si>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</si>
  <si>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</si>
  <si>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</si>
  <si>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</si>
  <si>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</si>
  <si>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</si>
  <si>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</si>
  <si>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</si>
  <si>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</si>
  <si>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</si>
  <si>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</si>
  <si>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</si>
  <si>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</si>
  <si>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</si>
  <si>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</si>
  <si>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</si>
  <si>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</si>
  <si>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</si>
  <si>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</si>
  <si>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</si>
  <si>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</si>
  <si>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</si>
  <si>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</si>
  <si>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</si>
  <si>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</si>
  <si>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</si>
  <si>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</si>
  <si>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</si>
  <si>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</si>
  <si>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</si>
  <si>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</si>
  <si>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</si>
  <si>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</si>
  <si>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</si>
  <si>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</si>
  <si>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</si>
  <si>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</si>
  <si>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</si>
  <si>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</si>
  <si>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</si>
  <si>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</si>
  <si>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</si>
  <si>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</si>
  <si>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</si>
  <si>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</si>
  <si>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</si>
  <si>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</si>
  <si>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</si>
  <si>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</si>
  <si>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</si>
  <si>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</si>
  <si>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</si>
  <si>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</si>
  <si>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</si>
  <si>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</si>
  <si>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</si>
  <si>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</si>
  <si>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</si>
  <si>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</si>
  <si>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</si>
  <si>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</si>
  <si>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</si>
  <si>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</si>
  <si>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</si>
  <si>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</si>
  <si>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</si>
  <si>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</si>
  <si>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</si>
  <si>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</si>
  <si>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</si>
  <si>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</si>
  <si>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</si>
  <si>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</si>
  <si>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</si>
  <si>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</si>
  <si>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</si>
  <si>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</si>
  <si>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</si>
  <si>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</si>
  <si>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</si>
  <si>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</si>
  <si>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</si>
  <si>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</si>
  <si>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</si>
  <si>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</si>
  <si>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</si>
  <si>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</si>
  <si>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</si>
  <si>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</si>
  <si>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</si>
  <si>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</si>
  <si>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</si>
  <si>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</si>
  <si>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</si>
  <si>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</si>
  <si>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</si>
  <si>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</si>
  <si>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</si>
  <si>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</si>
  <si>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</si>
  <si>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</si>
  <si>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</si>
  <si>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</si>
  <si>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</si>
  <si>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</si>
  <si>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</si>
  <si>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</si>
  <si>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</si>
  <si>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</si>
  <si>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</si>
  <si>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</si>
  <si>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</si>
  <si>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</si>
  <si>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</si>
  <si>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</si>
  <si>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</si>
  <si>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</si>
  <si>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</si>
  <si>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</si>
  <si>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</si>
  <si>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</si>
  <si>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</si>
  <si>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</si>
  <si>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</si>
  <si>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</si>
  <si>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</si>
  <si>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</si>
  <si>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</si>
  <si>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</si>
  <si>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</si>
  <si>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</si>
  <si>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</si>
  <si>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</si>
  <si>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</si>
  <si>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</si>
  <si>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</si>
  <si>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</si>
  <si>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</si>
  <si>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</si>
  <si>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</si>
  <si>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</si>
  <si>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</si>
  <si>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</si>
  <si>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</si>
  <si>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</si>
  <si>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</si>
  <si>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</si>
  <si>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</si>
  <si>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</si>
  <si>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</si>
  <si>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</si>
  <si>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</si>
  <si>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</si>
  <si>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</si>
  <si>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</si>
  <si>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</si>
  <si>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</si>
  <si>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</si>
  <si>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</si>
  <si>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</si>
  <si>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</si>
  <si>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</si>
  <si>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</si>
  <si>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</si>
  <si>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</si>
  <si>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</si>
  <si>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</si>
  <si>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</si>
  <si>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</si>
  <si>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</si>
  <si>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</si>
  <si>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</si>
  <si>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</si>
  <si>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</si>
  <si>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</si>
  <si>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</si>
  <si>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</si>
  <si>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</si>
  <si>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</si>
  <si>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</si>
  <si>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</si>
  <si>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</si>
  <si>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</si>
  <si>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</si>
  <si>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</si>
  <si>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</si>
  <si>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</si>
  <si>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</si>
  <si>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</si>
  <si>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</si>
  <si>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</si>
  <si>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</si>
  <si>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</si>
  <si>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</si>
  <si>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</si>
  <si>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</si>
  <si>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</si>
  <si>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</si>
  <si>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</si>
  <si>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</si>
  <si>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</si>
  <si>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</si>
  <si>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</si>
  <si>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</si>
  <si>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</si>
  <si>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</si>
  <si>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</si>
  <si>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</si>
  <si>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</si>
  <si>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</si>
  <si>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</si>
  <si>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</si>
  <si>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</si>
  <si>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</si>
  <si>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</si>
  <si>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</si>
  <si>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</si>
  <si>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</si>
  <si>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</si>
  <si>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</si>
  <si>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</si>
  <si>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</si>
  <si>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</si>
  <si>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</si>
  <si>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</si>
  <si>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</si>
  <si>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</si>
  <si>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</si>
  <si>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</si>
  <si>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</si>
  <si>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</si>
  <si>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</si>
  <si>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</si>
  <si>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</si>
  <si>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</si>
  <si>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</si>
  <si>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</si>
  <si>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</si>
  <si>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</si>
  <si>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</si>
  <si>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</si>
  <si>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</si>
  <si>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</si>
  <si>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</si>
  <si>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</si>
  <si>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</si>
  <si>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</si>
  <si>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</si>
  <si>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</si>
  <si>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</si>
  <si>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</si>
  <si>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</si>
  <si>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</si>
  <si>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</si>
  <si>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</si>
  <si>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</si>
  <si>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</si>
  <si>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</si>
  <si>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</si>
  <si>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</si>
  <si>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</si>
  <si>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</si>
  <si>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</si>
  <si>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</si>
  <si>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</si>
  <si>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</si>
  <si>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</si>
  <si>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</si>
  <si>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</si>
  <si>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</si>
  <si>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</si>
  <si>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</si>
  <si>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</si>
  <si>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</si>
  <si>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</si>
  <si>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</si>
  <si>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</si>
  <si>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</si>
  <si>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</si>
  <si>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</si>
  <si>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</si>
  <si>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</si>
  <si>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</si>
  <si>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</si>
  <si>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</si>
  <si>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</si>
  <si>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</si>
  <si>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</si>
  <si>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</si>
  <si>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</si>
  <si>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</si>
  <si>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</si>
  <si>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</si>
  <si>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</si>
  <si>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</si>
  <si>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</si>
  <si>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</si>
  <si>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</si>
  <si>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</si>
  <si>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</si>
  <si>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</si>
  <si>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</si>
  <si>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</si>
  <si>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</si>
  <si>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</si>
  <si>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</si>
  <si>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</si>
  <si>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</si>
  <si>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</si>
  <si>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</si>
  <si>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</si>
  <si>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</si>
  <si>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</si>
  <si>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</si>
  <si>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</si>
  <si>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</si>
  <si>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</si>
  <si>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</si>
  <si>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</si>
  <si>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</si>
  <si>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</si>
  <si>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</si>
  <si>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</si>
  <si>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</si>
  <si>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</si>
  <si>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</si>
  <si>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</si>
  <si>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</si>
  <si>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</si>
  <si>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</si>
  <si>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</si>
  <si>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</si>
  <si>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</si>
  <si>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</si>
  <si>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</si>
  <si>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</si>
  <si>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</si>
  <si>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</si>
  <si>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</si>
  <si>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</si>
  <si>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</si>
  <si>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</si>
  <si>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</si>
  <si>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</si>
  <si>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</si>
  <si>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</si>
  <si>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</si>
  <si>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</si>
  <si>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</si>
  <si>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</si>
  <si>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</si>
  <si>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</si>
  <si>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</si>
  <si>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</si>
  <si>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</si>
  <si>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</si>
  <si>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</si>
  <si>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</si>
  <si>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</si>
  <si>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</si>
  <si>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</si>
  <si>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</si>
  <si>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</si>
  <si>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</si>
  <si>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</si>
  <si>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</si>
  <si>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</si>
  <si>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</si>
  <si>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</si>
  <si>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</si>
  <si>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</si>
  <si>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</si>
  <si>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</si>
  <si>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</si>
  <si>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</si>
  <si>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</si>
  <si>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</si>
  <si>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</si>
  <si>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</si>
  <si>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</si>
  <si>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</si>
  <si>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</si>
  <si>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</si>
  <si>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</si>
  <si>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</si>
  <si>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</si>
  <si>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</si>
  <si>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</si>
  <si>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</si>
  <si>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</si>
  <si>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</si>
  <si>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</si>
  <si>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</si>
  <si>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</si>
  <si>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</si>
  <si>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</si>
  <si>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</si>
  <si>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</si>
  <si>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</si>
  <si>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</si>
  <si>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</si>
  <si>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</si>
  <si>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</si>
  <si>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</si>
  <si>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</si>
  <si>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</si>
  <si>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</si>
  <si>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</si>
  <si>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</si>
  <si>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</si>
  <si>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</si>
  <si>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</si>
  <si>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</si>
  <si>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</si>
  <si>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</si>
  <si>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</si>
  <si>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</si>
  <si>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</si>
  <si>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</si>
  <si>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</si>
  <si>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</si>
  <si>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</si>
  <si>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</si>
  <si>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</si>
  <si>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</si>
  <si>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</si>
  <si>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</si>
  <si>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</si>
  <si>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</si>
  <si>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</si>
  <si>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</si>
  <si>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</si>
  <si>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</si>
  <si>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</si>
  <si>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</si>
  <si>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</si>
  <si>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</si>
  <si>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</si>
  <si>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</si>
  <si>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</si>
  <si>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</si>
  <si>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</si>
  <si>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</si>
  <si>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</si>
  <si>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</si>
  <si>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</si>
  <si>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</si>
  <si>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</si>
  <si>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</si>
  <si>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</si>
  <si>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</si>
  <si>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</si>
  <si>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</si>
  <si>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</si>
  <si>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</si>
  <si>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</si>
  <si>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</si>
  <si>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</si>
  <si>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</si>
  <si>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</si>
  <si>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</si>
  <si>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</si>
  <si>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</si>
  <si>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</si>
  <si>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</si>
  <si>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</si>
  <si>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</si>
  <si>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</si>
  <si>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</si>
  <si>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</si>
  <si>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</si>
  <si>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</si>
  <si>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</si>
  <si>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</si>
  <si>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</si>
  <si>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</si>
  <si>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</si>
  <si>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</si>
  <si>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</si>
  <si>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</si>
  <si>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</si>
  <si>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</si>
  <si>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</si>
  <si>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</si>
  <si>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</si>
  <si>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</si>
  <si>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</si>
  <si>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</si>
  <si>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</si>
  <si>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</si>
  <si>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</si>
  <si>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</si>
  <si>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</si>
  <si>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</si>
  <si>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</si>
  <si>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</si>
  <si>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</si>
  <si>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</si>
  <si>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</si>
  <si>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</si>
  <si>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</si>
  <si>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</si>
  <si>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</si>
  <si>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</si>
  <si>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</si>
  <si>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</si>
  <si>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</si>
  <si>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</si>
  <si>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</si>
  <si>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</si>
  <si>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</si>
  <si>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</si>
  <si>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</si>
  <si>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</si>
  <si>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</si>
  <si>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</si>
  <si>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</si>
  <si>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</si>
  <si>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</si>
  <si>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</si>
  <si>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</si>
  <si>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</si>
  <si>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</si>
  <si>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</si>
  <si>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</si>
  <si>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</si>
  <si>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</si>
  <si>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</si>
  <si>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</si>
  <si>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</si>
  <si>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</si>
  <si>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</si>
  <si>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</si>
  <si>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</si>
  <si>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</si>
  <si>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</si>
  <si>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</si>
  <si>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</si>
  <si>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</si>
  <si>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</si>
  <si>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</si>
  <si>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</si>
  <si>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</si>
  <si>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</si>
  <si>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</si>
  <si>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</si>
  <si>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</si>
  <si>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</si>
  <si>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</si>
  <si>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</si>
  <si>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</si>
  <si>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</si>
  <si>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</si>
  <si>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</si>
  <si>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</si>
  <si>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</si>
  <si>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</si>
  <si>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</si>
  <si>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</si>
  <si>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</si>
  <si>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</si>
  <si>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</si>
  <si>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</si>
  <si>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</si>
  <si>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</si>
  <si>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</si>
  <si>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</si>
  <si>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</si>
  <si>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</si>
  <si>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</si>
  <si>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</si>
  <si>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</si>
  <si>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</si>
  <si>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</si>
  <si>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</si>
  <si>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</si>
  <si>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</si>
  <si>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</si>
  <si>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</si>
  <si>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</si>
  <si>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</si>
  <si>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</si>
  <si>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</si>
  <si>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</si>
  <si>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</si>
  <si>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</si>
  <si>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</si>
  <si>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</si>
  <si>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</si>
  <si>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</si>
  <si>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</si>
  <si>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</si>
  <si>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</si>
  <si>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</si>
  <si>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</si>
  <si>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</si>
  <si>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</si>
  <si>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</si>
  <si>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</si>
  <si>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</si>
  <si>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</si>
  <si>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</si>
  <si>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</si>
  <si>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</si>
  <si>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</si>
  <si>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</si>
  <si>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</si>
  <si>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</si>
  <si>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</si>
  <si>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</si>
  <si>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</si>
  <si>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</si>
  <si>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</si>
  <si>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</si>
  <si>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</si>
  <si>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</si>
  <si>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</si>
  <si>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</si>
  <si>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</si>
  <si>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</si>
  <si>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</si>
  <si>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</si>
  <si>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</si>
  <si>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</si>
  <si>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</si>
  <si>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</si>
  <si>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</si>
  <si>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</si>
  <si>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</si>
  <si>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</si>
  <si>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</si>
  <si>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</si>
  <si>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</si>
  <si>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</si>
  <si>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</si>
  <si>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</si>
  <si>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</si>
  <si>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</si>
  <si>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</si>
  <si>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</si>
  <si>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</si>
  <si>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</si>
  <si>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</si>
  <si>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</si>
  <si>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</si>
  <si>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</si>
  <si>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</si>
  <si>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</si>
  <si>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</si>
  <si>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</si>
  <si>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</si>
  <si>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</si>
  <si>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</si>
  <si>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</si>
  <si>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</si>
  <si>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</si>
  <si>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</si>
  <si>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</si>
  <si>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</si>
  <si>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</si>
  <si>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</si>
  <si>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</si>
  <si>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</si>
  <si>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</si>
  <si>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</si>
  <si>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</si>
  <si>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</si>
  <si>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</si>
  <si>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</si>
  <si>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</si>
  <si>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</si>
  <si>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</si>
  <si>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</si>
  <si>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</si>
  <si>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</si>
  <si>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</si>
  <si>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</si>
  <si>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</si>
  <si>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</si>
  <si>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</si>
  <si>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</si>
  <si>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</si>
  <si>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</si>
  <si>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</si>
  <si>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</si>
  <si>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</si>
  <si>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</si>
  <si>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</si>
  <si>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</si>
  <si>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</si>
  <si>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</si>
  <si>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</si>
  <si>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</si>
  <si>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</si>
  <si>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</si>
  <si>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</si>
  <si>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</si>
  <si>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</si>
  <si>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</si>
  <si>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</si>
  <si>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</si>
  <si>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</si>
  <si>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</si>
  <si>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</si>
  <si>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</si>
  <si>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</si>
  <si>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</si>
  <si>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</si>
  <si>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</si>
  <si>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</si>
  <si>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</si>
  <si>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</si>
  <si>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</si>
  <si>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</si>
  <si>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</si>
  <si>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</si>
  <si>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</si>
  <si>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</si>
  <si>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</si>
  <si>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</si>
  <si>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</si>
  <si>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</si>
  <si>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</si>
  <si>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</si>
  <si>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</si>
  <si>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</si>
  <si>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</si>
  <si>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</si>
  <si>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</si>
  <si>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</si>
  <si>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</si>
  <si>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</si>
  <si>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</si>
  <si>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</si>
  <si>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</si>
  <si>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</si>
  <si>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</si>
  <si>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</si>
  <si>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</si>
  <si>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</si>
  <si>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</si>
  <si>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</si>
  <si>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</si>
  <si>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</si>
  <si>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</si>
  <si>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</si>
  <si>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</si>
  <si>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</si>
  <si>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</si>
  <si>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</si>
  <si>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</si>
  <si>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</si>
  <si>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</si>
  <si>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</si>
  <si>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</si>
  <si>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</si>
  <si>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</si>
  <si>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</si>
  <si>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</si>
  <si>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</si>
  <si>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</si>
  <si>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</si>
  <si>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</si>
  <si>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</si>
  <si>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</si>
  <si>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</si>
  <si>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</si>
  <si>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</si>
  <si>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</si>
  <si>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</si>
  <si>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</si>
  <si>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</si>
  <si>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</si>
  <si>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</si>
  <si>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</si>
  <si>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</si>
  <si>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</si>
  <si>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</si>
  <si>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</si>
  <si>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</si>
  <si>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</si>
  <si>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</si>
  <si>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</si>
  <si>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</si>
  <si>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</si>
  <si>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</si>
  <si>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</si>
  <si>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</si>
  <si>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</si>
  <si>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</si>
  <si>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</si>
  <si>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</si>
  <si>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</si>
  <si>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</si>
  <si>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</si>
  <si>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</si>
  <si>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</si>
  <si>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</si>
  <si>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</si>
  <si>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</si>
  <si>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</si>
  <si>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</si>
  <si>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</si>
  <si>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</si>
  <si>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</si>
  <si>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</si>
  <si>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</si>
  <si>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</si>
  <si>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</si>
  <si>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</si>
  <si>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</si>
  <si>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</si>
  <si>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</si>
  <si>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</si>
  <si>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</si>
  <si>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</si>
  <si>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</si>
  <si>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</si>
  <si>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</si>
  <si>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</si>
  <si>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</si>
  <si>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</si>
  <si>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</si>
  <si>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</si>
  <si>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</si>
  <si>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</si>
  <si>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</si>
  <si>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</si>
  <si>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</si>
  <si>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</si>
  <si>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</si>
  <si>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</si>
  <si>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</si>
  <si>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</si>
  <si>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</si>
  <si>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</si>
  <si>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</si>
  <si>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</si>
  <si>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</si>
  <si>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</si>
  <si>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</si>
  <si>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</si>
  <si>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</si>
  <si>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</si>
  <si>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</si>
  <si>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</si>
  <si>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</si>
  <si>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</si>
  <si>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</si>
  <si>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</si>
  <si>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</si>
  <si>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</si>
  <si>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</si>
  <si>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</si>
  <si>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</si>
  <si>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</si>
  <si>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</si>
  <si>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</si>
  <si>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</si>
  <si>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</si>
  <si>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</si>
  <si>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</si>
  <si>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</si>
  <si>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</si>
  <si>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</si>
  <si>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</si>
  <si>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</si>
  <si>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</si>
  <si>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</si>
  <si>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</si>
  <si>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</si>
  <si>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</si>
  <si>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</si>
  <si>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</si>
  <si>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</si>
  <si>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</si>
  <si>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</si>
  <si>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</si>
  <si>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</si>
  <si>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</si>
  <si>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</si>
  <si>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</si>
  <si>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</si>
  <si>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</si>
  <si>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</si>
  <si>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</si>
  <si>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</si>
  <si>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</si>
  <si>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</si>
  <si>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</si>
  <si>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</si>
  <si>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</si>
  <si>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</si>
  <si>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</si>
  <si>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</si>
  <si>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</si>
  <si>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</si>
  <si>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</si>
  <si>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</si>
  <si>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</si>
  <si>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</si>
  <si>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</si>
  <si>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</si>
  <si>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</si>
  <si>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</si>
  <si>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</si>
  <si>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</si>
  <si>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</si>
  <si>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</si>
  <si>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</si>
  <si>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</si>
  <si>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</si>
  <si>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</si>
  <si>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</si>
  <si>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</si>
  <si>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</si>
  <si>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</si>
  <si>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</si>
  <si>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</si>
  <si>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</si>
  <si>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</si>
  <si>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</si>
  <si>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</si>
  <si>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</si>
  <si>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</si>
  <si>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</si>
  <si>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</si>
  <si>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</si>
  <si>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</si>
  <si>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</si>
  <si>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</si>
  <si>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</si>
  <si>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</si>
  <si>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</si>
  <si>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</si>
  <si>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</si>
  <si>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</si>
  <si>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</si>
  <si>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</si>
  <si>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</si>
  <si>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</si>
  <si>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</si>
  <si>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</si>
  <si>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</si>
  <si>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</si>
  <si>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</si>
  <si>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</si>
  <si>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</si>
  <si>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</si>
  <si>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</si>
  <si>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</si>
  <si>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</si>
  <si>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</si>
  <si>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</si>
  <si>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</si>
  <si>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</si>
  <si>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</si>
  <si>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</si>
  <si>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</si>
  <si>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</si>
  <si>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</si>
  <si>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</si>
  <si>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</si>
  <si>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</si>
  <si>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</si>
  <si>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</si>
  <si>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</si>
  <si>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</si>
  <si>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</si>
  <si>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</si>
  <si>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</si>
  <si>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</si>
  <si>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</si>
  <si>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</si>
  <si>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</si>
  <si>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</si>
  <si>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</si>
  <si>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</si>
  <si>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</si>
  <si>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</si>
  <si>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</si>
  <si>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</si>
  <si>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</si>
  <si>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</si>
  <si>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</si>
  <si>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</si>
  <si>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</si>
  <si>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</si>
  <si>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</si>
  <si>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</si>
  <si>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</si>
  <si>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</si>
  <si>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</si>
  <si>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</si>
  <si>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</si>
  <si>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</si>
  <si>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</si>
  <si>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</si>
  <si>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</si>
  <si>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</si>
  <si>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</si>
  <si>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</si>
  <si>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</si>
  <si>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</si>
  <si>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</si>
  <si>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</si>
  <si>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</si>
  <si>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</si>
  <si>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</si>
  <si>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</si>
  <si>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</si>
  <si>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</si>
  <si>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</si>
  <si>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</si>
  <si>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</si>
  <si>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</si>
  <si>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</si>
  <si>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</si>
  <si>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</si>
  <si>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</si>
  <si>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</si>
  <si>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</si>
  <si>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</si>
  <si>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</si>
  <si>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</si>
  <si>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</si>
  <si>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</si>
  <si>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</si>
  <si>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</si>
  <si>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</si>
  <si>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</si>
  <si>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</si>
  <si>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</si>
  <si>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</si>
  <si>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</si>
  <si>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</si>
  <si>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</si>
  <si>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</si>
  <si>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</si>
  <si>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</si>
  <si>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</si>
  <si>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</si>
  <si>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</si>
  <si>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</si>
  <si>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</si>
  <si>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</si>
  <si>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</si>
  <si>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</si>
  <si>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</si>
  <si>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</si>
  <si>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</si>
  <si>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</si>
  <si>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</si>
  <si>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</si>
  <si>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</si>
  <si>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</si>
  <si>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</si>
  <si>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</si>
  <si>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</si>
  <si>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</si>
  <si>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</si>
  <si>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</si>
  <si>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</si>
  <si>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</si>
  <si>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</si>
  <si>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</si>
  <si>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</si>
  <si>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</si>
  <si>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</si>
  <si>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</si>
  <si>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</si>
  <si>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</si>
  <si>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</si>
  <si>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</si>
  <si>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</si>
  <si>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</si>
  <si>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</si>
  <si>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</si>
  <si>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</si>
  <si>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</si>
  <si>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</si>
  <si>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</si>
  <si>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</si>
  <si>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</si>
  <si>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</si>
  <si>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</si>
  <si>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</si>
  <si>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</si>
  <si>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</si>
  <si>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</si>
  <si>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</si>
  <si>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</si>
  <si>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</si>
  <si>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</si>
  <si>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</si>
  <si>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</si>
  <si>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</si>
  <si>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</si>
  <si>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</si>
  <si>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</si>
  <si>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</si>
  <si>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</si>
  <si>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</si>
  <si>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</si>
  <si>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</si>
  <si>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</si>
  <si>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</si>
  <si>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</si>
  <si>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</si>
  <si>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</si>
  <si>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</si>
  <si>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</si>
  <si>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</si>
  <si>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</si>
  <si>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</si>
  <si>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</si>
  <si>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</si>
  <si>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</si>
  <si>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</si>
  <si>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</si>
  <si>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</si>
  <si>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</si>
  <si>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</si>
  <si>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</si>
  <si>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</si>
  <si>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</si>
  <si>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</si>
  <si>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</si>
  <si>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</si>
  <si>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</si>
  <si>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</si>
  <si>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</si>
  <si>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</si>
  <si>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</si>
  <si>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</si>
  <si>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</si>
  <si>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</si>
  <si>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</si>
  <si>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</si>
  <si>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</si>
  <si>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</si>
  <si>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</si>
  <si>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</si>
  <si>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</si>
  <si>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</si>
  <si>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</si>
  <si>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</si>
  <si>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</si>
  <si>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</si>
  <si>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</si>
  <si>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</si>
  <si>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</si>
  <si>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</si>
  <si>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</si>
  <si>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</si>
  <si>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</si>
  <si>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</si>
  <si>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</si>
  <si>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</si>
  <si>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</si>
  <si>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</si>
  <si>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</si>
  <si>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</si>
  <si>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</si>
  <si>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</si>
  <si>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</si>
  <si>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</si>
  <si>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</si>
  <si>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</si>
  <si>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</si>
  <si>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</si>
  <si>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</si>
  <si>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</si>
  <si>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</si>
  <si>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</si>
  <si>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</si>
  <si>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</si>
  <si>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</si>
  <si>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</si>
  <si>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</si>
  <si>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</si>
  <si>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</si>
  <si>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</si>
  <si>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</si>
  <si>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</si>
  <si>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</si>
  <si>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</si>
  <si>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</si>
  <si>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</si>
  <si>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</si>
  <si>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</si>
  <si>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</si>
  <si>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</si>
  <si>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</si>
  <si>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</si>
  <si>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</si>
  <si>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</si>
  <si>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</si>
  <si>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</si>
  <si>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</si>
  <si>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</si>
  <si>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</si>
  <si>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</si>
  <si>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</si>
  <si>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</si>
  <si>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</si>
  <si>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</si>
  <si>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</si>
  <si>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</si>
  <si>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</si>
  <si>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</si>
  <si>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</si>
  <si>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</si>
  <si>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</si>
  <si>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</si>
  <si>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</si>
  <si>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</si>
  <si>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</si>
  <si>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</si>
  <si>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</si>
  <si>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</si>
  <si>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</si>
  <si>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</si>
  <si>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</si>
  <si>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</si>
  <si>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</si>
  <si>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</si>
  <si>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</si>
  <si>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</si>
  <si>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</si>
  <si>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</si>
  <si>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</si>
  <si>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</si>
  <si>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</si>
  <si>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</si>
  <si>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</si>
  <si>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</si>
  <si>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</si>
  <si>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</si>
  <si>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</si>
  <si>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</si>
  <si>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</si>
  <si>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</si>
  <si>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</si>
  <si>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</si>
  <si>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</si>
  <si>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</si>
  <si>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</si>
  <si>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</si>
  <si>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</si>
  <si>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</si>
  <si>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</si>
  <si>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</si>
  <si>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</si>
  <si>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</si>
  <si>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</si>
  <si>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</si>
  <si>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</si>
  <si>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</si>
  <si>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</si>
  <si>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</si>
  <si>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</si>
  <si>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</si>
  <si>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</si>
  <si>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</si>
  <si>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</si>
  <si>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</si>
  <si>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</si>
  <si>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</si>
  <si>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</si>
  <si>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</si>
  <si>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</si>
  <si>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</si>
  <si>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</si>
  <si>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</si>
  <si>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</si>
  <si>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</si>
  <si>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</si>
  <si>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</si>
  <si>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</si>
  <si>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</si>
  <si>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</si>
  <si>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</si>
  <si>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</si>
  <si>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</si>
  <si>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</si>
  <si>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</si>
  <si>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</si>
  <si>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</si>
  <si>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</si>
  <si>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</si>
  <si>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</si>
  <si>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</si>
  <si>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</si>
  <si>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</si>
  <si>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</si>
  <si>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</si>
  <si>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</si>
  <si>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</si>
  <si>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</si>
  <si>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</si>
  <si>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</si>
  <si>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</si>
  <si>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</si>
  <si>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</si>
  <si>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</si>
  <si>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</si>
  <si>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</si>
  <si>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</si>
  <si>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</si>
  <si>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</si>
  <si>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</si>
  <si>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</si>
  <si>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</si>
  <si>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</si>
  <si>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</si>
  <si>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</si>
  <si>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</si>
  <si>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</si>
  <si>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</si>
  <si>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</si>
  <si>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</si>
  <si>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</si>
  <si>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</si>
  <si>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</si>
  <si>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</si>
  <si>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</si>
  <si>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</si>
  <si>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</si>
  <si>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</si>
  <si>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</si>
  <si>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</si>
  <si>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</si>
  <si>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</si>
  <si>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</si>
  <si>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</si>
  <si>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</si>
  <si>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</si>
  <si>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</si>
  <si>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</si>
  <si>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</si>
  <si>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</si>
  <si>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</si>
  <si>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</si>
  <si>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</si>
  <si>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</si>
  <si>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</si>
  <si>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</si>
  <si>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</si>
  <si>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</si>
  <si>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</si>
  <si>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</si>
  <si>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</si>
  <si>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</si>
  <si>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</si>
  <si>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</si>
  <si>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</si>
  <si>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</si>
  <si>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</si>
  <si>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</si>
  <si>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</si>
  <si>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</si>
  <si>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</si>
  <si>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</si>
  <si>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</si>
  <si>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</si>
  <si>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</si>
  <si>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</si>
  <si>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</si>
  <si>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</si>
  <si>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</si>
  <si>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</si>
  <si>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</si>
  <si>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</si>
  <si>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</si>
  <si>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</si>
  <si>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</si>
  <si>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</si>
  <si>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</si>
  <si>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</si>
  <si>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</si>
  <si>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</si>
  <si>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</si>
  <si>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</si>
  <si>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</si>
  <si>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</si>
  <si>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</si>
  <si>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</si>
  <si>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</si>
  <si>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</si>
  <si>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</si>
  <si>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</si>
  <si>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</si>
  <si>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</si>
  <si>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</si>
  <si>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</si>
  <si>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</si>
  <si>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</si>
  <si>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</si>
  <si>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</si>
  <si>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</si>
  <si>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</si>
  <si>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</si>
  <si>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</si>
  <si>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</si>
  <si>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</si>
  <si>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</si>
  <si>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</si>
  <si>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</si>
  <si>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</si>
  <si>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</si>
  <si>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</si>
  <si>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</si>
  <si>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</si>
  <si>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</si>
  <si>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</si>
  <si>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</si>
  <si>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</si>
  <si>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</si>
  <si>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</si>
  <si>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</si>
  <si>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</si>
  <si>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</si>
  <si>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</si>
  <si>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</si>
  <si>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</si>
  <si>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</si>
  <si>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</si>
  <si>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</si>
  <si>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</si>
  <si>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</si>
  <si>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</si>
  <si>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</si>
  <si>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</si>
  <si>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</si>
  <si>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</si>
  <si>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</si>
  <si>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</si>
  <si>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</si>
  <si>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</si>
  <si>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</si>
  <si>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</si>
  <si>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</si>
  <si>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</si>
  <si>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</si>
  <si>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</si>
  <si>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</si>
  <si>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</si>
  <si>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</si>
  <si>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</si>
  <si>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</si>
  <si>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</si>
  <si>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</si>
  <si>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</si>
  <si>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</si>
  <si>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</si>
  <si>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</si>
  <si>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</si>
  <si>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</si>
  <si>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</si>
  <si>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</si>
  <si>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</si>
  <si>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</si>
  <si>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</si>
  <si>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</si>
  <si>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</si>
  <si>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</si>
  <si>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</si>
  <si>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</si>
  <si>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</si>
  <si>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</si>
  <si>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</si>
  <si>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</si>
  <si>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</si>
  <si>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</si>
  <si>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</si>
  <si>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</si>
  <si>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</si>
  <si>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</si>
  <si>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</si>
  <si>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</si>
  <si>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</si>
  <si>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</si>
  <si>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</si>
  <si>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</si>
  <si>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</si>
  <si>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</si>
  <si>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</si>
  <si>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</si>
  <si>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</si>
  <si>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</si>
  <si>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</si>
  <si>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</si>
  <si>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</si>
  <si>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</si>
  <si>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</si>
  <si>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</si>
  <si>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</si>
  <si>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</si>
  <si>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</si>
  <si>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</si>
  <si>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</si>
  <si>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</si>
  <si>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</si>
  <si>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</si>
  <si>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</si>
  <si>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</si>
  <si>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</si>
  <si>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</si>
  <si>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</si>
  <si>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</si>
  <si>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</si>
  <si>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</si>
  <si>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</si>
  <si>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</si>
  <si>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</si>
  <si>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</si>
  <si>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</si>
  <si>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</si>
  <si>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</si>
  <si>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</si>
  <si>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</si>
  <si>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</si>
  <si>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</si>
  <si>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</si>
  <si>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</si>
  <si>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</si>
  <si>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</si>
  <si>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</si>
  <si>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</si>
  <si>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</si>
  <si>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</si>
  <si>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</si>
  <si>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</si>
  <si>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</si>
  <si>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</si>
  <si>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</si>
  <si>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</si>
  <si>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</si>
  <si>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</si>
  <si>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</si>
  <si>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</si>
  <si>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</si>
  <si>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</si>
  <si>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</si>
  <si>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</si>
  <si>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</si>
  <si>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</si>
  <si>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</si>
  <si>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</si>
  <si>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</si>
  <si>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</si>
  <si>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</si>
  <si>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</si>
  <si>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</si>
  <si>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</si>
  <si>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</si>
  <si>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</si>
  <si>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</si>
  <si>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</si>
  <si>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</si>
  <si>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</si>
  <si>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</si>
  <si>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</si>
  <si>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</si>
  <si>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</si>
  <si>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</si>
  <si>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</si>
  <si>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</si>
  <si>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</si>
  <si>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</si>
  <si>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</si>
  <si>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</si>
  <si>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</si>
  <si>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</si>
  <si>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</si>
  <si>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</si>
  <si>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</si>
  <si>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</si>
  <si>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</si>
  <si>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</si>
  <si>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</si>
  <si>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</si>
  <si>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</si>
  <si>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</si>
  <si>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</si>
  <si>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</si>
  <si>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</si>
  <si>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</si>
  <si>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</si>
  <si>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</si>
  <si>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</si>
  <si>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</si>
  <si>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</si>
  <si>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</si>
  <si>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</si>
  <si>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</si>
  <si>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</si>
  <si>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</si>
  <si>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</si>
  <si>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</si>
  <si>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</si>
  <si>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</si>
  <si>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</si>
  <si>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</si>
  <si>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</si>
  <si>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</si>
  <si>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</si>
  <si>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</si>
  <si>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</si>
  <si>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</si>
  <si>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</si>
  <si>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</si>
  <si>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</si>
  <si>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</si>
  <si>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</si>
  <si>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</si>
  <si>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</si>
  <si>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</si>
  <si>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</si>
  <si>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</si>
  <si>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</si>
  <si>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</si>
  <si>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</si>
  <si>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</si>
  <si>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</si>
  <si>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</si>
  <si>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</si>
  <si>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</si>
  <si>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</si>
  <si>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</si>
  <si>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</si>
  <si>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</si>
  <si>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</si>
  <si>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</si>
  <si>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</si>
  <si>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</si>
  <si>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</si>
  <si>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</si>
  <si>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</si>
  <si>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</si>
  <si>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</si>
  <si>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</si>
  <si>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</si>
  <si>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</si>
  <si>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</si>
  <si>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</si>
  <si>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</si>
  <si>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</si>
  <si>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</si>
  <si>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</si>
  <si>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</si>
  <si>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</si>
  <si>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</si>
  <si>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</si>
  <si>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</si>
  <si>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</si>
  <si>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</si>
  <si>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</si>
  <si>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</si>
  <si>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</si>
  <si>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</si>
  <si>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</si>
  <si>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</si>
  <si>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</si>
  <si>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</si>
  <si>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</si>
  <si>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</si>
  <si>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</si>
  <si>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</si>
  <si>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</si>
  <si>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</si>
  <si>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</si>
  <si>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</si>
  <si>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</si>
  <si>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</si>
  <si>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</si>
  <si>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</si>
  <si>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</si>
  <si>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</si>
  <si>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</si>
  <si>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</si>
  <si>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</si>
  <si>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</si>
  <si>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</si>
  <si>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</si>
  <si>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</si>
  <si>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</si>
  <si>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</si>
  <si>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</si>
  <si>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</si>
  <si>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</si>
  <si>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</si>
  <si>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</si>
  <si>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</si>
  <si>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</si>
  <si>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</si>
  <si>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</si>
  <si>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</si>
  <si>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</si>
  <si>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</si>
  <si>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</si>
  <si>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</si>
  <si>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</si>
  <si>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</si>
  <si>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</si>
  <si>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</si>
  <si>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</si>
  <si>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</si>
  <si>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</si>
  <si>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</si>
  <si>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</si>
  <si>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</si>
  <si>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</si>
  <si>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</si>
  <si>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</si>
  <si>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</si>
  <si>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</si>
  <si>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</si>
  <si>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</si>
  <si>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</si>
  <si>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</si>
  <si>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</si>
  <si>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</si>
  <si>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</si>
  <si>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</si>
  <si>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</si>
  <si>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</si>
  <si>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</si>
  <si>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</si>
  <si>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</si>
  <si>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</si>
  <si>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</si>
  <si>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</si>
  <si>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</si>
  <si>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</si>
  <si>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</si>
  <si>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</si>
  <si>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</si>
  <si>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</si>
  <si>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</si>
  <si>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</si>
  <si>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</si>
  <si>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</si>
  <si>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</si>
  <si>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</si>
  <si>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</si>
  <si>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</si>
  <si>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</si>
  <si>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</si>
  <si>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</si>
  <si>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</si>
  <si>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</si>
  <si>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</si>
  <si>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</si>
  <si>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</si>
  <si>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</si>
  <si>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</si>
  <si>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</si>
  <si>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</si>
  <si>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</si>
  <si>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</si>
  <si>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</si>
  <si>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</si>
  <si>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</si>
  <si>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</si>
  <si>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</si>
  <si>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</si>
  <si>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</si>
  <si>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</si>
  <si>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</si>
  <si>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</si>
  <si>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</si>
  <si>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</si>
  <si>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</si>
  <si>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</si>
  <si>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</si>
  <si>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</si>
  <si>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</si>
  <si>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</si>
  <si>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</si>
  <si>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</si>
  <si>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</si>
  <si>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</si>
  <si>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</si>
  <si>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</si>
  <si>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</si>
  <si>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</si>
  <si>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</si>
  <si>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</si>
  <si>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</si>
  <si>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</si>
  <si>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</si>
  <si>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</si>
  <si>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</si>
  <si>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</si>
  <si>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</si>
  <si>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</si>
  <si>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</si>
  <si>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</si>
  <si>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</si>
  <si>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</si>
  <si>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</si>
  <si>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</si>
  <si>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</si>
  <si>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</si>
  <si>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</si>
  <si>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</si>
  <si>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</si>
  <si>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</si>
  <si>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</si>
  <si>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</si>
  <si>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</si>
  <si>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</si>
  <si>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</si>
  <si>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</si>
  <si>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</si>
  <si>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</si>
  <si>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</si>
  <si>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</si>
  <si>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</si>
  <si>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</si>
  <si>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</si>
  <si>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</si>
  <si>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</si>
  <si>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</si>
  <si>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</si>
  <si>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</si>
  <si>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</si>
  <si>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</si>
  <si>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</si>
  <si>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</si>
  <si>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</si>
  <si>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</si>
  <si>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</si>
  <si>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</si>
  <si>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</si>
  <si>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</si>
  <si>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</si>
  <si>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</si>
  <si>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</si>
  <si>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</si>
  <si>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</si>
  <si>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</si>
  <si>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</si>
  <si>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</si>
  <si>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</si>
  <si>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</si>
  <si>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</si>
  <si>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</si>
  <si>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</si>
  <si>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</si>
  <si>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</si>
  <si>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</si>
  <si>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</si>
  <si>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</si>
  <si>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</si>
  <si>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</si>
  <si>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</si>
  <si>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</si>
  <si>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</si>
  <si>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</si>
  <si>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</si>
  <si>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</si>
  <si>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</si>
  <si>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</si>
  <si>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</si>
  <si>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</si>
  <si>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</si>
  <si>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</si>
  <si>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</si>
  <si>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</si>
  <si>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</si>
  <si>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</si>
  <si>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</si>
  <si>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</si>
  <si>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</si>
  <si>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</si>
  <si>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</si>
  <si>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</si>
  <si>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</si>
  <si>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</si>
  <si>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</si>
  <si>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</si>
  <si>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</si>
  <si>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</si>
  <si>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</si>
  <si>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</si>
  <si>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</si>
  <si>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</si>
  <si>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</si>
  <si>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</si>
  <si>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</si>
  <si>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</si>
  <si>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</si>
  <si>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</si>
  <si>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</si>
  <si>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</si>
  <si>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</si>
  <si>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</si>
  <si>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</si>
  <si>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</si>
  <si>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</si>
  <si>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</si>
  <si>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</si>
  <si>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</si>
  <si>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</si>
  <si>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</si>
  <si>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</si>
  <si>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</si>
  <si>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</si>
  <si>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</si>
  <si>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</si>
  <si>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</si>
  <si>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</si>
  <si>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</si>
  <si>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</si>
  <si>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</si>
  <si>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</si>
  <si>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</si>
  <si>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</si>
  <si>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</si>
  <si>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</si>
  <si>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</si>
  <si>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</si>
  <si>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</si>
  <si>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</si>
  <si>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</si>
  <si>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</si>
  <si>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</si>
  <si>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</si>
  <si>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</si>
  <si>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</si>
  <si>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</si>
  <si>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</si>
  <si>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</si>
  <si>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</si>
  <si>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</si>
  <si>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</si>
  <si>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</si>
  <si>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</si>
  <si>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</si>
  <si>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</si>
  <si>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</si>
  <si>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</si>
  <si>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</si>
  <si>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</si>
  <si>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</si>
  <si>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</si>
  <si>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</si>
  <si>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</si>
  <si>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</si>
  <si>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</si>
  <si>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</si>
  <si>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</si>
  <si>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</si>
  <si>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</si>
  <si>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</si>
  <si>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</si>
  <si>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</si>
  <si>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</si>
  <si>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</si>
  <si>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</si>
  <si>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</si>
  <si>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</si>
  <si>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</si>
  <si>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</si>
  <si>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</si>
  <si>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</si>
  <si>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</si>
  <si>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</si>
  <si>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</si>
  <si>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</si>
  <si>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</si>
  <si>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</si>
  <si>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</si>
  <si>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</si>
  <si>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</si>
  <si>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</si>
  <si>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</si>
  <si>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</si>
  <si>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</si>
  <si>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</si>
  <si>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</si>
  <si>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</si>
  <si>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</si>
  <si>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</si>
  <si>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</si>
  <si>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</si>
  <si>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</si>
  <si>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</si>
  <si>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</si>
  <si>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</si>
  <si>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</si>
  <si>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</si>
  <si>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</si>
  <si>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</si>
  <si>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</si>
  <si>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</si>
  <si>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</si>
  <si>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</si>
  <si>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</si>
  <si>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</si>
  <si>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</si>
  <si>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</si>
  <si>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</si>
  <si>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</si>
  <si>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</si>
  <si>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</si>
  <si>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</si>
  <si>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</si>
  <si>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</si>
  <si>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</si>
  <si>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</si>
  <si>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</si>
  <si>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</si>
  <si>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</si>
  <si>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</si>
  <si>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</si>
  <si>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</si>
  <si>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</si>
  <si>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</si>
  <si>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</si>
  <si>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</si>
  <si>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</si>
  <si>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</si>
  <si>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</si>
  <si>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</si>
  <si>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</si>
  <si>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</si>
  <si>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</si>
  <si>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</si>
  <si>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</si>
  <si>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</si>
  <si>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</si>
  <si>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</si>
  <si>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</si>
  <si>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</si>
  <si>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</si>
  <si>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</si>
  <si>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</si>
  <si>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</si>
  <si>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</si>
  <si>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</si>
  <si>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</si>
  <si>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</si>
  <si>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</si>
  <si>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</si>
  <si>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</si>
  <si>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</si>
  <si>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</si>
  <si>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</si>
  <si>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</si>
  <si>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</si>
  <si>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</si>
  <si>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</si>
  <si>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</si>
  <si>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</si>
  <si>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</si>
  <si>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</si>
  <si>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</si>
  <si>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</si>
  <si>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</si>
  <si>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</si>
  <si>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</si>
  <si>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</si>
  <si>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</si>
  <si>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</si>
  <si>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</si>
  <si>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</si>
  <si>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</si>
  <si>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</si>
  <si>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</si>
  <si>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</si>
  <si>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</si>
  <si>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</si>
  <si>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</si>
  <si>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</si>
  <si>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</si>
  <si>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</si>
  <si>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</si>
  <si>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</si>
  <si>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</si>
  <si>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</si>
  <si>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</si>
  <si>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</si>
  <si>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</si>
  <si>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</si>
  <si>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</si>
  <si>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</si>
  <si>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</si>
  <si>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</si>
  <si>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</si>
  <si>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</si>
  <si>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</si>
  <si>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</si>
  <si>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</si>
  <si>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</si>
  <si>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</si>
  <si>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</si>
  <si>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</si>
  <si>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</si>
  <si>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</si>
  <si>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</si>
  <si>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</si>
  <si>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</si>
  <si>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</si>
  <si>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</si>
  <si>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</si>
  <si>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</si>
  <si>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</si>
  <si>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</si>
  <si>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</si>
  <si>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</si>
  <si>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</si>
  <si>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</si>
  <si>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</si>
  <si>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</si>
  <si>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</si>
  <si>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</si>
  <si>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</si>
  <si>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</si>
  <si>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</si>
  <si>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</si>
  <si>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</si>
  <si>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</si>
  <si>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</si>
  <si>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</si>
  <si>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</si>
  <si>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</si>
  <si>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</si>
  <si>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</si>
  <si>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</si>
  <si>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</si>
  <si>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</si>
  <si>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</si>
  <si>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</si>
  <si>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</si>
  <si>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</si>
  <si>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</si>
  <si>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</si>
  <si>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</si>
  <si>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</si>
  <si>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</si>
  <si>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</si>
  <si>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</si>
  <si>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</si>
  <si>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</si>
  <si>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</si>
  <si>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</si>
  <si>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</si>
  <si>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</si>
  <si>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</si>
  <si>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</si>
  <si>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</si>
  <si>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</si>
  <si>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</si>
  <si>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</si>
  <si>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</si>
  <si>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</si>
  <si>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</si>
  <si>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</si>
  <si>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</si>
  <si>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</si>
  <si>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</si>
  <si>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</si>
  <si>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</si>
  <si>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</si>
  <si>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</si>
  <si>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</si>
  <si>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</si>
  <si>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</si>
  <si>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</si>
  <si>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</si>
  <si>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</si>
  <si>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</si>
  <si>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</si>
  <si>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</si>
  <si>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</si>
  <si>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</si>
  <si>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</si>
  <si>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</si>
  <si>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</si>
  <si>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</si>
  <si>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</si>
  <si>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</si>
  <si>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</si>
  <si>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</si>
  <si>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</si>
  <si>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</si>
  <si>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</si>
  <si>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</si>
  <si>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</si>
  <si>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</si>
  <si>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</si>
  <si>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</si>
  <si>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</si>
  <si>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</si>
  <si>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</si>
  <si>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</si>
  <si>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</si>
  <si>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</si>
  <si>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</si>
  <si>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</si>
  <si>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</si>
  <si>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</si>
  <si>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</si>
  <si>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</si>
  <si>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</si>
  <si>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</si>
  <si>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</si>
  <si>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</si>
  <si>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</si>
  <si>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</si>
  <si>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</si>
  <si>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</si>
  <si>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</si>
  <si>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</si>
  <si>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</si>
  <si>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</si>
  <si>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</si>
  <si>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</si>
  <si>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</si>
  <si>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</si>
  <si>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</si>
  <si>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</si>
  <si>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</si>
  <si>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</si>
  <si>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</si>
  <si>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</si>
  <si>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</si>
  <si>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</si>
  <si>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</si>
  <si>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</si>
  <si>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</si>
  <si>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</si>
  <si>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</si>
  <si>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</si>
  <si>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</si>
  <si>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</si>
  <si>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</si>
  <si>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</si>
  <si>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</si>
  <si>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</si>
  <si>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</si>
  <si>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</si>
  <si>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</si>
  <si>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</si>
  <si>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</si>
  <si>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</si>
  <si>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</si>
  <si>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</si>
  <si>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</si>
  <si>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</si>
  <si>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</si>
  <si>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</si>
  <si>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</si>
  <si>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</si>
  <si>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</si>
  <si>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</si>
  <si>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</si>
  <si>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</si>
  <si>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</si>
  <si>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</si>
  <si>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</si>
  <si>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</si>
  <si>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</si>
  <si>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</si>
  <si>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</si>
  <si>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</si>
  <si>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</si>
  <si>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</si>
  <si>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</si>
  <si>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</si>
  <si>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</si>
  <si>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</si>
  <si>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</si>
  <si>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</si>
  <si>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</si>
  <si>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</si>
  <si>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</si>
  <si>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</si>
  <si>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</si>
  <si>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</si>
  <si>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</si>
  <si>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</si>
  <si>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</si>
  <si>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</si>
  <si>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</si>
  <si>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</si>
  <si>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</si>
  <si>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</si>
  <si>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</si>
  <si>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</si>
  <si>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</si>
  <si>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</si>
  <si>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</si>
  <si>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</si>
  <si>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</si>
  <si>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</si>
  <si>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</si>
  <si>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</si>
  <si>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</si>
  <si>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</si>
  <si>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</si>
  <si>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</si>
  <si>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</si>
  <si>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</si>
  <si>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</si>
  <si>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</si>
  <si>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</si>
  <si>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</si>
  <si>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</si>
  <si>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</si>
  <si>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</si>
  <si>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</si>
  <si>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</si>
  <si>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</si>
  <si>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</si>
  <si>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</si>
  <si>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</si>
  <si>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</si>
  <si>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</si>
  <si>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</si>
  <si>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</si>
  <si>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</si>
  <si>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</si>
  <si>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</si>
  <si>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</si>
  <si>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</si>
  <si>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</si>
  <si>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</si>
  <si>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</si>
  <si>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</si>
  <si>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</si>
  <si>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</si>
  <si>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</si>
  <si>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</si>
  <si>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</si>
  <si>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</si>
  <si>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</si>
  <si>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</si>
  <si>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</si>
  <si>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</si>
  <si>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</si>
  <si>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</si>
  <si>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</si>
  <si>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</si>
  <si>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</si>
  <si>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</si>
  <si>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</si>
  <si>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</si>
  <si>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</si>
  <si>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</si>
  <si>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</si>
  <si>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</si>
  <si>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</si>
  <si>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</si>
  <si>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</si>
  <si>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</si>
  <si>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</si>
  <si>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</si>
  <si>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</si>
  <si>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</si>
  <si>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</si>
  <si>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</si>
  <si>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</si>
  <si>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</si>
  <si>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</si>
  <si>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</si>
  <si>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</si>
  <si>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</si>
  <si>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</si>
  <si>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</si>
  <si>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</si>
  <si>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</si>
  <si>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</si>
  <si>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</si>
  <si>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</si>
  <si>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</si>
  <si>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</si>
  <si>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</si>
  <si>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</si>
  <si>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</si>
  <si>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</si>
  <si>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</si>
  <si>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</si>
  <si>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</si>
  <si>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</si>
  <si>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</si>
  <si>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</si>
  <si>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</si>
  <si>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</si>
  <si>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</si>
  <si>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</si>
  <si>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</si>
  <si>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</si>
  <si>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</si>
  <si>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</si>
  <si>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</si>
  <si>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</si>
  <si>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</si>
  <si>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</si>
  <si>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</si>
  <si>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</si>
  <si>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</si>
  <si>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</si>
  <si>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</si>
  <si>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</si>
  <si>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</si>
  <si>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</si>
  <si>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</si>
  <si>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</si>
  <si>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</si>
  <si>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</si>
  <si>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</si>
  <si>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</si>
  <si>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</si>
  <si>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</si>
  <si>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</si>
  <si>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</si>
  <si>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</si>
  <si>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</si>
  <si>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</si>
  <si>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</si>
  <si>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</si>
  <si>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</si>
  <si>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</si>
  <si>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</si>
  <si>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</si>
  <si>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</si>
  <si>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</si>
  <si>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</si>
  <si>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</si>
  <si>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</si>
  <si>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</si>
  <si>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</si>
  <si>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</si>
  <si>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</si>
  <si>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</si>
  <si>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</si>
  <si>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</si>
  <si>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</si>
  <si>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</si>
  <si>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</si>
  <si>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</si>
  <si>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</si>
  <si>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</si>
  <si>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</si>
  <si>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</si>
  <si>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</si>
  <si>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</si>
  <si>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</si>
  <si>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</si>
  <si>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</si>
  <si>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</si>
  <si>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</si>
  <si>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</si>
  <si>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</si>
  <si>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</si>
  <si>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</si>
  <si>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</si>
  <si>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</si>
  <si>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</si>
  <si>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</si>
  <si>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</si>
  <si>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</si>
  <si>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</si>
  <si>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</si>
  <si>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</si>
  <si>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</si>
  <si>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</si>
  <si>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</si>
  <si>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</si>
  <si>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</si>
  <si>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</si>
  <si>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</si>
  <si>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</si>
  <si>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</si>
  <si>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</si>
  <si>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</si>
  <si>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</si>
  <si>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</si>
  <si>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</si>
  <si>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</si>
  <si>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</si>
  <si>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</si>
  <si>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</si>
  <si>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</si>
  <si>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</si>
  <si>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</si>
  <si>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</si>
  <si>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</si>
  <si>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</si>
  <si>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</si>
  <si>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</si>
  <si>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</si>
  <si>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</si>
  <si>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</si>
  <si>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</si>
  <si>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</si>
  <si>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</si>
  <si>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</si>
  <si>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</si>
  <si>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</si>
  <si>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</si>
  <si>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</si>
  <si>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</si>
  <si>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</si>
  <si>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</si>
  <si>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</si>
  <si>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</si>
  <si>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</si>
  <si>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</si>
  <si>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</si>
  <si>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</si>
  <si>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</si>
  <si>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</si>
  <si>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</si>
  <si>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</si>
  <si>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</si>
  <si>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</si>
  <si>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</si>
  <si>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</si>
  <si>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</si>
  <si>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</si>
  <si>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</si>
  <si>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</si>
  <si>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</si>
  <si>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</si>
  <si>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</si>
  <si>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</si>
  <si>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</si>
  <si>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</si>
  <si>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</si>
  <si>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</si>
  <si>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</si>
  <si>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</si>
  <si>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</si>
  <si>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</si>
  <si>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</si>
  <si>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</si>
  <si>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</si>
  <si>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</si>
  <si>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</si>
  <si>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</si>
  <si>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</si>
  <si>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</si>
  <si>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</si>
  <si>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</si>
  <si>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</si>
  <si>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</si>
  <si>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</si>
  <si>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</si>
  <si>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</si>
  <si>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</si>
  <si>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</si>
  <si>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</si>
  <si>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</si>
  <si>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</si>
  <si>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</si>
  <si>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</si>
  <si>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</si>
  <si>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</si>
  <si>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</si>
  <si>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</si>
  <si>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</si>
  <si>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</si>
  <si>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</si>
  <si>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</si>
  <si>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</si>
  <si>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</si>
  <si>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</si>
  <si>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</si>
  <si>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</si>
  <si>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</si>
  <si>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</si>
  <si>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</si>
  <si>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</si>
  <si>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</si>
  <si>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</si>
  <si>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</si>
  <si>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</si>
  <si>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</si>
  <si>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</si>
  <si>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</si>
  <si>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</si>
  <si>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</si>
  <si>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</si>
  <si>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</si>
  <si>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</si>
  <si>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</si>
  <si>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</si>
  <si>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</si>
  <si>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</si>
  <si>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</si>
  <si>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</si>
  <si>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</si>
  <si>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</si>
  <si>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</si>
  <si>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</si>
  <si>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</si>
  <si>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</si>
  <si>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</si>
  <si>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</si>
  <si>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</si>
  <si>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</si>
  <si>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</si>
  <si>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</si>
  <si>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</si>
  <si>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</si>
  <si>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</si>
  <si>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</si>
  <si>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</si>
  <si>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</si>
  <si>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</si>
  <si>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</si>
  <si>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</si>
  <si>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</si>
  <si>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</si>
  <si>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</si>
  <si>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</si>
  <si>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</si>
  <si>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</si>
  <si>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</si>
  <si>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</si>
  <si>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</si>
  <si>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</si>
  <si>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</si>
  <si>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</si>
  <si>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</si>
  <si>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</si>
  <si>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</si>
  <si>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</si>
  <si>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</si>
  <si>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</si>
  <si>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</si>
  <si>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</si>
  <si>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</si>
  <si>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</si>
  <si>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</si>
  <si>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</si>
  <si>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</si>
  <si>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</si>
  <si>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</si>
  <si>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</si>
  <si>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</si>
  <si>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</si>
  <si>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</si>
  <si>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</si>
  <si>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</si>
  <si>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</si>
  <si>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</si>
  <si>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</si>
  <si>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</si>
  <si>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</si>
  <si>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</si>
  <si>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</si>
  <si>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</si>
  <si>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</si>
  <si>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</si>
  <si>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</si>
  <si>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</si>
  <si>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</si>
  <si>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</si>
  <si>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</si>
  <si>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</si>
  <si>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</si>
  <si>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</si>
  <si>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</si>
  <si>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</si>
  <si>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</si>
  <si>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</si>
  <si>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</si>
  <si>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</si>
  <si>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</si>
  <si>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</si>
  <si>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</si>
  <si>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</si>
  <si>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</si>
  <si>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</si>
  <si>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</si>
  <si>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</si>
  <si>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</si>
  <si>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</si>
  <si>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</si>
  <si>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</si>
  <si>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</si>
  <si>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</si>
  <si>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</si>
  <si>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</si>
  <si>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</si>
  <si>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</si>
  <si>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</si>
  <si>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</si>
  <si>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</si>
  <si>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</si>
  <si>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</si>
  <si>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</si>
  <si>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</si>
  <si>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</si>
  <si>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</si>
  <si>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</si>
  <si>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</si>
  <si>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</si>
  <si>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</si>
  <si>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</si>
  <si>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</si>
  <si>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</si>
  <si>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</si>
  <si>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</si>
  <si>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</si>
  <si>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</si>
  <si>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</si>
  <si>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</si>
  <si>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</si>
  <si>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</si>
  <si>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</si>
  <si>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</si>
  <si>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</si>
  <si>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</si>
  <si>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</si>
  <si>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</si>
  <si>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</si>
  <si>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</si>
  <si>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</si>
  <si>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</si>
  <si>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</si>
  <si>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</si>
  <si>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</si>
  <si>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</si>
  <si>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</si>
  <si>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</si>
  <si>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</si>
  <si>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</si>
  <si>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</si>
  <si>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</si>
  <si>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</si>
  <si>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</si>
  <si>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</si>
  <si>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</si>
  <si>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</si>
  <si>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</si>
  <si>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</si>
  <si>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</si>
  <si>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</si>
  <si>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</si>
  <si>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</si>
  <si>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</si>
  <si>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</si>
  <si>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</si>
  <si>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</si>
  <si>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</si>
  <si>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</si>
  <si>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</si>
  <si>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</si>
  <si>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</si>
  <si>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</si>
  <si>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</si>
  <si>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</si>
  <si>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</si>
  <si>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</si>
  <si>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</si>
  <si>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</si>
  <si>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</si>
  <si>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</si>
  <si>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</si>
  <si>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</si>
  <si>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</si>
  <si>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</si>
  <si>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</si>
  <si>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</si>
  <si>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</si>
  <si>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</si>
  <si>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</si>
  <si>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</si>
  <si>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</si>
  <si>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</si>
  <si>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</si>
  <si>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</si>
  <si>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</si>
  <si>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</si>
  <si>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</si>
  <si>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</si>
  <si>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</si>
  <si>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</si>
  <si>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</si>
  <si>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</si>
  <si>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</si>
  <si>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</si>
  <si>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</si>
  <si>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</si>
  <si>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</si>
  <si>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</si>
  <si>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</si>
  <si>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</si>
  <si>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</si>
  <si>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</si>
  <si>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</si>
  <si>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</si>
  <si>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</si>
  <si>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</si>
  <si>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</si>
  <si>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</si>
  <si>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</si>
  <si>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</si>
  <si>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</si>
  <si>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</si>
  <si>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</si>
  <si>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</si>
  <si>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</si>
  <si>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</si>
  <si>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</si>
  <si>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</si>
  <si>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</si>
  <si>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</si>
  <si>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</si>
  <si>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</si>
  <si>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</si>
  <si>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</si>
  <si>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</si>
  <si>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</si>
  <si>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</si>
  <si>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</si>
  <si>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</si>
  <si>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</si>
  <si>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</si>
  <si>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</si>
  <si>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</si>
  <si>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</si>
  <si>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</si>
  <si>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</si>
  <si>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</si>
  <si>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</si>
  <si>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</si>
  <si>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</si>
  <si>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</si>
  <si>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</si>
  <si>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</si>
  <si>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</si>
  <si>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</si>
  <si>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</si>
  <si>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</si>
  <si>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</si>
  <si>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</si>
  <si>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</si>
  <si>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</si>
  <si>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</si>
  <si>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</si>
  <si>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</si>
  <si>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</si>
  <si>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</si>
  <si>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</si>
  <si>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</si>
  <si>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</si>
  <si>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</si>
  <si>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</si>
  <si>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</si>
  <si>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</si>
  <si>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</si>
  <si>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</si>
  <si>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</si>
  <si>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</si>
  <si>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</si>
  <si>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</si>
  <si>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</si>
  <si>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</si>
  <si>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</si>
  <si>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</si>
  <si>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</si>
  <si>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</si>
  <si>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</si>
  <si>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</si>
  <si>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</si>
  <si>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</si>
  <si>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</si>
  <si>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</si>
  <si>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</si>
  <si>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</si>
  <si>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</si>
  <si>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</si>
  <si>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</si>
  <si>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</si>
  <si>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</si>
  <si>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</si>
  <si>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</si>
  <si>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</si>
  <si>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</si>
  <si>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</si>
  <si>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</si>
  <si>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</si>
  <si>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</si>
  <si>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</si>
  <si>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</si>
  <si>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</si>
  <si>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</si>
  <si>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</si>
  <si>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</si>
  <si>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</si>
  <si>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</si>
  <si>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</si>
  <si>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</si>
  <si>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</si>
  <si>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</si>
  <si>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</si>
  <si>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</si>
  <si>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</si>
  <si>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</si>
  <si>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</si>
  <si>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</si>
  <si>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</si>
  <si>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</si>
  <si>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</si>
  <si>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</si>
  <si>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</si>
  <si>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</si>
  <si>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</si>
  <si>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</si>
  <si>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</si>
  <si>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</si>
  <si>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</si>
  <si>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</si>
  <si>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</si>
  <si>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</si>
  <si>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</si>
  <si>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</si>
  <si>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</si>
  <si>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</si>
  <si>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</si>
  <si>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</si>
  <si>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</si>
  <si>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</si>
  <si>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</si>
  <si>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</si>
  <si>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</si>
  <si>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</si>
  <si>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</si>
  <si>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</si>
  <si>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</si>
  <si>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</si>
  <si>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</si>
  <si>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</si>
  <si>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</si>
  <si>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</si>
  <si>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</si>
  <si>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</si>
  <si>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</si>
  <si>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</si>
  <si>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</si>
  <si>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</si>
  <si>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</si>
  <si>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</si>
  <si>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</si>
  <si>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</si>
  <si>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</si>
  <si>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</si>
  <si>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</si>
  <si>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</si>
  <si>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</si>
  <si>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</si>
  <si>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</si>
  <si>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</si>
  <si>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</si>
  <si>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</si>
  <si>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</si>
  <si>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</si>
  <si>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</si>
  <si>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</si>
  <si>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</si>
  <si>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</si>
  <si>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</si>
  <si>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</si>
  <si>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</si>
  <si>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</si>
  <si>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</si>
  <si>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</si>
  <si>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</si>
  <si>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</si>
  <si>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</si>
  <si>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</si>
  <si>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</si>
  <si>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</si>
  <si>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</si>
  <si>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</si>
  <si>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</si>
  <si>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</si>
  <si>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</si>
  <si>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</si>
  <si>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</si>
  <si>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</si>
  <si>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</si>
  <si>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</si>
  <si>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</si>
  <si>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</si>
  <si>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</si>
  <si>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</si>
  <si>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</si>
  <si>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</si>
  <si>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</si>
  <si>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</si>
  <si>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</si>
  <si>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</si>
  <si>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</si>
  <si>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</si>
  <si>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</si>
  <si>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</si>
  <si>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</si>
  <si>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</si>
  <si>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</si>
  <si>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</si>
  <si>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</si>
  <si>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</si>
  <si>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</si>
  <si>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</si>
  <si>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</si>
  <si>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</si>
  <si>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</si>
  <si>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</si>
  <si>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</si>
  <si>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</si>
  <si>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</si>
  <si>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</si>
  <si>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</si>
  <si>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</si>
  <si>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</si>
  <si>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</si>
  <si>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</si>
  <si>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</si>
  <si>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</si>
  <si>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</si>
  <si>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</si>
  <si>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</si>
  <si>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</si>
  <si>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</si>
  <si>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</si>
  <si>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</si>
  <si>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</si>
  <si>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</si>
  <si>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</si>
  <si>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</si>
  <si>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</si>
  <si>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</si>
  <si>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</si>
  <si>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</si>
  <si>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</si>
  <si>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</si>
  <si>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</si>
  <si>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</si>
  <si>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</si>
  <si>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</si>
  <si>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</si>
  <si>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</si>
  <si>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</si>
  <si>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</si>
  <si>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</si>
  <si>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</si>
  <si>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</si>
  <si>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</si>
  <si>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</si>
  <si>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</si>
  <si>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</si>
  <si>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</si>
  <si>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</si>
  <si>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</si>
  <si>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</si>
  <si>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</si>
  <si>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</si>
  <si>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</si>
  <si>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</si>
  <si>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</si>
  <si>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</si>
  <si>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</si>
  <si>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</si>
  <si>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</si>
  <si>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</si>
  <si>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</si>
  <si>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</si>
  <si>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</si>
  <si>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</si>
  <si>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</si>
  <si>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</si>
  <si>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</si>
  <si>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</si>
  <si>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</si>
  <si>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</si>
  <si>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</si>
  <si>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</si>
  <si>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</si>
  <si>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</si>
  <si>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</si>
  <si>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</si>
  <si>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</si>
  <si>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</si>
  <si>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</si>
  <si>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</si>
  <si>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</si>
  <si>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</si>
  <si>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</si>
  <si>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</si>
  <si>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</si>
  <si>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</si>
  <si>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</si>
  <si>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</si>
  <si>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</si>
  <si>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</si>
  <si>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</si>
  <si>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</si>
  <si>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</si>
  <si>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</si>
  <si>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</si>
  <si>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</si>
  <si>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</si>
  <si>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</si>
  <si>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</si>
  <si>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</si>
  <si>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</si>
  <si>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</si>
  <si>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</si>
  <si>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</si>
  <si>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</si>
  <si>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</si>
  <si>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</si>
  <si>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</si>
  <si>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</si>
  <si>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</si>
  <si>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</si>
  <si>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</si>
  <si>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</si>
  <si>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</si>
  <si>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</si>
  <si>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</si>
  <si>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</si>
  <si>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</si>
  <si>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</si>
  <si>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</si>
  <si>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</si>
  <si>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</si>
  <si>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</si>
  <si>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</si>
  <si>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</si>
  <si>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</si>
  <si>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</si>
  <si>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</si>
  <si>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</si>
  <si>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</si>
  <si>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</si>
  <si>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</si>
  <si>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</si>
  <si>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</si>
  <si>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</si>
  <si>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</si>
  <si>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</si>
  <si>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</si>
  <si>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</si>
  <si>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</si>
  <si>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</si>
  <si>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</si>
  <si>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</si>
  <si>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</si>
  <si>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</si>
  <si>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</si>
  <si>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</si>
  <si>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</si>
  <si>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</si>
  <si>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</si>
  <si>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</si>
  <si>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</si>
  <si>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</si>
  <si>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</si>
  <si>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</si>
  <si>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</si>
  <si>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</si>
  <si>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</si>
  <si>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</si>
  <si>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</si>
  <si>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</si>
  <si>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</si>
  <si>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</si>
  <si>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</si>
  <si>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</si>
  <si>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</si>
  <si>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</si>
  <si>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</si>
  <si>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</si>
  <si>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</si>
  <si>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</si>
  <si>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</si>
  <si>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</si>
  <si>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</si>
  <si>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</si>
  <si>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</si>
  <si>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</si>
  <si>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</si>
  <si>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</si>
  <si>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</si>
  <si>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</si>
  <si>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</si>
  <si>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</si>
  <si>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</si>
  <si>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</si>
  <si>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</si>
  <si>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</si>
  <si>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</si>
  <si>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</si>
  <si>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</si>
  <si>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</si>
  <si>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</si>
  <si>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</si>
  <si>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</si>
  <si>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</si>
  <si>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</si>
  <si>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</si>
  <si>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</si>
  <si>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</si>
  <si>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</si>
  <si>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</si>
  <si>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</si>
  <si>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</si>
  <si>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</si>
  <si>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</si>
  <si>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</si>
  <si>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</si>
  <si>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</si>
  <si>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</si>
  <si>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</si>
  <si>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</si>
  <si>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</si>
  <si>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</si>
  <si>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</si>
  <si>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</si>
  <si>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</si>
  <si>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</si>
  <si>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</si>
  <si>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</si>
  <si>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</si>
  <si>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</si>
  <si>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</si>
  <si>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</si>
  <si>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</si>
  <si>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</si>
  <si>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</si>
  <si>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</si>
  <si>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</si>
  <si>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</si>
  <si>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</si>
  <si>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</si>
  <si>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</si>
  <si>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</si>
  <si>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</si>
  <si>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</si>
  <si>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</si>
  <si>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</si>
  <si>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</si>
  <si>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</si>
  <si>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</si>
  <si>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</si>
  <si>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</si>
  <si>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</si>
  <si>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</si>
  <si>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</si>
  <si>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</si>
  <si>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</si>
  <si>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</si>
  <si>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</si>
  <si>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</si>
  <si>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</si>
  <si>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</si>
  <si>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</si>
  <si>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</si>
  <si>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</si>
  <si>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</si>
  <si>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</si>
  <si>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</si>
  <si>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</si>
  <si>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</si>
  <si>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</si>
  <si>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</si>
  <si>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</si>
  <si>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</si>
  <si>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</si>
  <si>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</si>
  <si>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</si>
  <si>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</si>
  <si>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</si>
  <si>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</si>
  <si>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</si>
  <si>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</si>
  <si>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</si>
  <si>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</si>
  <si>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</si>
  <si>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</si>
  <si>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</si>
  <si>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</si>
  <si>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</si>
  <si>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</si>
  <si>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</si>
  <si>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</si>
  <si>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</si>
  <si>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</si>
  <si>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</si>
  <si>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</si>
  <si>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</si>
  <si>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</si>
  <si>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</si>
  <si>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</si>
  <si>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</si>
  <si>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</si>
  <si>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</si>
  <si>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</si>
  <si>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</si>
  <si>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</si>
  <si>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</si>
  <si>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</si>
  <si>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</si>
  <si>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</si>
  <si>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</si>
  <si>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</si>
  <si>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</si>
  <si>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</si>
  <si>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</si>
  <si>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</si>
  <si>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</si>
  <si>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</si>
  <si>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</si>
  <si>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</si>
  <si>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</si>
  <si>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</si>
  <si>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</si>
  <si>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</si>
  <si>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</si>
  <si>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</si>
  <si>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</si>
  <si>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</si>
  <si>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</si>
  <si>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</si>
  <si>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</si>
  <si>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</si>
  <si>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</si>
  <si>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</si>
  <si>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</si>
  <si>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</si>
  <si>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</si>
  <si>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</si>
  <si>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</si>
  <si>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</si>
  <si>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</si>
  <si>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</si>
  <si>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</si>
  <si>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</si>
  <si>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</si>
  <si>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</si>
  <si>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</si>
  <si>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</si>
  <si>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</si>
  <si>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</si>
  <si>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</si>
  <si>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</si>
  <si>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</si>
  <si>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</si>
  <si>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</si>
  <si>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</si>
  <si>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</si>
  <si>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</si>
  <si>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</si>
  <si>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</si>
  <si>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</si>
  <si>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</si>
  <si>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</si>
  <si>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</si>
  <si>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</si>
  <si>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</si>
  <si>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</si>
  <si>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</si>
  <si>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</si>
  <si>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</si>
  <si>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</si>
  <si>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</si>
  <si>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</si>
  <si>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</si>
  <si>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</si>
  <si>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</si>
  <si>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</si>
  <si>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</si>
  <si>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</si>
  <si>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</si>
  <si>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</si>
  <si>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</si>
  <si>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</si>
  <si>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</si>
  <si>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</si>
  <si>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</si>
  <si>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</si>
  <si>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</si>
  <si>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</si>
  <si>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</si>
  <si>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</si>
  <si>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</si>
  <si>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</si>
  <si>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</si>
  <si>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</si>
  <si>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</si>
  <si>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</si>
  <si>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</si>
  <si>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</si>
  <si>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</si>
  <si>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</si>
  <si>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</si>
  <si>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</si>
  <si>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</si>
  <si>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</si>
  <si>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</si>
  <si>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</si>
  <si>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</si>
  <si>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</si>
  <si>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</si>
  <si>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</si>
  <si>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</si>
  <si>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</si>
  <si>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</si>
  <si>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</si>
  <si>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</si>
  <si>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</si>
  <si>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</si>
  <si>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</si>
  <si>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</si>
  <si>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</si>
  <si>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</si>
  <si>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</si>
  <si>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</si>
  <si>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</si>
  <si>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</si>
  <si>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</si>
  <si>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</si>
  <si>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</si>
  <si>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</si>
  <si>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</si>
  <si>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</si>
  <si>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</si>
  <si>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</si>
  <si>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</si>
  <si>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</si>
  <si>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</si>
  <si>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</si>
  <si>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</si>
  <si>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</si>
  <si>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</si>
  <si>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</si>
  <si>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</si>
  <si>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</si>
  <si>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</si>
  <si>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</si>
  <si>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</si>
  <si>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</si>
  <si>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</si>
  <si>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</si>
  <si>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</si>
  <si>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</si>
  <si>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</si>
  <si>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</si>
  <si>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</si>
  <si>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</si>
  <si>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</si>
  <si>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</si>
  <si>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</si>
  <si>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</si>
  <si>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</si>
  <si>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</si>
  <si>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</si>
  <si>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</si>
  <si>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</si>
  <si>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</si>
  <si>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</si>
  <si>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</si>
  <si>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</si>
  <si>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</si>
  <si>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</si>
  <si>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</si>
  <si>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</si>
  <si>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</si>
  <si>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</si>
  <si>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</si>
  <si>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</si>
  <si>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</si>
  <si>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</si>
  <si>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</si>
  <si>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</si>
  <si>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</si>
  <si>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</si>
  <si>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</si>
  <si>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</si>
  <si>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</si>
  <si>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</si>
  <si>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</si>
  <si>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</si>
  <si>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</si>
  <si>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</si>
  <si>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</si>
  <si>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</si>
  <si>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</si>
  <si>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</si>
  <si>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</si>
  <si>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</si>
  <si>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</si>
  <si>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</si>
  <si>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</si>
  <si>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</si>
  <si>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</si>
  <si>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</si>
  <si>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</si>
  <si>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</si>
  <si>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</si>
  <si>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</si>
  <si>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</si>
  <si>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</si>
  <si>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</si>
  <si>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</si>
  <si>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</si>
  <si>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</si>
  <si>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</si>
  <si>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</si>
  <si>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</si>
  <si>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</si>
  <si>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</si>
  <si>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</si>
  <si>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</si>
  <si>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</si>
  <si>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</si>
  <si>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</si>
  <si>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</si>
  <si>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</si>
  <si>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</si>
  <si>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</si>
  <si>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</si>
  <si>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</si>
  <si>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</si>
  <si>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</si>
  <si>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</si>
  <si>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</si>
  <si>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</si>
  <si>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</si>
  <si>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</si>
  <si>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</si>
  <si>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</si>
  <si>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</si>
  <si>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</si>
  <si>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</si>
  <si>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</si>
  <si>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</si>
  <si>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</si>
  <si>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</si>
  <si>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</si>
  <si>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</si>
  <si>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</si>
  <si>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</si>
  <si>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</si>
  <si>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</si>
  <si>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</si>
  <si>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</si>
  <si>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</si>
  <si>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</si>
  <si>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</si>
  <si>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</si>
  <si>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</si>
  <si>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</si>
  <si>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</si>
  <si>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</si>
  <si>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</si>
  <si>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</si>
  <si>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</si>
  <si>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</si>
  <si>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</si>
  <si>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</si>
  <si>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</si>
  <si>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</si>
  <si>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</si>
  <si>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</si>
  <si>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</si>
  <si>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</si>
  <si>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</si>
  <si>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</si>
  <si>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</si>
  <si>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</si>
  <si>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</si>
  <si>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</si>
  <si>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</si>
  <si>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</si>
  <si>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</si>
  <si>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</si>
  <si>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</si>
  <si>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</si>
  <si>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</si>
  <si>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</si>
  <si>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</si>
  <si>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</si>
  <si>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</si>
  <si>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</si>
  <si>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</si>
  <si>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</si>
  <si>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</si>
  <si>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</si>
  <si>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</si>
  <si>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</si>
  <si>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</si>
  <si>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</si>
  <si>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</si>
  <si>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</si>
  <si>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</si>
  <si>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</si>
  <si>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</si>
  <si>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</si>
  <si>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</si>
  <si>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</si>
  <si>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</si>
  <si>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</si>
  <si>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</si>
  <si>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</si>
  <si>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</si>
  <si>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</si>
  <si>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</si>
  <si>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</si>
  <si>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</si>
  <si>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</si>
  <si>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</si>
  <si>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</si>
  <si>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</si>
  <si>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</si>
  <si>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</si>
  <si>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</si>
  <si>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</si>
  <si>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</si>
  <si>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</si>
  <si>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</si>
  <si>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</si>
  <si>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</si>
  <si>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</si>
  <si>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</si>
  <si>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</si>
  <si>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</si>
  <si>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</si>
  <si>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</si>
  <si>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</si>
  <si>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</si>
  <si>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</si>
  <si>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</si>
  <si>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</si>
  <si>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</si>
  <si>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</si>
  <si>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</si>
  <si>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</si>
  <si>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</si>
  <si>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</si>
  <si>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</si>
  <si>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</si>
  <si>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</si>
  <si>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</si>
  <si>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</si>
  <si>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</si>
  <si>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</si>
  <si>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</si>
  <si>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</si>
  <si>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</si>
  <si>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</si>
  <si>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</si>
  <si>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</si>
  <si>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</si>
  <si>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</si>
  <si>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</si>
  <si>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</si>
  <si>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</si>
  <si>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</si>
  <si>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</si>
  <si>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</si>
  <si>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</si>
  <si>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</si>
  <si>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</si>
  <si>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</si>
  <si>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</si>
  <si>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</si>
  <si>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</si>
  <si>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</si>
  <si>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</si>
  <si>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</si>
  <si>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</si>
  <si>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</si>
  <si>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</si>
  <si>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</si>
  <si>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</si>
  <si>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</si>
  <si>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</si>
  <si>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</si>
  <si>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</si>
  <si>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</si>
  <si>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</si>
  <si>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</si>
  <si>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</si>
  <si>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</si>
  <si>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</si>
  <si>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</si>
  <si>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</si>
  <si>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</si>
  <si>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</si>
  <si>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</si>
  <si>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</si>
  <si>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</si>
  <si>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</si>
  <si>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</si>
  <si>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</si>
  <si>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</si>
  <si>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</si>
  <si>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</si>
  <si>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</si>
  <si>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</si>
  <si>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</si>
  <si>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</si>
  <si>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</si>
  <si>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</si>
  <si>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</si>
  <si>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</si>
  <si>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</si>
  <si>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</si>
  <si>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</si>
  <si>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</si>
  <si>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</si>
  <si>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</si>
  <si>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</si>
  <si>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</si>
  <si>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</si>
  <si>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</si>
  <si>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</si>
  <si>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</si>
  <si>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</si>
  <si>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</si>
  <si>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</si>
  <si>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</si>
  <si>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</si>
  <si>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</si>
  <si>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</si>
  <si>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</si>
  <si>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</si>
  <si>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</si>
  <si>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</si>
  <si>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</si>
  <si>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</si>
  <si>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</si>
  <si>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</si>
  <si>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</si>
  <si>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</si>
  <si>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</si>
  <si>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</si>
  <si>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</si>
  <si>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</si>
  <si>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</si>
  <si>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</si>
  <si>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</si>
  <si>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</si>
  <si>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</si>
  <si>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</si>
  <si>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</si>
  <si>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</si>
  <si>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</si>
  <si>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</si>
  <si>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</si>
  <si>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</si>
  <si>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</si>
  <si>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</si>
  <si>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</si>
  <si>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</si>
  <si>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</si>
  <si>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</si>
  <si>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</si>
  <si>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</si>
  <si>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</si>
  <si>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</si>
  <si>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</si>
  <si>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</si>
  <si>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</si>
  <si>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</si>
  <si>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</si>
  <si>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</si>
  <si>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</si>
  <si>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</si>
  <si>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</si>
  <si>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</si>
  <si>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</si>
  <si>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</si>
  <si>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</si>
  <si>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</si>
  <si>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</si>
  <si>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</si>
  <si>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</si>
  <si>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</si>
  <si>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</si>
  <si>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</si>
  <si>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</si>
  <si>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</si>
  <si>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</si>
  <si>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</si>
  <si>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</si>
  <si>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</si>
  <si>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</si>
  <si>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</si>
  <si>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</si>
  <si>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</si>
  <si>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</si>
  <si>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</si>
  <si>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</si>
  <si>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</si>
  <si>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</si>
  <si>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</si>
  <si>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</si>
  <si>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</si>
  <si>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</si>
  <si>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</si>
  <si>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</si>
  <si>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</si>
  <si>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</si>
  <si>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</si>
  <si>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</si>
  <si>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</si>
  <si>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</si>
  <si>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</si>
  <si>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</si>
  <si>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</si>
  <si>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</si>
  <si>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</si>
  <si>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</si>
  <si>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</si>
  <si>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</si>
  <si>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</si>
  <si>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</si>
  <si>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</si>
  <si>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</si>
  <si>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</si>
  <si>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</si>
  <si>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</si>
  <si>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</si>
  <si>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</si>
  <si>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</si>
  <si>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</si>
  <si>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</si>
  <si>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</si>
  <si>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</si>
  <si>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</si>
  <si>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</si>
  <si>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</si>
  <si>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</si>
  <si>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</si>
  <si>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</si>
  <si>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</si>
  <si>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</si>
  <si>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</si>
  <si>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</si>
  <si>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</si>
  <si>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</si>
  <si>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</si>
  <si>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</si>
  <si>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</si>
  <si>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</si>
  <si>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</si>
  <si>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</si>
  <si>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</si>
  <si>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</si>
  <si>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</si>
  <si>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</si>
  <si>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</si>
  <si>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</si>
  <si>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</si>
  <si>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</si>
  <si>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</si>
  <si>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</si>
  <si>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</si>
  <si>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</si>
  <si>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</si>
  <si>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</si>
  <si>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</si>
  <si>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</si>
  <si>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</si>
  <si>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</si>
  <si>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</si>
  <si>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</si>
  <si>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</si>
  <si>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</si>
  <si>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</si>
  <si>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</si>
  <si>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</si>
  <si>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</si>
  <si>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</si>
  <si>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</si>
  <si>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</si>
  <si>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</si>
  <si>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</si>
  <si>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</si>
  <si>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</si>
  <si>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</si>
  <si>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</si>
  <si>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</si>
  <si>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</si>
  <si>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</si>
  <si>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</si>
  <si>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</si>
  <si>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</si>
  <si>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</si>
  <si>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</si>
  <si>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</si>
  <si>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</si>
  <si>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</si>
  <si>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</si>
  <si>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</si>
  <si>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</si>
  <si>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</si>
  <si>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</si>
  <si>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</si>
  <si>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</si>
  <si>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</si>
  <si>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</si>
  <si>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</si>
  <si>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</si>
  <si>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</si>
  <si>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</si>
  <si>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</si>
  <si>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</si>
  <si>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</si>
  <si>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</si>
  <si>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</si>
  <si>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</si>
  <si>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</si>
  <si>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</si>
  <si>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</si>
  <si>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</si>
  <si>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</si>
  <si>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</si>
  <si>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</si>
  <si>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</si>
  <si>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</si>
  <si>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</si>
  <si>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</si>
  <si>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</si>
  <si>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</si>
  <si>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</si>
  <si>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</si>
  <si>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</si>
  <si>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</si>
  <si>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</si>
  <si>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</si>
  <si>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</si>
  <si>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</si>
  <si>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</si>
  <si>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</si>
  <si>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</si>
  <si>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</si>
  <si>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</si>
  <si>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</si>
  <si>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</si>
  <si>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</si>
  <si>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</si>
  <si>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</si>
  <si>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</si>
  <si>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</si>
  <si>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</si>
  <si>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</si>
  <si>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</si>
  <si>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</si>
  <si>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</si>
  <si>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</si>
  <si>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</si>
  <si>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</si>
  <si>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</si>
  <si>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</si>
  <si>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</si>
  <si>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</si>
  <si>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</si>
  <si>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</si>
  <si>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</si>
  <si>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</si>
  <si>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</si>
  <si>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</si>
  <si>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</si>
  <si>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</si>
  <si>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</si>
  <si>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</si>
  <si>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</si>
  <si>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</si>
  <si>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</si>
  <si>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</si>
  <si>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</si>
  <si>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</si>
  <si>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</si>
  <si>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</si>
  <si>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</si>
  <si>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</si>
  <si>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</si>
  <si>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</si>
  <si>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</si>
  <si>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</si>
  <si>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</si>
  <si>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</si>
  <si>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</si>
  <si>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</si>
  <si>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</si>
  <si>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</si>
  <si>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</si>
  <si>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</si>
  <si>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</si>
  <si>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</si>
  <si>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</si>
  <si>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</si>
  <si>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</si>
  <si>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</si>
  <si>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</si>
  <si>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</si>
  <si>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</si>
  <si>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</si>
  <si>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</si>
  <si>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</si>
  <si>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</si>
  <si>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</si>
  <si>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</si>
  <si>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</si>
  <si>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</si>
  <si>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</si>
  <si>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</si>
  <si>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</si>
  <si>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</si>
  <si>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</si>
  <si>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</si>
  <si>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</si>
  <si>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</si>
  <si>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</si>
  <si>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</si>
  <si>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</si>
  <si>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</si>
  <si>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</si>
  <si>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</si>
  <si>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</si>
  <si>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</si>
  <si>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</si>
  <si>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</si>
  <si>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</si>
  <si>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</si>
  <si>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</si>
  <si>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</si>
  <si>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</si>
  <si>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</si>
  <si>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</si>
  <si>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</si>
  <si>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</si>
  <si>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</si>
  <si>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</si>
  <si>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</si>
  <si>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</si>
  <si>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</si>
  <si>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</si>
  <si>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</si>
  <si>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</si>
  <si>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</si>
  <si>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</si>
  <si>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</si>
  <si>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</si>
  <si>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</si>
  <si>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</si>
  <si>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</si>
  <si>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</si>
  <si>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</si>
  <si>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</si>
  <si>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</si>
  <si>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</si>
  <si>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</si>
  <si>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</si>
  <si>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</si>
  <si>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</si>
  <si>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</si>
  <si>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</si>
  <si>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</si>
  <si>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</si>
  <si>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</si>
  <si>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</si>
  <si>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</si>
  <si>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</si>
  <si>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</si>
  <si>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</si>
  <si>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</si>
  <si>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</si>
  <si>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</si>
  <si>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</si>
  <si>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</si>
  <si>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</si>
  <si>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</si>
  <si>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</si>
  <si>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</si>
  <si>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</si>
  <si>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</si>
  <si>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</si>
  <si>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</si>
  <si>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</si>
  <si>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</si>
  <si>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</si>
  <si>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</si>
  <si>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</si>
  <si>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</si>
  <si>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</si>
  <si>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</si>
  <si>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</si>
  <si>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</si>
  <si>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</si>
  <si>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</si>
  <si>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</si>
  <si>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</si>
  <si>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</si>
  <si>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</si>
  <si>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</si>
  <si>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</si>
  <si>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</si>
  <si>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</si>
  <si>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</si>
  <si>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</si>
  <si>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</si>
  <si>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</si>
  <si>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</si>
  <si>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</si>
  <si>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</si>
  <si>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</si>
  <si>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</si>
  <si>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</si>
  <si>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</si>
  <si>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</si>
  <si>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</si>
  <si>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</si>
  <si>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</si>
  <si>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</si>
  <si>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</si>
  <si>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</si>
  <si>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</si>
  <si>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</si>
  <si>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</si>
  <si>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</si>
  <si>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</si>
  <si>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</si>
  <si>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</si>
  <si>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</si>
  <si>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</si>
  <si>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</si>
  <si>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</si>
  <si>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</si>
  <si>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</si>
  <si>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</si>
  <si>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</si>
  <si>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</si>
  <si>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</si>
  <si>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</si>
  <si>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</si>
  <si>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</si>
  <si>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</si>
  <si>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</si>
  <si>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</si>
  <si>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</si>
  <si>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</si>
  <si>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</si>
  <si>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</si>
  <si>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</si>
  <si>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</si>
  <si>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</si>
  <si>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</si>
  <si>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</si>
  <si>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</si>
  <si>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</si>
  <si>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</si>
  <si>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</si>
  <si>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</si>
  <si>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</si>
  <si>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</si>
  <si>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</si>
  <si>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</si>
  <si>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</si>
  <si>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</si>
  <si>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</si>
  <si>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</si>
  <si>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</si>
  <si>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</si>
  <si>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</si>
  <si>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</si>
  <si>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</si>
  <si>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</si>
  <si>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</si>
  <si>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</si>
  <si>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</si>
  <si>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</si>
  <si>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</si>
  <si>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</si>
  <si>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</si>
  <si>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</si>
  <si>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</si>
  <si>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</si>
  <si>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</si>
  <si>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</si>
  <si>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</si>
  <si>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</si>
  <si>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</si>
  <si>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</si>
  <si>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</si>
  <si>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</si>
  <si>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</si>
  <si>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</si>
  <si>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</si>
  <si>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</si>
  <si>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</si>
  <si>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</si>
  <si>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</si>
  <si>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</si>
  <si>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</si>
  <si>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</si>
  <si>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</si>
  <si>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</si>
  <si>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</si>
  <si>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</si>
  <si>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</si>
  <si>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</si>
  <si>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</si>
  <si>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</si>
  <si>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</si>
  <si>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</si>
  <si>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</si>
  <si>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</si>
  <si>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</si>
  <si>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</si>
  <si>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</si>
  <si>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</si>
  <si>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</si>
  <si>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</si>
  <si>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</si>
  <si>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</si>
  <si>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</si>
  <si>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</si>
  <si>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</si>
  <si>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</si>
  <si>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</si>
  <si>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</si>
  <si>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</si>
  <si>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</si>
  <si>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</si>
  <si>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</si>
  <si>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</si>
  <si>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</si>
  <si>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</si>
  <si>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</si>
  <si>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</si>
  <si>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</si>
  <si>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</si>
  <si>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</si>
  <si>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</si>
  <si>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</si>
  <si>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</si>
  <si>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</si>
  <si>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</si>
  <si>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</si>
  <si>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</si>
  <si>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</si>
  <si>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</si>
  <si>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</si>
  <si>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</si>
  <si>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</si>
  <si>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</si>
  <si>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</si>
  <si>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</si>
  <si>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</si>
  <si>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</si>
  <si>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</si>
  <si>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</si>
  <si>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</si>
  <si>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</si>
  <si>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</si>
  <si>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</si>
  <si>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</si>
  <si>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</si>
  <si>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</si>
  <si>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</si>
  <si>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</si>
  <si>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</si>
  <si>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</si>
  <si>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</si>
  <si>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</si>
  <si>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</si>
  <si>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</si>
  <si>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</si>
  <si>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</si>
  <si>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</si>
  <si>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</si>
  <si>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</si>
  <si>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</si>
  <si>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</si>
  <si>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</si>
  <si>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</si>
  <si>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</si>
  <si>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</si>
  <si>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</si>
  <si>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</si>
  <si>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</si>
  <si>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</si>
  <si>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</si>
  <si>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</si>
  <si>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</si>
  <si>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</si>
  <si>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</si>
  <si>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</si>
  <si>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</si>
  <si>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</si>
  <si>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</si>
  <si>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</si>
  <si>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</si>
  <si>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</si>
  <si>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</si>
  <si>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</si>
  <si>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</si>
  <si>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</si>
  <si>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</si>
  <si>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</si>
  <si>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</si>
  <si>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</si>
  <si>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</si>
  <si>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</si>
  <si>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</si>
  <si>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</si>
  <si>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</si>
  <si>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</si>
  <si>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</si>
  <si>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</si>
  <si>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</si>
  <si>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</si>
  <si>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</si>
  <si>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</si>
  <si>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</si>
  <si>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</si>
  <si>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</si>
  <si>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</si>
  <si>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</si>
  <si>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</si>
  <si>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</si>
  <si>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</si>
  <si>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</si>
  <si>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</si>
  <si>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</si>
  <si>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</si>
  <si>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</si>
  <si>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</si>
  <si>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</si>
  <si>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</si>
  <si>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</si>
  <si>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</si>
  <si>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</si>
  <si>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</si>
  <si>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</si>
  <si>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</si>
  <si>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</si>
  <si>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</si>
  <si>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</si>
  <si>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</si>
  <si>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</si>
  <si>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</si>
  <si>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</si>
  <si>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</si>
  <si>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</si>
  <si>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</si>
  <si>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</si>
  <si>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</si>
  <si>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</si>
  <si>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</si>
  <si>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</si>
  <si>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</si>
  <si>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</si>
  <si>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</si>
  <si>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</si>
  <si>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</si>
  <si>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</si>
  <si>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</si>
  <si>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</si>
  <si>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</si>
  <si>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</si>
  <si>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</si>
  <si>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</si>
  <si>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</si>
  <si>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</si>
  <si>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</si>
  <si>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</si>
  <si>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</si>
  <si>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</si>
  <si>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</si>
  <si>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</si>
  <si>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</si>
  <si>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</si>
  <si>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</si>
  <si>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</si>
  <si>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</si>
  <si>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</si>
  <si>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</si>
  <si>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</si>
  <si>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</si>
  <si>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</si>
  <si>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</si>
  <si>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</si>
  <si>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</si>
  <si>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</si>
  <si>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</si>
  <si>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</si>
  <si>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</si>
  <si>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</si>
  <si>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</si>
  <si>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</si>
  <si>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</si>
  <si>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</si>
  <si>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</si>
  <si>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</si>
  <si>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</si>
  <si>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</si>
  <si>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</si>
  <si>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</si>
  <si>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</si>
  <si>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</si>
  <si>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</si>
  <si>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</si>
  <si>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</si>
  <si>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</si>
  <si>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</si>
  <si>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</si>
  <si>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</si>
  <si>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</si>
  <si>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</si>
  <si>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</si>
  <si>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</si>
  <si>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</si>
  <si>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</si>
  <si>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</si>
  <si>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</si>
  <si>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</si>
  <si>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</si>
  <si>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</si>
  <si>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</si>
  <si>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</si>
  <si>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</si>
  <si>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</si>
  <si>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</si>
  <si>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</si>
  <si>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</si>
  <si>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</si>
  <si>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</si>
  <si>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</si>
  <si>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</si>
  <si>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</si>
  <si>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</si>
  <si>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</si>
  <si>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</si>
  <si>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</si>
  <si>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</si>
  <si>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</si>
  <si>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</si>
  <si>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</si>
  <si>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</si>
  <si>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</si>
  <si>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</si>
  <si>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</si>
  <si>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</si>
  <si>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</si>
  <si>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</si>
  <si>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</si>
  <si>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</si>
  <si>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</si>
  <si>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</si>
  <si>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</si>
  <si>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</si>
  <si>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</si>
  <si>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</si>
  <si>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</si>
  <si>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</si>
  <si>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</si>
  <si>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</si>
  <si>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</si>
  <si>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</si>
  <si>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</si>
  <si>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</si>
  <si>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</si>
  <si>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</si>
  <si>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</si>
  <si>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</si>
  <si>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</si>
  <si>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</si>
  <si>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</si>
  <si>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</si>
  <si>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</si>
  <si>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</si>
  <si>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</si>
  <si>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</si>
  <si>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</si>
  <si>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</si>
  <si>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</si>
  <si>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</si>
  <si>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</si>
  <si>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</si>
  <si>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</si>
  <si>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</si>
  <si>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</si>
  <si>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</si>
  <si>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</si>
  <si>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</si>
  <si>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</si>
  <si>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</si>
  <si>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</si>
  <si>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</si>
  <si>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</si>
  <si>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</si>
  <si>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</si>
  <si>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</si>
  <si>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</si>
  <si>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</si>
  <si>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</si>
  <si>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</si>
  <si>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</si>
  <si>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</si>
  <si>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</si>
  <si>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</si>
  <si>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</si>
  <si>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</si>
  <si>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</si>
  <si>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</si>
  <si>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</si>
  <si>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</si>
  <si>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</si>
  <si>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</si>
  <si>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</si>
  <si>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</si>
  <si>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</si>
  <si>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</si>
  <si>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</si>
  <si>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</si>
  <si>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</si>
  <si>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</si>
  <si>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</si>
  <si>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</si>
  <si>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</si>
  <si>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</si>
  <si>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</si>
  <si>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</si>
  <si>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</si>
  <si>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</si>
  <si>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</si>
  <si>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</si>
  <si>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</si>
  <si>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</si>
  <si>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</si>
  <si>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</si>
  <si>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</si>
  <si>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</si>
  <si>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</si>
  <si>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</si>
  <si>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</si>
  <si>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</si>
  <si>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</si>
  <si>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</si>
  <si>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</si>
  <si>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</si>
  <si>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</si>
  <si>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</si>
  <si>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</si>
  <si>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</si>
  <si>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</si>
  <si>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</si>
  <si>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</si>
  <si>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</si>
  <si>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</si>
  <si>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</si>
  <si>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</si>
  <si>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</si>
  <si>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</si>
  <si>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</si>
  <si>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</si>
  <si>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</si>
  <si>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</si>
  <si>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</si>
  <si>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</si>
  <si>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</si>
  <si>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</si>
  <si>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</si>
  <si>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</si>
  <si>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</si>
  <si>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</si>
  <si>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</si>
  <si>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</si>
  <si>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</si>
  <si>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</si>
  <si>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</si>
  <si>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</si>
  <si>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</si>
  <si>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</si>
  <si>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</si>
  <si>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</si>
  <si>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</si>
  <si>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</si>
  <si>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</si>
  <si>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</si>
  <si>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</si>
  <si>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</si>
  <si>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</si>
  <si>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</si>
  <si>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</si>
  <si>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</si>
  <si>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</si>
  <si>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</si>
  <si>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</si>
  <si>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</si>
  <si>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</si>
  <si>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</si>
  <si>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</si>
  <si>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</si>
  <si>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</si>
  <si>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</si>
  <si>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</si>
  <si>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</si>
  <si>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</si>
  <si>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</si>
  <si>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</si>
  <si>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</si>
  <si>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</si>
  <si>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</si>
  <si>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</si>
  <si>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</si>
  <si>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</si>
  <si>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</si>
  <si>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</si>
  <si>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</si>
  <si>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</si>
  <si>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</si>
  <si>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</si>
  <si>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</si>
  <si>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</si>
  <si>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</si>
  <si>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</si>
  <si>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</si>
  <si>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</si>
  <si>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</si>
  <si>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</si>
  <si>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</si>
  <si>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</si>
  <si>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</si>
  <si>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</si>
  <si>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</si>
  <si>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</si>
  <si>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</si>
  <si>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</si>
  <si>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</si>
  <si>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</si>
  <si>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</si>
  <si>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</si>
  <si>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</si>
  <si>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</si>
  <si>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</si>
  <si>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</si>
  <si>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</si>
  <si>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</si>
  <si>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</si>
  <si>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</si>
  <si>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</si>
  <si>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</si>
  <si>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</si>
  <si>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</si>
  <si>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</si>
  <si>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</si>
  <si>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</si>
  <si>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</si>
  <si>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</si>
  <si>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</si>
  <si>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</si>
  <si>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</si>
  <si>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</si>
  <si>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</si>
  <si>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</si>
  <si>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</si>
  <si>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</si>
  <si>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</si>
  <si>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</si>
  <si>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</si>
  <si>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</si>
  <si>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</si>
  <si>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</si>
  <si>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</si>
  <si>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</si>
  <si>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</si>
  <si>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</si>
  <si>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</si>
  <si>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</si>
  <si>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</si>
  <si>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</si>
  <si>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</si>
  <si>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</si>
  <si>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</si>
  <si>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</si>
  <si>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</si>
  <si>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</si>
  <si>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</si>
  <si>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</si>
  <si>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</si>
  <si>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</si>
  <si>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</si>
  <si>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</si>
  <si>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</si>
  <si>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</si>
  <si>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</si>
  <si>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</si>
  <si>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</si>
  <si>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</si>
  <si>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</si>
  <si>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</si>
  <si>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</si>
  <si>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</si>
  <si>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</si>
  <si>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</si>
  <si>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</si>
  <si>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</si>
  <si>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</si>
  <si>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</si>
  <si>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</si>
  <si>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</si>
  <si>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</si>
  <si>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</si>
  <si>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</si>
  <si>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</si>
  <si>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</si>
  <si>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</si>
  <si>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</si>
  <si>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</si>
  <si>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</si>
  <si>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</si>
  <si>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</si>
  <si>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</si>
  <si>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</si>
  <si>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</si>
  <si>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</si>
  <si>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</si>
  <si>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</si>
  <si>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</si>
  <si>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</si>
  <si>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</si>
  <si>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</si>
  <si>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</si>
  <si>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</si>
  <si>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</si>
  <si>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</si>
  <si>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</si>
  <si>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</si>
  <si>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</si>
  <si>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</si>
  <si>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</si>
  <si>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</si>
  <si>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</si>
  <si>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</si>
  <si>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</si>
  <si>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</si>
  <si>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</si>
  <si>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</si>
  <si>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</si>
  <si>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</si>
  <si>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</si>
  <si>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</si>
  <si>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</si>
  <si>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</si>
  <si>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</si>
  <si>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</si>
  <si>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</si>
  <si>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</si>
  <si>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</si>
  <si>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</si>
  <si>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</si>
  <si>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</si>
  <si>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</si>
  <si>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</si>
  <si>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</si>
  <si>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</si>
  <si>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</si>
  <si>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</si>
  <si>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</si>
  <si>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</si>
  <si>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</si>
  <si>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</si>
  <si>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</si>
  <si>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</si>
  <si>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</si>
  <si>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</si>
  <si>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</si>
  <si>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</si>
  <si>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</si>
  <si>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</si>
  <si>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</si>
  <si>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</si>
  <si>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</si>
  <si>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</si>
  <si>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</si>
  <si>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</si>
  <si>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</si>
  <si>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</si>
  <si>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</si>
  <si>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</si>
  <si>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</si>
  <si>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</si>
  <si>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</si>
  <si>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</si>
  <si>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</si>
  <si>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</si>
  <si>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</si>
  <si>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</si>
  <si>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</si>
  <si>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</si>
  <si>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</si>
  <si>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</si>
  <si>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</si>
  <si>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</si>
  <si>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</si>
  <si>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</si>
  <si>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</si>
  <si>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</si>
  <si>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</si>
  <si>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</si>
  <si>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</si>
  <si>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</si>
  <si>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</si>
  <si>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</si>
  <si>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</si>
  <si>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</si>
  <si>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</si>
  <si>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</si>
  <si>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</si>
  <si>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</si>
  <si>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</si>
  <si>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</si>
  <si>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</si>
  <si>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</si>
  <si>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</si>
  <si>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</si>
  <si>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</si>
  <si>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</si>
  <si>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</si>
  <si>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</si>
  <si>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</si>
  <si>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</si>
  <si>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</si>
  <si>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</si>
  <si>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</si>
  <si>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</si>
  <si>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</si>
  <si>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</si>
  <si>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</si>
  <si>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</si>
  <si>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</si>
  <si>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</si>
  <si>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</si>
  <si>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</si>
  <si>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</si>
  <si>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</si>
  <si>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</si>
  <si>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</si>
  <si>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</si>
  <si>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</si>
  <si>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</si>
  <si>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</si>
  <si>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</si>
  <si>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</si>
  <si>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</si>
  <si>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</si>
  <si>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</si>
  <si>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</si>
  <si>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</si>
  <si>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</si>
  <si>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</si>
  <si>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</si>
  <si>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</si>
  <si>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</si>
  <si>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</si>
  <si>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</si>
  <si>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</si>
  <si>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</si>
  <si>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</si>
  <si>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</si>
  <si>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</si>
  <si>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</si>
  <si>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</si>
  <si>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</si>
  <si>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</si>
  <si>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</si>
  <si>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</si>
  <si>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</si>
  <si>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</si>
  <si>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</si>
  <si>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</si>
  <si>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</si>
  <si>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</si>
  <si>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</si>
  <si>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</si>
  <si>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</si>
  <si>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</si>
  <si>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</si>
  <si>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</si>
  <si>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</si>
  <si>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</si>
  <si>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</si>
  <si>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</si>
  <si>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</si>
  <si>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</si>
  <si>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</si>
  <si>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</si>
  <si>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</si>
  <si>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</si>
  <si>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</si>
  <si>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</si>
  <si>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</si>
  <si>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</si>
  <si>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</si>
  <si>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</si>
  <si>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</si>
  <si>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</si>
  <si>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</si>
  <si>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</si>
  <si>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</si>
  <si>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</si>
  <si>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</si>
  <si>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</si>
  <si>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</si>
  <si>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</si>
  <si>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</si>
  <si>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</si>
  <si>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</si>
  <si>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</si>
  <si>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</si>
  <si>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</si>
  <si>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</si>
  <si>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</si>
  <si>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</si>
  <si>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</si>
  <si>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</si>
  <si>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</si>
  <si>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</si>
  <si>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</si>
  <si>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</si>
  <si>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</si>
  <si>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</si>
  <si>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</si>
  <si>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</si>
  <si>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</si>
  <si>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</si>
  <si>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</si>
  <si>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</si>
  <si>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</si>
  <si>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</si>
  <si>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</si>
  <si>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</si>
  <si>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</si>
  <si>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</si>
  <si>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</si>
  <si>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</si>
  <si>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</si>
  <si>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</si>
  <si>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</si>
  <si>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</si>
  <si>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</si>
  <si>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</si>
  <si>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</si>
  <si>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</si>
  <si>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</si>
  <si>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</si>
  <si>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</si>
  <si>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</si>
  <si>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</si>
  <si>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</si>
  <si>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</si>
  <si>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</si>
  <si>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</si>
  <si>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</si>
  <si>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</si>
  <si>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</si>
  <si>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</si>
  <si>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</si>
  <si>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</si>
  <si>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</si>
  <si>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</si>
  <si>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</si>
  <si>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</si>
  <si>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</si>
  <si>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</si>
  <si>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</si>
  <si>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</si>
  <si>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</si>
  <si>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</si>
  <si>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</si>
  <si>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</si>
  <si>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</si>
  <si>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</si>
  <si>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</si>
  <si>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</si>
  <si>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</si>
  <si>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</si>
  <si>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</si>
  <si>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</si>
  <si>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</si>
  <si>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</si>
  <si>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</si>
  <si>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</si>
  <si>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</si>
  <si>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</si>
  <si>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</si>
  <si>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</si>
  <si>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</si>
  <si>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</si>
  <si>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</si>
  <si>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</si>
  <si>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</si>
  <si>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</si>
  <si>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</si>
  <si>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</si>
  <si>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</si>
  <si>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</si>
  <si>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</si>
  <si>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</si>
  <si>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</si>
  <si>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</si>
  <si>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</si>
  <si>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</si>
  <si>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</si>
  <si>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</si>
  <si>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</si>
  <si>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</si>
  <si>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</si>
  <si>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</si>
  <si>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</si>
  <si>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</si>
  <si>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</si>
  <si>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</si>
  <si>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</si>
  <si>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</si>
  <si>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</si>
  <si>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</si>
  <si>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</si>
  <si>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</si>
  <si>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</si>
  <si>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</si>
  <si>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</si>
  <si>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</si>
  <si>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</si>
  <si>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</si>
  <si>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</si>
  <si>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</si>
  <si>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</si>
  <si>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</si>
  <si>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</si>
  <si>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</si>
  <si>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</si>
  <si>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</si>
  <si>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</si>
  <si>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</si>
  <si>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</si>
  <si>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</si>
  <si>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</si>
  <si>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</si>
  <si>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</si>
  <si>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</si>
  <si>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</si>
  <si>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</si>
  <si>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</si>
  <si>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</si>
  <si>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</si>
  <si>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</si>
  <si>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</si>
  <si>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</si>
  <si>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</si>
  <si>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</si>
  <si>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</si>
  <si>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</si>
  <si>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</si>
  <si>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</si>
  <si>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</si>
  <si>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</si>
  <si>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</si>
  <si>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</si>
  <si>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</si>
  <si>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</si>
  <si>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</si>
  <si>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</si>
  <si>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</si>
  <si>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</si>
  <si>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</si>
  <si>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</si>
  <si>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</si>
  <si>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</si>
  <si>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</si>
  <si>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</si>
  <si>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</si>
  <si>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</si>
  <si>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</si>
  <si>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</si>
  <si>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</si>
  <si>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</si>
  <si>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</si>
  <si>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</si>
  <si>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</si>
  <si>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</si>
  <si>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Sum of Sales</t>
  </si>
  <si>
    <t>Arabica</t>
  </si>
  <si>
    <t>Excelsa</t>
  </si>
  <si>
    <t>Liberica</t>
  </si>
  <si>
    <t>Robusta</t>
  </si>
  <si>
    <t>2019 Total</t>
  </si>
  <si>
    <t>2020 Total</t>
  </si>
  <si>
    <t>2021 Total</t>
  </si>
  <si>
    <t>2022 Total</t>
  </si>
  <si>
    <t>Month</t>
  </si>
  <si>
    <t>Year</t>
  </si>
  <si>
    <t>Years (Month)</t>
  </si>
  <si>
    <t>Months (Month)</t>
  </si>
  <si>
    <t>Sum of Quantity</t>
  </si>
  <si>
    <t>Country wise sales</t>
  </si>
  <si>
    <t>Customer wise sales</t>
  </si>
  <si>
    <t>Year and month wise sales</t>
  </si>
  <si>
    <t>Count of Order ID</t>
  </si>
  <si>
    <t>Country and coffee type wise order count</t>
  </si>
  <si>
    <t>Year and month and coffee type wise order count</t>
  </si>
  <si>
    <t>Year and country wise order count</t>
  </si>
  <si>
    <t>Count of Customer ID</t>
  </si>
  <si>
    <t>Coffee Type Distribution (Highest Value)</t>
  </si>
  <si>
    <t xml:space="preserve"> Roast Level Popularity</t>
  </si>
  <si>
    <t>Light</t>
  </si>
  <si>
    <t>Count of Loyalty Card</t>
  </si>
  <si>
    <t>Package Size Preferences</t>
  </si>
  <si>
    <t>Customer geopgraphic dist</t>
  </si>
  <si>
    <t>Grand Total</t>
  </si>
  <si>
    <t>Average Order Size = Total Quantity Sold ÷ Total Orders</t>
  </si>
  <si>
    <t>Total Sales</t>
  </si>
  <si>
    <t>Total Orders</t>
  </si>
  <si>
    <t>Total Customers</t>
  </si>
  <si>
    <t>Average Order Size</t>
  </si>
  <si>
    <t>Average Order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</si>
</sst>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5" formatCode="&quot;$&quot;#,##0_);\(&quot;$&quot;#,##0\)"/>
    <numFmt numFmtId="44" formatCode="_(&quot;$&quot;* #,##0.00_);_(&quot;$&quot;* \(#,##0.00\);_(&quot;$&quot;* &quot;-&quot;??_);_(@_)"/>
    <numFmt numFmtId="43" formatCode="_(* #,##0.00_);_(* \(#,##0.00\);_(* &quot;-&quot;??_);_(@_)"/>
    <numFmt numFmtId="164" formatCode="0.0"/>
    <numFmt numFmtId="165" formatCode="dd\-mmm\-yyyy"/>
    <numFmt numFmtId="166" formatCode="0.0\ &quot;kg&quot;"/>
    <numFmt numFmtId="167" formatCode="mmmm"/>
    <numFmt numFmtId="168" formatCode="_(* #,##0_);_(* \(#,##0\);_(* &quot;-&quot;??_);_(@_)"/>
  </numFmts>
  <fonts count="6"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sz val="8"/>
      <name val="Calibri"/>
      <family val="2"/>
      <scheme val="minor"/>
    </font>
    <font>
      <b/>
      <sz val="22"/>
      <color theme="1"/>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50">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44" fontId="1" fillId="0" borderId="0" xfId="1" applyFont="1" applyAlignment="1">
      <alignment vertical="center"/>
    </xf>
    <xf numFmtId="44" fontId="0" fillId="0" borderId="0" xfId="1" applyFont="1"/>
    <xf numFmtId="0" fontId="0" fillId="0" borderId="1" xfId="0" applyBorder="1"/>
    <xf numFmtId="0" fontId="0" fillId="0" borderId="1" xfId="0" pivotButton="1" applyBorder="1"/>
    <xf numFmtId="0" fontId="0" fillId="0" borderId="5" xfId="0" applyBorder="1"/>
    <xf numFmtId="0" fontId="0" fillId="0" borderId="0" xfId="0" pivotButton="1"/>
    <xf numFmtId="0" fontId="0" fillId="0" borderId="7" xfId="0" applyBorder="1"/>
    <xf numFmtId="0" fontId="0" fillId="0" borderId="8" xfId="0" applyBorder="1"/>
    <xf numFmtId="0" fontId="0" fillId="0" borderId="2" xfId="0" pivotButton="1" applyBorder="1"/>
    <xf numFmtId="0" fontId="0" fillId="0" borderId="5" xfId="0" pivotButton="1" applyBorder="1"/>
    <xf numFmtId="0" fontId="0" fillId="0" borderId="10" xfId="0" pivotButton="1" applyBorder="1"/>
    <xf numFmtId="0" fontId="0" fillId="0" borderId="11" xfId="0" applyBorder="1"/>
    <xf numFmtId="0" fontId="0" fillId="0" borderId="10" xfId="0" applyBorder="1"/>
    <xf numFmtId="0" fontId="0" fillId="0" borderId="12" xfId="0" applyBorder="1"/>
    <xf numFmtId="0" fontId="1" fillId="0" borderId="0" xfId="0" applyFont="1" applyAlignment="1">
      <alignment horizontal="center" vertical="center"/>
    </xf>
    <xf numFmtId="0" fontId="0" fillId="0" borderId="0" xfId="0" applyAlignment="1">
      <alignment horizontal="center"/>
    </xf>
    <xf numFmtId="0" fontId="0" fillId="0" borderId="6" xfId="0" applyBorder="1"/>
    <xf numFmtId="167" fontId="1" fillId="0" borderId="0" xfId="0" applyNumberFormat="1" applyFont="1" applyAlignment="1">
      <alignment vertical="center"/>
    </xf>
    <xf numFmtId="44" fontId="0" fillId="0" borderId="0" xfId="0" applyNumberFormat="1"/>
    <xf numFmtId="0" fontId="3" fillId="0" borderId="0" xfId="0" applyFont="1"/>
    <xf numFmtId="5" fontId="0" fillId="0" borderId="6" xfId="0" applyNumberFormat="1" applyBorder="1"/>
    <xf numFmtId="5" fontId="0" fillId="0" borderId="8" xfId="0" applyNumberFormat="1" applyBorder="1"/>
    <xf numFmtId="5" fontId="0" fillId="0" borderId="9" xfId="0" applyNumberFormat="1" applyBorder="1"/>
    <xf numFmtId="5" fontId="0" fillId="0" borderId="2" xfId="0" applyNumberFormat="1" applyBorder="1"/>
    <xf numFmtId="5" fontId="0" fillId="0" borderId="3" xfId="0" applyNumberFormat="1" applyBorder="1"/>
    <xf numFmtId="5" fontId="0" fillId="0" borderId="4" xfId="0" applyNumberFormat="1" applyBorder="1"/>
    <xf numFmtId="5" fontId="0" fillId="0" borderId="5" xfId="0" applyNumberFormat="1" applyBorder="1"/>
    <xf numFmtId="5" fontId="0" fillId="0" borderId="7" xfId="0" applyNumberFormat="1" applyBorder="1"/>
    <xf numFmtId="5" fontId="0" fillId="0" borderId="13" xfId="0" applyNumberFormat="1" applyBorder="1"/>
    <xf numFmtId="5" fontId="0" fillId="0" borderId="14" xfId="0" applyNumberFormat="1" applyBorder="1"/>
    <xf numFmtId="5" fontId="0" fillId="0" borderId="15" xfId="0" applyNumberFormat="1" applyBorder="1"/>
    <xf numFmtId="10" fontId="0" fillId="0" borderId="0" xfId="0" applyNumberFormat="1"/>
    <xf numFmtId="2" fontId="0" fillId="0" borderId="0" xfId="0" applyNumberFormat="1"/>
    <xf numFmtId="168" fontId="0" fillId="0" borderId="0" xfId="2" applyNumberFormat="1" applyFont="1" applyBorder="1"/>
    <xf numFmtId="9" fontId="0" fillId="0" borderId="0" xfId="3" applyFont="1"/>
    <xf numFmtId="0" fontId="0" fillId="2" borderId="0" xfId="0" applyFill="1"/>
    <xf numFmtId="0" fontId="3" fillId="0" borderId="0" xfId="0" applyFont="1" applyAlignment="1">
      <alignment horizontal="center"/>
    </xf>
    <xf numFmtId="0" fontId="3" fillId="0" borderId="0" xfId="0" applyFont="1" applyAlignment="1">
      <alignment horizontal="left"/>
    </xf>
    <xf numFmtId="0" fontId="5" fillId="2" borderId="0" xfId="0" applyFont="1" applyFill="1" applyAlignment="1">
      <alignment horizontal="center"/>
    </xf>
    <xf numFmtId="0" fontId="0" fillId="0" borderId="0" xfId="0" pivotButton="1" applyBorder="1"/>
    <xf numFmtId="0" fontId="0" fillId="0" borderId="0" xfId="0" applyBorder="1"/>
    <xf numFmtId="5" fontId="0" fillId="0" borderId="0" xfId="0" applyNumberFormat="1" applyBorder="1"/>
    <xf numFmtId="37" fontId="0" fillId="0" borderId="0" xfId="0" applyNumberFormat="1" applyBorder="1"/>
    <xf numFmtId="0" fontId="0" fillId="0" borderId="0" xfId="0" applyNumberFormat="1" applyBorder="1"/>
  </cellXfs>
  <cellStyles count="4">
    <cellStyle name="Comma" xfId="2" builtinId="3"/>
    <cellStyle name="Currency" xfId="1" builtinId="4"/>
    <cellStyle name="Normal" xfId="0" builtinId="0"/>
    <cellStyle name="Percent" xfId="3" builtinId="5"/>
  </cellStyles>
  <dxfs count="297">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9" formatCode="&quot;$&quot;#,##0_);\(&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color theme="1"/>
      </font>
      <border>
        <bottom style="thin">
          <color theme="9"/>
        </bottom>
        <vertical/>
        <horizontal/>
      </border>
    </dxf>
    <dxf>
      <font>
        <color theme="1"/>
      </font>
      <fill>
        <patternFill>
          <bgColor theme="9" tint="0.79998168889431442"/>
        </patternFill>
      </fill>
      <border>
        <left style="thin">
          <color theme="9"/>
        </left>
        <right style="thin">
          <color theme="9"/>
        </right>
        <top style="thin">
          <color theme="9"/>
        </top>
        <bottom style="thin">
          <color theme="9"/>
        </bottom>
        <vertical/>
        <horizontal/>
      </border>
    </dxf>
    <dxf>
      <font>
        <b/>
        <sz val="11"/>
        <color theme="1"/>
      </font>
      <border diagonalUp="0" diagonalDown="0">
        <left/>
        <right/>
        <top/>
        <bottom/>
        <vertical/>
        <horizontal/>
      </border>
    </dxf>
    <dxf>
      <font>
        <b val="0"/>
        <i val="0"/>
        <sz val="11"/>
        <color theme="1"/>
        <name val="Calibri Light"/>
        <family val="2"/>
        <scheme val="major"/>
      </font>
      <fill>
        <patternFill patternType="solid">
          <fgColor theme="0"/>
          <bgColor theme="9" tint="0.59996337778862885"/>
        </patternFill>
      </fill>
      <border diagonalUp="0" diagonalDown="0">
        <left style="thin">
          <color theme="9" tint="0.59996337778862885"/>
        </left>
        <right style="thin">
          <color theme="9" tint="0.59996337778862885"/>
        </right>
        <top style="thin">
          <color theme="9" tint="0.59996337778862885"/>
        </top>
        <bottom style="thin">
          <color theme="9" tint="0.59996337778862885"/>
        </bottom>
        <vertical/>
        <horizontal/>
      </border>
    </dxf>
  </dxfs>
  <tableStyles count="2" defaultTableStyle="TableStyleMedium2" defaultPivotStyle="PivotStyleMedium9">
    <tableStyle name="Green Timeline style" pivot="0" table="0" count="8" xr9:uid="{FF7822E3-DA33-45BA-BC1A-8F6B2728B6B0}">
      <tableStyleElement type="wholeTable" dxfId="296"/>
      <tableStyleElement type="headerRow" dxfId="295"/>
    </tableStyle>
    <tableStyle name="SlicerStyleDark6 2" pivot="0" table="0" count="10" xr9:uid="{F5FE78C1-C46F-4DF8-BFB4-C418DA39500D}">
      <tableStyleElement type="wholeTable" dxfId="294"/>
      <tableStyleElement type="headerRow" dxfId="293"/>
    </tableStyle>
  </tableStyles>
  <colors>
    <mruColors>
      <color rgb="FF54545B"/>
    </mruColors>
  </colors>
  <extLst>
    <ext xmlns:x14="http://schemas.microsoft.com/office/spreadsheetml/2009/9/main" uri="{46F421CA-312F-682f-3DD2-61675219B42D}">
      <x14:dxfs count="8">
        <dxf>
          <font>
            <color theme="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theme="0"/>
          </font>
          <fill>
            <patternFill patternType="solid">
              <fgColor rgb="FFDFDFDF"/>
              <bgColor theme="9" tint="0.59996337778862885"/>
            </patternFill>
          </fill>
          <border>
            <left style="thin">
              <color rgb="FFDFDFDF"/>
            </left>
            <right style="thin">
              <color rgb="FFDFDFDF"/>
            </right>
            <top style="thin">
              <color rgb="FFDFDFDF"/>
            </top>
            <bottom style="thin">
              <color rgb="FFDFDFDF"/>
            </bottom>
            <vertical/>
            <horizontal/>
          </border>
        </dxf>
        <dxf>
          <font>
            <strike/>
            <color rgb="FF000000"/>
          </font>
          <fill>
            <patternFill patternType="solid">
              <fgColor rgb="FFC0C0C0"/>
              <bgColor theme="9" tint="0.59996337778862885"/>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8764000366222"/>
              <bgColor theme="9" tint="0.79998168889431442"/>
            </patternFill>
          </fill>
          <border diagonalUp="0" diagonalDown="0">
            <left/>
            <right/>
            <top/>
            <bottom/>
            <vertical/>
            <horizontal/>
          </border>
        </dxf>
        <dxf>
          <fill>
            <patternFill patternType="solid">
              <fgColor theme="0"/>
              <bgColor theme="9" tint="-0.499984740745262"/>
            </patternFill>
          </fill>
        </dxf>
        <dxf>
          <font>
            <sz val="9"/>
            <color theme="1"/>
            <name val="Calibri"/>
            <family val="2"/>
            <scheme val="minor"/>
          </font>
        </dxf>
        <dxf>
          <font>
            <sz val="9"/>
            <color theme="1"/>
            <name val="Calibri"/>
            <family val="2"/>
            <scheme val="minor"/>
          </font>
        </dxf>
        <dxf>
          <font>
            <b/>
            <i val="0"/>
            <sz val="9"/>
            <color theme="1"/>
            <name val="Calibri"/>
            <family val="2"/>
            <scheme val="minor"/>
          </font>
        </dxf>
        <dxf>
          <font>
            <b/>
            <i val="0"/>
            <sz val="11"/>
            <color theme="9" tint="-0.499984740745262"/>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Sales.xlsx]total sales!Total Sales</c:name>
    <c:fmtId val="4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a:t>
            </a:r>
            <a:r>
              <a:rPr lang="en-IN" b="1" baseline="0">
                <a:solidFill>
                  <a:schemeClr val="tx1"/>
                </a:solidFill>
              </a:rPr>
              <a:t> Sales</a:t>
            </a:r>
          </a:p>
          <a:p>
            <a:pPr>
              <a:defRPr b="1">
                <a:solidFill>
                  <a:schemeClr val="tx1"/>
                </a:solidFill>
              </a:defRPr>
            </a:pP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sales'!$C$3:$C$4</c:f>
              <c:strCache>
                <c:ptCount val="1"/>
                <c:pt idx="0">
                  <c:v>Arabica</c:v>
                </c:pt>
              </c:strCache>
            </c:strRef>
          </c:tx>
          <c:spPr>
            <a:solidFill>
              <a:schemeClr val="accent1"/>
            </a:solidFill>
            <a:ln>
              <a:noFill/>
            </a:ln>
            <a:effectLst/>
          </c:spPr>
          <c:invertIfNegative val="0"/>
          <c:cat>
            <c:multiLvlStrRef>
              <c:f>'total 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 sales'!$C$5:$C$18</c:f>
              <c:numCache>
                <c:formatCode>"$"#,##0_);\("$"#,##0\)</c:formatCode>
                <c:ptCount val="12"/>
                <c:pt idx="0">
                  <c:v>77.699999999999989</c:v>
                </c:pt>
                <c:pt idx="1">
                  <c:v>67.339999999999989</c:v>
                </c:pt>
                <c:pt idx="2">
                  <c:v>59.569999999999993</c:v>
                </c:pt>
                <c:pt idx="3">
                  <c:v>64.75</c:v>
                </c:pt>
                <c:pt idx="4">
                  <c:v>29.784999999999997</c:v>
                </c:pt>
                <c:pt idx="6">
                  <c:v>89.35499999999999</c:v>
                </c:pt>
                <c:pt idx="7">
                  <c:v>213.67499999999998</c:v>
                </c:pt>
                <c:pt idx="8">
                  <c:v>178.70999999999998</c:v>
                </c:pt>
                <c:pt idx="9">
                  <c:v>103.6</c:v>
                </c:pt>
              </c:numCache>
            </c:numRef>
          </c:val>
          <c:extLst>
            <c:ext xmlns:c16="http://schemas.microsoft.com/office/drawing/2014/chart" uri="{C3380CC4-5D6E-409C-BE32-E72D297353CC}">
              <c16:uniqueId val="{00000000-F6AD-460A-947E-F6A022ECD261}"/>
            </c:ext>
          </c:extLst>
        </c:ser>
        <c:ser>
          <c:idx val="1"/>
          <c:order val="1"/>
          <c:tx>
            <c:strRef>
              <c:f>'total sales'!$D$3:$D$4</c:f>
              <c:strCache>
                <c:ptCount val="1"/>
                <c:pt idx="0">
                  <c:v>Excelsa</c:v>
                </c:pt>
              </c:strCache>
            </c:strRef>
          </c:tx>
          <c:spPr>
            <a:solidFill>
              <a:schemeClr val="accent2"/>
            </a:solidFill>
            <a:ln>
              <a:noFill/>
            </a:ln>
            <a:effectLst/>
          </c:spPr>
          <c:invertIfNegative val="0"/>
          <c:cat>
            <c:multiLvlStrRef>
              <c:f>'total 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 sales'!$D$5:$D$18</c:f>
              <c:numCache>
                <c:formatCode>"$"#,##0_);\("$"#,##0\)</c:formatCode>
                <c:ptCount val="12"/>
                <c:pt idx="0">
                  <c:v>53.46</c:v>
                </c:pt>
                <c:pt idx="3">
                  <c:v>181.16999999999996</c:v>
                </c:pt>
                <c:pt idx="5">
                  <c:v>341.54999999999995</c:v>
                </c:pt>
                <c:pt idx="6">
                  <c:v>204.92999999999995</c:v>
                </c:pt>
                <c:pt idx="9">
                  <c:v>86.13</c:v>
                </c:pt>
                <c:pt idx="11">
                  <c:v>204.92999999999995</c:v>
                </c:pt>
              </c:numCache>
            </c:numRef>
          </c:val>
          <c:extLst>
            <c:ext xmlns:c16="http://schemas.microsoft.com/office/drawing/2014/chart" uri="{C3380CC4-5D6E-409C-BE32-E72D297353CC}">
              <c16:uniqueId val="{00000001-10A1-4D52-9C0B-E7AE5F2CAC7D}"/>
            </c:ext>
          </c:extLst>
        </c:ser>
        <c:ser>
          <c:idx val="2"/>
          <c:order val="2"/>
          <c:tx>
            <c:strRef>
              <c:f>'total sales'!$E$3:$E$4</c:f>
              <c:strCache>
                <c:ptCount val="1"/>
                <c:pt idx="0">
                  <c:v>Liberica</c:v>
                </c:pt>
              </c:strCache>
            </c:strRef>
          </c:tx>
          <c:spPr>
            <a:solidFill>
              <a:schemeClr val="accent3"/>
            </a:solidFill>
            <a:ln>
              <a:noFill/>
            </a:ln>
            <a:effectLst/>
          </c:spPr>
          <c:invertIfNegative val="0"/>
          <c:cat>
            <c:multiLvlStrRef>
              <c:f>'total 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 sales'!$E$5:$E$18</c:f>
              <c:numCache>
                <c:formatCode>"$"#,##0_);\("$"#,##0\)</c:formatCode>
                <c:ptCount val="12"/>
                <c:pt idx="0">
                  <c:v>50.72</c:v>
                </c:pt>
                <c:pt idx="2">
                  <c:v>85.59</c:v>
                </c:pt>
                <c:pt idx="3">
                  <c:v>210.80499999999998</c:v>
                </c:pt>
                <c:pt idx="6">
                  <c:v>171.17999999999998</c:v>
                </c:pt>
                <c:pt idx="7">
                  <c:v>15.85</c:v>
                </c:pt>
                <c:pt idx="8">
                  <c:v>91.929999999999993</c:v>
                </c:pt>
                <c:pt idx="10">
                  <c:v>187.03</c:v>
                </c:pt>
              </c:numCache>
            </c:numRef>
          </c:val>
          <c:extLst>
            <c:ext xmlns:c16="http://schemas.microsoft.com/office/drawing/2014/chart" uri="{C3380CC4-5D6E-409C-BE32-E72D297353CC}">
              <c16:uniqueId val="{00000002-10A1-4D52-9C0B-E7AE5F2CAC7D}"/>
            </c:ext>
          </c:extLst>
        </c:ser>
        <c:ser>
          <c:idx val="3"/>
          <c:order val="3"/>
          <c:tx>
            <c:strRef>
              <c:f>'total sales'!$F$3:$F$4</c:f>
              <c:strCache>
                <c:ptCount val="1"/>
                <c:pt idx="0">
                  <c:v>Robusta</c:v>
                </c:pt>
              </c:strCache>
            </c:strRef>
          </c:tx>
          <c:spPr>
            <a:solidFill>
              <a:schemeClr val="accent4"/>
            </a:solidFill>
            <a:ln>
              <a:noFill/>
            </a:ln>
            <a:effectLst/>
          </c:spPr>
          <c:invertIfNegative val="0"/>
          <c:cat>
            <c:multiLvlStrRef>
              <c:f>'total 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 sales'!$F$5:$F$18</c:f>
              <c:numCache>
                <c:formatCode>"$"#,##0_);\("$"#,##0\)</c:formatCode>
                <c:ptCount val="12"/>
                <c:pt idx="0">
                  <c:v>21.509999999999998</c:v>
                </c:pt>
                <c:pt idx="1">
                  <c:v>71.699999999999989</c:v>
                </c:pt>
                <c:pt idx="2">
                  <c:v>28.679999999999996</c:v>
                </c:pt>
                <c:pt idx="3">
                  <c:v>21.509999999999998</c:v>
                </c:pt>
                <c:pt idx="5">
                  <c:v>17.924999999999997</c:v>
                </c:pt>
                <c:pt idx="9">
                  <c:v>164.91</c:v>
                </c:pt>
                <c:pt idx="10">
                  <c:v>7.169999999999999</c:v>
                </c:pt>
                <c:pt idx="11">
                  <c:v>58.554999999999993</c:v>
                </c:pt>
              </c:numCache>
            </c:numRef>
          </c:val>
          <c:extLst>
            <c:ext xmlns:c16="http://schemas.microsoft.com/office/drawing/2014/chart" uri="{C3380CC4-5D6E-409C-BE32-E72D297353CC}">
              <c16:uniqueId val="{00000003-10A1-4D52-9C0B-E7AE5F2CAC7D}"/>
            </c:ext>
          </c:extLst>
        </c:ser>
        <c:dLbls>
          <c:showLegendKey val="0"/>
          <c:showVal val="0"/>
          <c:showCatName val="0"/>
          <c:showSerName val="0"/>
          <c:showPercent val="0"/>
          <c:showBubbleSize val="0"/>
        </c:dLbls>
        <c:gapWidth val="219"/>
        <c:axId val="41167472"/>
        <c:axId val="41167952"/>
      </c:barChart>
      <c:catAx>
        <c:axId val="4116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67952"/>
        <c:crosses val="autoZero"/>
        <c:auto val="1"/>
        <c:lblAlgn val="ctr"/>
        <c:lblOffset val="100"/>
        <c:noMultiLvlLbl val="0"/>
      </c:catAx>
      <c:valAx>
        <c:axId val="41167952"/>
        <c:scaling>
          <c:orientation val="minMax"/>
        </c:scaling>
        <c:delete val="0"/>
        <c:axPos val="l"/>
        <c:majorGridlines>
          <c:spPr>
            <a:ln w="9525" cap="flat" cmpd="sng" algn="ctr">
              <a:solidFill>
                <a:schemeClr val="accent6">
                  <a:lumMod val="5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6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Sales.xlsx]total sales!country by sales</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Sales</a:t>
            </a:r>
            <a:r>
              <a:rPr lang="en-US" sz="1400" b="1" baseline="0">
                <a:solidFill>
                  <a:schemeClr val="tx1"/>
                </a:solidFill>
              </a:rPr>
              <a:t> by country</a:t>
            </a:r>
          </a:p>
          <a:p>
            <a:pPr>
              <a:defRPr/>
            </a:pP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3619136185881"/>
          <c:y val="0.15399173228153396"/>
          <c:w val="0.74114060769066026"/>
          <c:h val="0.80033803166840201"/>
        </c:manualLayout>
      </c:layout>
      <c:barChart>
        <c:barDir val="bar"/>
        <c:grouping val="clustered"/>
        <c:varyColors val="0"/>
        <c:ser>
          <c:idx val="0"/>
          <c:order val="0"/>
          <c:tx>
            <c:strRef>
              <c:f>'total sales'!$I$3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sales'!$H$4:$H$6</c:f>
              <c:strCache>
                <c:ptCount val="3"/>
                <c:pt idx="0">
                  <c:v>United Kingdom</c:v>
                </c:pt>
                <c:pt idx="1">
                  <c:v>Ireland</c:v>
                </c:pt>
                <c:pt idx="2">
                  <c:v>United States</c:v>
                </c:pt>
              </c:strCache>
            </c:strRef>
          </c:cat>
          <c:val>
            <c:numRef>
              <c:f>'total sales'!$I$4:$I$6</c:f>
              <c:numCache>
                <c:formatCode>"$"#,##0_);\("$"#,##0\)</c:formatCode>
                <c:ptCount val="3"/>
                <c:pt idx="0">
                  <c:v>195.49</c:v>
                </c:pt>
                <c:pt idx="1">
                  <c:v>578.84499999999991</c:v>
                </c:pt>
                <c:pt idx="2">
                  <c:v>2387.3849999999998</c:v>
                </c:pt>
              </c:numCache>
            </c:numRef>
          </c:val>
          <c:extLst>
            <c:ext xmlns:c16="http://schemas.microsoft.com/office/drawing/2014/chart" uri="{C3380CC4-5D6E-409C-BE32-E72D297353CC}">
              <c16:uniqueId val="{00000000-2B52-4E4A-92AE-02C6CB7C4658}"/>
            </c:ext>
          </c:extLst>
        </c:ser>
        <c:dLbls>
          <c:showLegendKey val="0"/>
          <c:showVal val="0"/>
          <c:showCatName val="0"/>
          <c:showSerName val="0"/>
          <c:showPercent val="0"/>
          <c:showBubbleSize val="0"/>
        </c:dLbls>
        <c:gapWidth val="182"/>
        <c:axId val="36023344"/>
        <c:axId val="36019984"/>
      </c:barChart>
      <c:catAx>
        <c:axId val="3602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19984"/>
        <c:crosses val="autoZero"/>
        <c:auto val="1"/>
        <c:lblAlgn val="ctr"/>
        <c:lblOffset val="100"/>
        <c:noMultiLvlLbl val="0"/>
      </c:catAx>
      <c:valAx>
        <c:axId val="3601998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crossAx val="3602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Sales.xlsx]total sales!top 5 customers</c:name>
    <c:fmtId val="3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sales'!$I$11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sales'!$H$12:$H$16</c:f>
              <c:strCache>
                <c:ptCount val="5"/>
                <c:pt idx="0">
                  <c:v>Redd Simao</c:v>
                </c:pt>
                <c:pt idx="1">
                  <c:v>Samuele Ales0</c:v>
                </c:pt>
                <c:pt idx="2">
                  <c:v>Daniel Heinonen</c:v>
                </c:pt>
                <c:pt idx="3">
                  <c:v>Nanny Lush</c:v>
                </c:pt>
                <c:pt idx="4">
                  <c:v>Shelli Keynd</c:v>
                </c:pt>
              </c:strCache>
            </c:strRef>
          </c:cat>
          <c:val>
            <c:numRef>
              <c:f>'total sales'!$I$12:$I$16</c:f>
              <c:numCache>
                <c:formatCode>"$"#,##0_);\("$"#,##0\)</c:formatCode>
                <c:ptCount val="5"/>
                <c:pt idx="0">
                  <c:v>178.70999999999998</c:v>
                </c:pt>
                <c:pt idx="1">
                  <c:v>182.27499999999998</c:v>
                </c:pt>
                <c:pt idx="2">
                  <c:v>204.92999999999995</c:v>
                </c:pt>
                <c:pt idx="3">
                  <c:v>204.92999999999995</c:v>
                </c:pt>
                <c:pt idx="4">
                  <c:v>204.92999999999995</c:v>
                </c:pt>
              </c:numCache>
            </c:numRef>
          </c:val>
          <c:extLst>
            <c:ext xmlns:c16="http://schemas.microsoft.com/office/drawing/2014/chart" uri="{C3380CC4-5D6E-409C-BE32-E72D297353CC}">
              <c16:uniqueId val="{00000000-AC91-4F3A-B6AB-18578348C34B}"/>
            </c:ext>
          </c:extLst>
        </c:ser>
        <c:dLbls>
          <c:showLegendKey val="0"/>
          <c:showVal val="0"/>
          <c:showCatName val="0"/>
          <c:showSerName val="0"/>
          <c:showPercent val="0"/>
          <c:showBubbleSize val="0"/>
        </c:dLbls>
        <c:gapWidth val="182"/>
        <c:axId val="1827774320"/>
        <c:axId val="1827773360"/>
      </c:barChart>
      <c:catAx>
        <c:axId val="182777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73360"/>
        <c:crosses val="autoZero"/>
        <c:auto val="1"/>
        <c:lblAlgn val="ctr"/>
        <c:lblOffset val="100"/>
        <c:noMultiLvlLbl val="0"/>
      </c:catAx>
      <c:valAx>
        <c:axId val="18277733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7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Sales.xlsx]extra!coffee type distribution</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Coffe</a:t>
            </a:r>
            <a:r>
              <a:rPr lang="en-US" b="1" baseline="0">
                <a:solidFill>
                  <a:schemeClr val="tx1">
                    <a:lumMod val="95000"/>
                    <a:lumOff val="5000"/>
                  </a:schemeClr>
                </a:solidFill>
              </a:rPr>
              <a:t>e Type Distribution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accent6">
                <a:lumMod val="50000"/>
              </a:schemeClr>
            </a:solidFill>
          </a:ln>
          <a:effectLst/>
        </c:spPr>
      </c:pivotFmt>
      <c:pivotFmt>
        <c:idx val="8"/>
        <c:spPr>
          <a:solidFill>
            <a:schemeClr val="accent1"/>
          </a:solidFill>
          <a:ln w="19050">
            <a:solidFill>
              <a:schemeClr val="accent6">
                <a:lumMod val="50000"/>
              </a:schemeClr>
            </a:solidFill>
          </a:ln>
          <a:effectLst/>
        </c:spPr>
      </c:pivotFmt>
      <c:pivotFmt>
        <c:idx val="9"/>
        <c:spPr>
          <a:solidFill>
            <a:schemeClr val="accent1"/>
          </a:solidFill>
          <a:ln w="19050">
            <a:solidFill>
              <a:schemeClr val="accent6">
                <a:lumMod val="50000"/>
              </a:schemeClr>
            </a:solidFill>
          </a:ln>
          <a:effectLst/>
        </c:spPr>
      </c:pivotFmt>
      <c:pivotFmt>
        <c:idx val="10"/>
        <c:spPr>
          <a:solidFill>
            <a:schemeClr val="accent1"/>
          </a:solidFill>
          <a:ln w="19050">
            <a:solidFill>
              <a:schemeClr val="accent6">
                <a:lumMod val="50000"/>
              </a:schemeClr>
            </a:solidFill>
          </a:ln>
          <a:effectLst/>
        </c:spPr>
      </c:pivotFmt>
    </c:pivotFmts>
    <c:plotArea>
      <c:layout/>
      <c:pieChart>
        <c:varyColors val="1"/>
        <c:ser>
          <c:idx val="0"/>
          <c:order val="0"/>
          <c:tx>
            <c:strRef>
              <c:f>extra!$R$3</c:f>
              <c:strCache>
                <c:ptCount val="1"/>
                <c:pt idx="0">
                  <c:v>Total</c:v>
                </c:pt>
              </c:strCache>
            </c:strRef>
          </c:tx>
          <c:spPr>
            <a:ln>
              <a:solidFill>
                <a:schemeClr val="accent6">
                  <a:lumMod val="50000"/>
                </a:schemeClr>
              </a:solidFill>
            </a:ln>
          </c:spPr>
          <c:dPt>
            <c:idx val="0"/>
            <c:bubble3D val="0"/>
            <c:spPr>
              <a:solidFill>
                <a:schemeClr val="accent1"/>
              </a:solidFill>
              <a:ln w="19050">
                <a:solidFill>
                  <a:schemeClr val="accent6">
                    <a:lumMod val="50000"/>
                  </a:schemeClr>
                </a:solidFill>
              </a:ln>
              <a:effectLst/>
            </c:spPr>
            <c:extLst>
              <c:ext xmlns:c16="http://schemas.microsoft.com/office/drawing/2014/chart" uri="{C3380CC4-5D6E-409C-BE32-E72D297353CC}">
                <c16:uniqueId val="{00000001-FCCE-41BD-A97C-5435D71E2530}"/>
              </c:ext>
            </c:extLst>
          </c:dPt>
          <c:dPt>
            <c:idx val="1"/>
            <c:bubble3D val="0"/>
            <c:spPr>
              <a:solidFill>
                <a:schemeClr val="accent2"/>
              </a:solidFill>
              <a:ln w="19050">
                <a:solidFill>
                  <a:schemeClr val="accent6">
                    <a:lumMod val="50000"/>
                  </a:schemeClr>
                </a:solidFill>
              </a:ln>
              <a:effectLst/>
            </c:spPr>
            <c:extLst>
              <c:ext xmlns:c16="http://schemas.microsoft.com/office/drawing/2014/chart" uri="{C3380CC4-5D6E-409C-BE32-E72D297353CC}">
                <c16:uniqueId val="{00000003-FCCE-41BD-A97C-5435D71E2530}"/>
              </c:ext>
            </c:extLst>
          </c:dPt>
          <c:dPt>
            <c:idx val="2"/>
            <c:bubble3D val="0"/>
            <c:spPr>
              <a:solidFill>
                <a:schemeClr val="accent3"/>
              </a:solidFill>
              <a:ln w="19050">
                <a:solidFill>
                  <a:schemeClr val="accent6">
                    <a:lumMod val="50000"/>
                  </a:schemeClr>
                </a:solidFill>
              </a:ln>
              <a:effectLst/>
            </c:spPr>
            <c:extLst>
              <c:ext xmlns:c16="http://schemas.microsoft.com/office/drawing/2014/chart" uri="{C3380CC4-5D6E-409C-BE32-E72D297353CC}">
                <c16:uniqueId val="{00000005-FCCE-41BD-A97C-5435D71E2530}"/>
              </c:ext>
            </c:extLst>
          </c:dPt>
          <c:dPt>
            <c:idx val="3"/>
            <c:bubble3D val="0"/>
            <c:spPr>
              <a:solidFill>
                <a:schemeClr val="accent4"/>
              </a:solidFill>
              <a:ln w="19050">
                <a:solidFill>
                  <a:schemeClr val="accent6">
                    <a:lumMod val="50000"/>
                  </a:schemeClr>
                </a:solidFill>
              </a:ln>
              <a:effectLst/>
            </c:spPr>
            <c:extLst>
              <c:ext xmlns:c16="http://schemas.microsoft.com/office/drawing/2014/chart" uri="{C3380CC4-5D6E-409C-BE32-E72D297353CC}">
                <c16:uniqueId val="{00000007-FCCE-41BD-A97C-5435D71E25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extra!$Q$4:$Q$7</c:f>
              <c:strCache>
                <c:ptCount val="4"/>
                <c:pt idx="0">
                  <c:v>Arabica</c:v>
                </c:pt>
                <c:pt idx="1">
                  <c:v>Excelsa</c:v>
                </c:pt>
                <c:pt idx="2">
                  <c:v>Liberica</c:v>
                </c:pt>
                <c:pt idx="3">
                  <c:v>Robusta</c:v>
                </c:pt>
              </c:strCache>
            </c:strRef>
          </c:cat>
          <c:val>
            <c:numRef>
              <c:f>extra!$R$4:$R$7</c:f>
              <c:numCache>
                <c:formatCode>0.00%</c:formatCode>
                <c:ptCount val="4"/>
                <c:pt idx="0">
                  <c:v>0.26</c:v>
                </c:pt>
                <c:pt idx="1">
                  <c:v>0.2</c:v>
                </c:pt>
                <c:pt idx="2">
                  <c:v>0.3</c:v>
                </c:pt>
                <c:pt idx="3">
                  <c:v>0.24</c:v>
                </c:pt>
              </c:numCache>
            </c:numRef>
          </c:val>
          <c:extLst>
            <c:ext xmlns:c16="http://schemas.microsoft.com/office/drawing/2014/chart" uri="{C3380CC4-5D6E-409C-BE32-E72D297353CC}">
              <c16:uniqueId val="{00000008-C86D-40CA-A272-27C67BD541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Sales.xlsx]extra!Customer geopgraphic dist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Customer</a:t>
            </a:r>
            <a:r>
              <a:rPr lang="en-US" b="1" baseline="0">
                <a:solidFill>
                  <a:schemeClr val="tx1">
                    <a:lumMod val="95000"/>
                    <a:lumOff val="5000"/>
                  </a:schemeClr>
                </a:solidFill>
              </a:rPr>
              <a:t> geopgraphic distribution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accent6">
                <a:lumMod val="50000"/>
              </a:schemeClr>
            </a:solidFill>
          </a:ln>
          <a:effectLst/>
        </c:spPr>
      </c:pivotFmt>
      <c:pivotFmt>
        <c:idx val="3"/>
        <c:spPr>
          <a:solidFill>
            <a:schemeClr val="accent1"/>
          </a:solidFill>
          <a:ln w="19050">
            <a:solidFill>
              <a:schemeClr val="accent6">
                <a:lumMod val="50000"/>
              </a:schemeClr>
            </a:solidFill>
          </a:ln>
          <a:effectLst/>
        </c:spPr>
      </c:pivotFmt>
      <c:pivotFmt>
        <c:idx val="4"/>
        <c:spPr>
          <a:solidFill>
            <a:schemeClr val="accent1"/>
          </a:solidFill>
          <a:ln w="19050">
            <a:solidFill>
              <a:schemeClr val="accent6">
                <a:lumMod val="50000"/>
              </a:schemeClr>
            </a:solidFill>
          </a:ln>
          <a:effectLst/>
        </c:spPr>
      </c:pivotFmt>
      <c:pivotFmt>
        <c:idx val="5"/>
        <c:spPr>
          <a:solidFill>
            <a:schemeClr val="accent1"/>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accent6">
                <a:lumMod val="50000"/>
              </a:schemeClr>
            </a:solidFill>
          </a:ln>
          <a:effectLst/>
        </c:spPr>
      </c:pivotFmt>
      <c:pivotFmt>
        <c:idx val="7"/>
        <c:spPr>
          <a:solidFill>
            <a:schemeClr val="accent1"/>
          </a:solidFill>
          <a:ln w="19050">
            <a:solidFill>
              <a:schemeClr val="accent6">
                <a:lumMod val="50000"/>
              </a:schemeClr>
            </a:solidFill>
          </a:ln>
          <a:effectLst/>
        </c:spPr>
      </c:pivotFmt>
      <c:pivotFmt>
        <c:idx val="8"/>
        <c:spPr>
          <a:solidFill>
            <a:schemeClr val="accent1"/>
          </a:solidFill>
          <a:ln w="19050">
            <a:solidFill>
              <a:schemeClr val="accent6">
                <a:lumMod val="50000"/>
              </a:schemeClr>
            </a:solidFill>
          </a:ln>
          <a:effectLst/>
        </c:spPr>
      </c:pivotFmt>
    </c:pivotFmts>
    <c:plotArea>
      <c:layout/>
      <c:pieChart>
        <c:varyColors val="1"/>
        <c:ser>
          <c:idx val="0"/>
          <c:order val="0"/>
          <c:tx>
            <c:strRef>
              <c:f>extra!$R$42</c:f>
              <c:strCache>
                <c:ptCount val="1"/>
                <c:pt idx="0">
                  <c:v>Total</c:v>
                </c:pt>
              </c:strCache>
            </c:strRef>
          </c:tx>
          <c:spPr>
            <a:ln>
              <a:solidFill>
                <a:schemeClr val="accent6">
                  <a:lumMod val="50000"/>
                </a:schemeClr>
              </a:solidFill>
            </a:ln>
          </c:spPr>
          <c:dPt>
            <c:idx val="0"/>
            <c:bubble3D val="0"/>
            <c:spPr>
              <a:solidFill>
                <a:schemeClr val="accent1"/>
              </a:solidFill>
              <a:ln w="19050">
                <a:solidFill>
                  <a:schemeClr val="accent6">
                    <a:lumMod val="50000"/>
                  </a:schemeClr>
                </a:solidFill>
              </a:ln>
              <a:effectLst/>
            </c:spPr>
            <c:extLst>
              <c:ext xmlns:c16="http://schemas.microsoft.com/office/drawing/2014/chart" uri="{C3380CC4-5D6E-409C-BE32-E72D297353CC}">
                <c16:uniqueId val="{00000001-C5A6-4BBD-831B-BA2EAE5D13ED}"/>
              </c:ext>
            </c:extLst>
          </c:dPt>
          <c:dPt>
            <c:idx val="1"/>
            <c:bubble3D val="0"/>
            <c:spPr>
              <a:solidFill>
                <a:schemeClr val="accent2"/>
              </a:solidFill>
              <a:ln w="19050">
                <a:solidFill>
                  <a:schemeClr val="accent6">
                    <a:lumMod val="50000"/>
                  </a:schemeClr>
                </a:solidFill>
              </a:ln>
              <a:effectLst/>
            </c:spPr>
            <c:extLst>
              <c:ext xmlns:c16="http://schemas.microsoft.com/office/drawing/2014/chart" uri="{C3380CC4-5D6E-409C-BE32-E72D297353CC}">
                <c16:uniqueId val="{00000003-C5A6-4BBD-831B-BA2EAE5D13ED}"/>
              </c:ext>
            </c:extLst>
          </c:dPt>
          <c:dPt>
            <c:idx val="2"/>
            <c:bubble3D val="0"/>
            <c:spPr>
              <a:solidFill>
                <a:schemeClr val="accent3"/>
              </a:solidFill>
              <a:ln w="19050">
                <a:solidFill>
                  <a:schemeClr val="accent6">
                    <a:lumMod val="50000"/>
                  </a:schemeClr>
                </a:solidFill>
              </a:ln>
              <a:effectLst/>
            </c:spPr>
            <c:extLst>
              <c:ext xmlns:c16="http://schemas.microsoft.com/office/drawing/2014/chart" uri="{C3380CC4-5D6E-409C-BE32-E72D297353CC}">
                <c16:uniqueId val="{00000005-C5A6-4BBD-831B-BA2EAE5D13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extra!$Q$43:$Q$45</c:f>
              <c:strCache>
                <c:ptCount val="3"/>
                <c:pt idx="0">
                  <c:v>Ireland</c:v>
                </c:pt>
                <c:pt idx="1">
                  <c:v>United Kingdom</c:v>
                </c:pt>
                <c:pt idx="2">
                  <c:v>United States</c:v>
                </c:pt>
              </c:strCache>
            </c:strRef>
          </c:cat>
          <c:val>
            <c:numRef>
              <c:f>extra!$R$43:$R$45</c:f>
              <c:numCache>
                <c:formatCode>0.00%</c:formatCode>
                <c:ptCount val="3"/>
                <c:pt idx="0">
                  <c:v>0.14000000000000001</c:v>
                </c:pt>
                <c:pt idx="1">
                  <c:v>0.16</c:v>
                </c:pt>
                <c:pt idx="2">
                  <c:v>0.7</c:v>
                </c:pt>
              </c:numCache>
            </c:numRef>
          </c:val>
          <c:extLst>
            <c:ext xmlns:c16="http://schemas.microsoft.com/office/drawing/2014/chart" uri="{C3380CC4-5D6E-409C-BE32-E72D297353CC}">
              <c16:uniqueId val="{00000008-18E5-4D22-8640-DD017CA175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10853</xdr:colOff>
      <xdr:row>7</xdr:row>
      <xdr:rowOff>86160</xdr:rowOff>
    </xdr:from>
    <xdr:to>
      <xdr:col>6</xdr:col>
      <xdr:colOff>0</xdr:colOff>
      <xdr:row>11</xdr:row>
      <xdr:rowOff>0</xdr:rowOff>
    </xdr:to>
    <xdr:sp macro="" textlink="extra!J23">
      <xdr:nvSpPr>
        <xdr:cNvPr id="22" name="Rectangle: Rounded Corners 21">
          <a:extLst>
            <a:ext uri="{FF2B5EF4-FFF2-40B4-BE49-F238E27FC236}">
              <a16:creationId xmlns:a16="http://schemas.microsoft.com/office/drawing/2014/main" id="{25E07DD3-7B45-7377-9D3D-B90BB4331208}"/>
            </a:ext>
          </a:extLst>
        </xdr:cNvPr>
        <xdr:cNvSpPr/>
      </xdr:nvSpPr>
      <xdr:spPr>
        <a:xfrm>
          <a:off x="120757" y="1380583"/>
          <a:ext cx="3042031" cy="82970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93DE99FF-8E53-4351-9F14-F60F7D4CC584}" type="TxLink">
            <a:rPr lang="en-US" sz="2800" b="0" i="0" u="none" strike="noStrike">
              <a:solidFill>
                <a:srgbClr val="000000"/>
              </a:solidFill>
              <a:effectLst/>
              <a:latin typeface="Calibri"/>
              <a:ea typeface="Calibri"/>
              <a:cs typeface="Calibri"/>
            </a:rPr>
            <a:pPr algn="ctr"/>
            <a:t> 3,162 </a:t>
          </a:fld>
          <a:endParaRPr lang="en-IN" sz="4800" b="1">
            <a:effectLst/>
          </a:endParaRPr>
        </a:p>
      </xdr:txBody>
    </xdr:sp>
    <xdr:clientData/>
  </xdr:twoCellAnchor>
  <xdr:twoCellAnchor>
    <xdr:from>
      <xdr:col>1</xdr:col>
      <xdr:colOff>11994</xdr:colOff>
      <xdr:row>1</xdr:row>
      <xdr:rowOff>88900</xdr:rowOff>
    </xdr:from>
    <xdr:to>
      <xdr:col>26</xdr:col>
      <xdr:colOff>45861</xdr:colOff>
      <xdr:row>5</xdr:row>
      <xdr:rowOff>183444</xdr:rowOff>
    </xdr:to>
    <xdr:sp macro="" textlink="">
      <xdr:nvSpPr>
        <xdr:cNvPr id="2" name="Rectangle 1">
          <a:extLst>
            <a:ext uri="{FF2B5EF4-FFF2-40B4-BE49-F238E27FC236}">
              <a16:creationId xmlns:a16="http://schemas.microsoft.com/office/drawing/2014/main" id="{40E351D0-E6A7-4C11-93F0-12A23AF029E6}"/>
            </a:ext>
          </a:extLst>
        </xdr:cNvPr>
        <xdr:cNvSpPr/>
      </xdr:nvSpPr>
      <xdr:spPr>
        <a:xfrm>
          <a:off x="124883" y="103011"/>
          <a:ext cx="15291506" cy="828322"/>
        </a:xfrm>
        <a:prstGeom prst="rect">
          <a:avLst/>
        </a:prstGeom>
        <a:ln w="6350">
          <a:solidFill>
            <a:schemeClr val="accent6">
              <a:lumMod val="5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4800" b="1">
              <a:ln>
                <a:solidFill>
                  <a:sysClr val="windowText" lastClr="000000"/>
                </a:solidFill>
              </a:ln>
              <a:effectLst>
                <a:glow rad="228600">
                  <a:srgbClr val="00B050">
                    <a:alpha val="40000"/>
                  </a:srgbClr>
                </a:glow>
              </a:effectLst>
            </a:rPr>
            <a:t>COFFEE SALES DASHBOARD</a:t>
          </a:r>
        </a:p>
      </xdr:txBody>
    </xdr:sp>
    <xdr:clientData/>
  </xdr:twoCellAnchor>
  <xdr:twoCellAnchor editAs="oneCell">
    <xdr:from>
      <xdr:col>5</xdr:col>
      <xdr:colOff>0</xdr:colOff>
      <xdr:row>15</xdr:row>
      <xdr:rowOff>2</xdr:rowOff>
    </xdr:from>
    <xdr:to>
      <xdr:col>8</xdr:col>
      <xdr:colOff>602173</xdr:colOff>
      <xdr:row>20</xdr:row>
      <xdr:rowOff>0</xdr:rowOff>
    </xdr:to>
    <mc:AlternateContent xmlns:mc="http://schemas.openxmlformats.org/markup-compatibility/2006" xmlns:a14="http://schemas.microsoft.com/office/drawing/2010/main">
      <mc:Choice Requires="a14">
        <xdr:graphicFrame macro="">
          <xdr:nvGraphicFramePr>
            <xdr:cNvPr id="5" name="Size 2">
              <a:extLst>
                <a:ext uri="{FF2B5EF4-FFF2-40B4-BE49-F238E27FC236}">
                  <a16:creationId xmlns:a16="http://schemas.microsoft.com/office/drawing/2014/main" id="{6F9AB0E4-00AA-4468-BAE7-894423CF2414}"/>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2540000" y="2760872"/>
              <a:ext cx="2424347" cy="920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20</xdr:row>
      <xdr:rowOff>0</xdr:rowOff>
    </xdr:from>
    <xdr:to>
      <xdr:col>9</xdr:col>
      <xdr:colOff>20256</xdr:colOff>
      <xdr:row>23</xdr:row>
      <xdr:rowOff>87125</xdr:rowOff>
    </xdr:to>
    <mc:AlternateContent xmlns:mc="http://schemas.openxmlformats.org/markup-compatibility/2006" xmlns:a14="http://schemas.microsoft.com/office/drawing/2010/main">
      <mc:Choice Requires="a14">
        <xdr:graphicFrame macro="">
          <xdr:nvGraphicFramePr>
            <xdr:cNvPr id="6" name="Roast Type Name 2">
              <a:extLst>
                <a:ext uri="{FF2B5EF4-FFF2-40B4-BE49-F238E27FC236}">
                  <a16:creationId xmlns:a16="http://schemas.microsoft.com/office/drawing/2014/main" id="{19F8D905-6447-44DB-94A0-8F4D530DBEC9}"/>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10435" y="3681159"/>
              <a:ext cx="4879386" cy="63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15</xdr:row>
      <xdr:rowOff>45017</xdr:rowOff>
    </xdr:from>
    <xdr:to>
      <xdr:col>4</xdr:col>
      <xdr:colOff>610574</xdr:colOff>
      <xdr:row>20</xdr:row>
      <xdr:rowOff>0</xdr:rowOff>
    </xdr:to>
    <mc:AlternateContent xmlns:mc="http://schemas.openxmlformats.org/markup-compatibility/2006" xmlns:a14="http://schemas.microsoft.com/office/drawing/2010/main">
      <mc:Choice Requires="a14">
        <xdr:graphicFrame macro="">
          <xdr:nvGraphicFramePr>
            <xdr:cNvPr id="7" name="Loyalty Card 2">
              <a:extLst>
                <a:ext uri="{FF2B5EF4-FFF2-40B4-BE49-F238E27FC236}">
                  <a16:creationId xmlns:a16="http://schemas.microsoft.com/office/drawing/2014/main" id="{4F3F413B-7560-41B9-9627-191098B9653C}"/>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10435" y="2805887"/>
              <a:ext cx="2432748" cy="875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11</xdr:row>
      <xdr:rowOff>0</xdr:rowOff>
    </xdr:from>
    <xdr:to>
      <xdr:col>26</xdr:col>
      <xdr:colOff>0</xdr:colOff>
      <xdr:row>27</xdr:row>
      <xdr:rowOff>92029</xdr:rowOff>
    </xdr:to>
    <xdr:graphicFrame macro="">
      <xdr:nvGraphicFramePr>
        <xdr:cNvPr id="4" name="total_sales">
          <a:extLst>
            <a:ext uri="{FF2B5EF4-FFF2-40B4-BE49-F238E27FC236}">
              <a16:creationId xmlns:a16="http://schemas.microsoft.com/office/drawing/2014/main" id="{6F5DBC60-AB02-41B8-8A56-D81C1CB7E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92029</xdr:colOff>
      <xdr:row>27</xdr:row>
      <xdr:rowOff>92030</xdr:rowOff>
    </xdr:from>
    <xdr:to>
      <xdr:col>9</xdr:col>
      <xdr:colOff>0</xdr:colOff>
      <xdr:row>45</xdr:row>
      <xdr:rowOff>0</xdr:rowOff>
    </xdr:to>
    <xdr:graphicFrame macro="">
      <xdr:nvGraphicFramePr>
        <xdr:cNvPr id="11" name="customer wise sales">
          <a:extLst>
            <a:ext uri="{FF2B5EF4-FFF2-40B4-BE49-F238E27FC236}">
              <a16:creationId xmlns:a16="http://schemas.microsoft.com/office/drawing/2014/main" id="{9AED54A2-85A9-4984-8E2E-82B5CC0E2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27</xdr:row>
      <xdr:rowOff>92028</xdr:rowOff>
    </xdr:from>
    <xdr:to>
      <xdr:col>17</xdr:col>
      <xdr:colOff>3716</xdr:colOff>
      <xdr:row>45</xdr:row>
      <xdr:rowOff>-1</xdr:rowOff>
    </xdr:to>
    <xdr:graphicFrame macro="">
      <xdr:nvGraphicFramePr>
        <xdr:cNvPr id="13" name="Chart 12">
          <a:extLst>
            <a:ext uri="{FF2B5EF4-FFF2-40B4-BE49-F238E27FC236}">
              <a16:creationId xmlns:a16="http://schemas.microsoft.com/office/drawing/2014/main" id="{32A2F41A-8B85-42C5-9C51-6017A2F2C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11</xdr:row>
      <xdr:rowOff>30512</xdr:rowOff>
    </xdr:from>
    <xdr:to>
      <xdr:col>9</xdr:col>
      <xdr:colOff>25375</xdr:colOff>
      <xdr:row>15</xdr:row>
      <xdr:rowOff>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54357D53-DE17-469F-B901-6CF143F14E5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0435" y="2055150"/>
              <a:ext cx="4884505" cy="705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417493</xdr:colOff>
      <xdr:row>27</xdr:row>
      <xdr:rowOff>52030</xdr:rowOff>
    </xdr:from>
    <xdr:to>
      <xdr:col>26</xdr:col>
      <xdr:colOff>0</xdr:colOff>
      <xdr:row>45</xdr:row>
      <xdr:rowOff>-1</xdr:rowOff>
    </xdr:to>
    <xdr:graphicFrame macro="">
      <xdr:nvGraphicFramePr>
        <xdr:cNvPr id="3" name="Chart 2">
          <a:extLst>
            <a:ext uri="{FF2B5EF4-FFF2-40B4-BE49-F238E27FC236}">
              <a16:creationId xmlns:a16="http://schemas.microsoft.com/office/drawing/2014/main" id="{181A4F0B-D68A-4133-A2FC-BB684D244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27</xdr:row>
      <xdr:rowOff>9202</xdr:rowOff>
    </xdr:from>
    <xdr:to>
      <xdr:col>21</xdr:col>
      <xdr:colOff>410731</xdr:colOff>
      <xdr:row>45</xdr:row>
      <xdr:rowOff>-1</xdr:rowOff>
    </xdr:to>
    <xdr:graphicFrame macro="">
      <xdr:nvGraphicFramePr>
        <xdr:cNvPr id="9" name="Chart 8">
          <a:extLst>
            <a:ext uri="{FF2B5EF4-FFF2-40B4-BE49-F238E27FC236}">
              <a16:creationId xmlns:a16="http://schemas.microsoft.com/office/drawing/2014/main" id="{ECA12B3C-3B5F-40CA-8D63-0C12A24FC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23</xdr:row>
      <xdr:rowOff>88900</xdr:rowOff>
    </xdr:from>
    <xdr:to>
      <xdr:col>9</xdr:col>
      <xdr:colOff>0</xdr:colOff>
      <xdr:row>27</xdr:row>
      <xdr:rowOff>88900</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96EC4BBB-9ADD-EF87-05F7-3A522C92F9E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435" y="4322233"/>
              <a:ext cx="4859130" cy="736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7</xdr:row>
      <xdr:rowOff>86160</xdr:rowOff>
    </xdr:from>
    <xdr:to>
      <xdr:col>11</xdr:col>
      <xdr:colOff>0</xdr:colOff>
      <xdr:row>11</xdr:row>
      <xdr:rowOff>0</xdr:rowOff>
    </xdr:to>
    <xdr:sp macro="" textlink="extra!L23">
      <xdr:nvSpPr>
        <xdr:cNvPr id="24" name="Rectangle: Rounded Corners 23">
          <a:extLst>
            <a:ext uri="{FF2B5EF4-FFF2-40B4-BE49-F238E27FC236}">
              <a16:creationId xmlns:a16="http://schemas.microsoft.com/office/drawing/2014/main" id="{AD6ACC08-C05A-47C5-AA76-28506C284A6E}"/>
            </a:ext>
          </a:extLst>
        </xdr:cNvPr>
        <xdr:cNvSpPr/>
      </xdr:nvSpPr>
      <xdr:spPr>
        <a:xfrm>
          <a:off x="3162788" y="1380583"/>
          <a:ext cx="3052885" cy="82970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FDBA643D-2879-4A8E-B52D-460FBAEF166B}" type="TxLink">
            <a:rPr lang="en-US" sz="2400" b="0" i="0" u="none" strike="noStrike">
              <a:solidFill>
                <a:srgbClr val="000000"/>
              </a:solidFill>
              <a:effectLst/>
              <a:latin typeface="Calibri"/>
              <a:ea typeface="Calibri"/>
              <a:cs typeface="Calibri"/>
            </a:rPr>
            <a:pPr algn="ctr"/>
            <a:t>50</a:t>
          </a:fld>
          <a:endParaRPr lang="en-IN" sz="7200" b="1">
            <a:effectLst/>
          </a:endParaRPr>
        </a:p>
      </xdr:txBody>
    </xdr:sp>
    <xdr:clientData/>
  </xdr:twoCellAnchor>
  <xdr:twoCellAnchor>
    <xdr:from>
      <xdr:col>11</xdr:col>
      <xdr:colOff>0</xdr:colOff>
      <xdr:row>7</xdr:row>
      <xdr:rowOff>86161</xdr:rowOff>
    </xdr:from>
    <xdr:to>
      <xdr:col>16</xdr:col>
      <xdr:colOff>0</xdr:colOff>
      <xdr:row>11</xdr:row>
      <xdr:rowOff>0</xdr:rowOff>
    </xdr:to>
    <xdr:sp macro="" textlink="extra!K24">
      <xdr:nvSpPr>
        <xdr:cNvPr id="25" name="Rectangle: Rounded Corners 24">
          <a:extLst>
            <a:ext uri="{FF2B5EF4-FFF2-40B4-BE49-F238E27FC236}">
              <a16:creationId xmlns:a16="http://schemas.microsoft.com/office/drawing/2014/main" id="{E3A7DD25-4111-4BB4-81D4-12F802C41D90}"/>
            </a:ext>
          </a:extLst>
        </xdr:cNvPr>
        <xdr:cNvSpPr/>
      </xdr:nvSpPr>
      <xdr:spPr>
        <a:xfrm>
          <a:off x="6215673" y="1380584"/>
          <a:ext cx="3052885" cy="64653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CF0D2787-4A06-43EE-BFB5-D2CDB8975A96}" type="TxLink">
            <a:rPr lang="en-US" sz="2400" b="0" i="0" u="none" strike="noStrike">
              <a:solidFill>
                <a:srgbClr val="000000"/>
              </a:solidFill>
              <a:effectLst/>
              <a:latin typeface="Calibri"/>
              <a:ea typeface="Calibri"/>
              <a:cs typeface="Calibri"/>
            </a:rPr>
            <a:pPr algn="ctr"/>
            <a:t>63.23</a:t>
          </a:fld>
          <a:endParaRPr lang="en-IN" sz="7200" b="1">
            <a:effectLst/>
          </a:endParaRPr>
        </a:p>
      </xdr:txBody>
    </xdr:sp>
    <xdr:clientData/>
  </xdr:twoCellAnchor>
  <xdr:twoCellAnchor>
    <xdr:from>
      <xdr:col>16</xdr:col>
      <xdr:colOff>0</xdr:colOff>
      <xdr:row>7</xdr:row>
      <xdr:rowOff>86161</xdr:rowOff>
    </xdr:from>
    <xdr:to>
      <xdr:col>20</xdr:col>
      <xdr:colOff>590903</xdr:colOff>
      <xdr:row>11</xdr:row>
      <xdr:rowOff>0</xdr:rowOff>
    </xdr:to>
    <xdr:sp macro="" textlink="extra!J28">
      <xdr:nvSpPr>
        <xdr:cNvPr id="26" name="Rectangle: Rounded Corners 25">
          <a:extLst>
            <a:ext uri="{FF2B5EF4-FFF2-40B4-BE49-F238E27FC236}">
              <a16:creationId xmlns:a16="http://schemas.microsoft.com/office/drawing/2014/main" id="{DC758EA2-870E-44A9-99A0-635E1D28466F}"/>
            </a:ext>
          </a:extLst>
        </xdr:cNvPr>
        <xdr:cNvSpPr/>
      </xdr:nvSpPr>
      <xdr:spPr>
        <a:xfrm>
          <a:off x="9268558" y="1380584"/>
          <a:ext cx="3033210" cy="64653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15CF672C-6D5D-41CD-8CB7-A6EFD1B87BF8}" type="TxLink">
            <a:rPr lang="en-US" sz="2400" b="0" i="0" u="none" strike="noStrike">
              <a:solidFill>
                <a:srgbClr val="000000"/>
              </a:solidFill>
              <a:effectLst/>
              <a:latin typeface="Calibri"/>
              <a:ea typeface="Calibri"/>
              <a:cs typeface="Calibri"/>
            </a:rPr>
            <a:pPr algn="ctr"/>
            <a:t>50</a:t>
          </a:fld>
          <a:endParaRPr lang="en-IN" sz="7200" b="1">
            <a:effectLst/>
          </a:endParaRPr>
        </a:p>
      </xdr:txBody>
    </xdr:sp>
    <xdr:clientData/>
  </xdr:twoCellAnchor>
  <xdr:twoCellAnchor>
    <xdr:from>
      <xdr:col>20</xdr:col>
      <xdr:colOff>610036</xdr:colOff>
      <xdr:row>7</xdr:row>
      <xdr:rowOff>73269</xdr:rowOff>
    </xdr:from>
    <xdr:to>
      <xdr:col>26</xdr:col>
      <xdr:colOff>48846</xdr:colOff>
      <xdr:row>11</xdr:row>
      <xdr:rowOff>0</xdr:rowOff>
    </xdr:to>
    <xdr:sp macro="" textlink="extra!N24">
      <xdr:nvSpPr>
        <xdr:cNvPr id="27" name="Rectangle: Rounded Corners 26">
          <a:extLst>
            <a:ext uri="{FF2B5EF4-FFF2-40B4-BE49-F238E27FC236}">
              <a16:creationId xmlns:a16="http://schemas.microsoft.com/office/drawing/2014/main" id="{F82EF6D6-C8AA-40F9-8FF2-D69DC085EF61}"/>
            </a:ext>
          </a:extLst>
        </xdr:cNvPr>
        <xdr:cNvSpPr/>
      </xdr:nvSpPr>
      <xdr:spPr>
        <a:xfrm>
          <a:off x="12320901" y="1367692"/>
          <a:ext cx="3102272" cy="659423"/>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717CA7BD-2355-4977-8ADE-3C3C5CCE7FE6}" type="TxLink">
            <a:rPr lang="en-US" sz="2400" b="0" i="0" u="none" strike="noStrike">
              <a:solidFill>
                <a:srgbClr val="000000"/>
              </a:solidFill>
              <a:effectLst/>
              <a:latin typeface="Calibri"/>
              <a:ea typeface="Calibri"/>
              <a:cs typeface="Calibri"/>
            </a:rPr>
            <a:pPr algn="ctr"/>
            <a:t>3.7</a:t>
          </a:fld>
          <a:endParaRPr lang="en-IN" sz="7200" b="1">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tu Sharma" refreshedDate="45988.88772013889" createdVersion="8" refreshedVersion="8" minRefreshableVersion="3" recordCount="1000" xr:uid="{14D45F9F-8257-47E5-9612-D7CC3EC16420}">
  <cacheSource type="worksheet">
    <worksheetSource name="Orders"/>
  </cacheSource>
  <cacheFields count="22">
    <cacheField name="Order ID" numFmtId="0">
      <sharedItems count="957">
        <s v="OJU-34452-896"/>
        <s v="NEX-63825-598"/>
        <s v="GPU-79113-136"/>
        <s v="PPP-78935-365"/>
        <s v="EOI-02511-919"/>
        <s v="GNL-98714-885"/>
        <s v="VUC-72395-865"/>
        <s v="CYH-53243-218"/>
        <s v="ROV-87448-086"/>
        <s v="TJE-91516-344"/>
        <s v="HHF-36647-854"/>
        <s v="NNF-47422-501"/>
        <s v="WOQ-36015-429"/>
        <s v="FTV-77095-168"/>
        <s v="NQZ-82067-394"/>
        <s v="AJV-18231-334"/>
        <s v="JDS-33440-914"/>
        <s v="EHE-94714-312"/>
        <s v="ZPW-31329-741"/>
        <s v="CNJ-56058-223"/>
        <s v="RTL-16205-161"/>
        <s v="TME-59627-221"/>
        <s v="FHD-94983-982"/>
        <s v="JIG-27636-870"/>
        <s v="PUX-47906-110"/>
        <s v="SUZ-83036-175"/>
        <s v="LEF-83057-763"/>
        <s v="LGL-16843-667"/>
        <s v="DDO-71442-967"/>
        <s v="FWE-98471-488"/>
        <s v="MHD-95615-696"/>
        <s v="UFZ-24348-219"/>
        <s v="HTH-52867-812"/>
        <s v="QEV-37451-860"/>
        <s v="ITZ-21793-986"/>
        <s v="NVN-66443-451"/>
        <s v="BZE-96093-118"/>
        <s v="QEW-47945-682"/>
        <s v="MHM-44857-599"/>
        <s v="GKQ-82603-910"/>
        <s v="SUB-13006-125"/>
        <s v="DEC-11160-362"/>
        <s v="MPV-26985-215"/>
        <s v="REH-56504-397"/>
        <s v="RIK-61730-794"/>
        <s v="LDK-71031-121"/>
        <s v="MBM-55936-917"/>
        <s v="IDJ-55379-750"/>
        <s v="TIR-71396-998"/>
        <s v="EQE-31648-909"/>
        <s v="JBW-95055-851"/>
        <s v="UQU-65630-479"/>
        <s v="JSN-73975-443"/>
        <s v="RWR-77888-800"/>
        <s v="LIS-96202-702"/>
        <s v="GFI-83300-059"/>
        <s v="UCT-03935-589"/>
        <s v="QTR-19001-114"/>
        <s v="YTW-40242-005"/>
        <s v="EIP-19142-462"/>
        <s v="NID-20149-329"/>
        <s v="UHP-24614-199"/>
        <s v="VZH-86274-142"/>
        <s v="PSY-45485-542"/>
        <s v="KRB-88066-642"/>
        <s v="VMW-26889-781"/>
        <s v="CKS-47815-571"/>
        <s v="IZU-90429-382"/>
        <s v="IXU-67272-326"/>
        <s v="PKQ-46841-696"/>
        <s v="VYD-28555-589"/>
        <s v="PKR-88575-066"/>
        <s v="DBC-44122-300"/>
        <s v="NSQ-72210-345"/>
        <s v="EFC-39577-424"/>
        <s v="RFG-28227-288"/>
        <s v="IDU-25793-399"/>
        <s v="TRA-79507-007"/>
        <s v="RPJ-37787-335"/>
        <s v="NUO-20013-488"/>
        <s v="RGM-01187-513"/>
        <s v="NQS-01613-687"/>
        <s v="EQH-53569-934"/>
        <s v="OGY-19377-175"/>
        <s v="QHL-27188-431"/>
        <s v="EGK-03027-418"/>
        <s v="VEA-31961-977"/>
        <s v="LPS-39089-432"/>
        <s v="IIZ-24416-212"/>
        <s v="UDS-04807-593"/>
        <s v="RUX-37995-892"/>
        <s v="GPW-43956-761"/>
        <s v="EZB-68383-559"/>
        <s v="LKE-14821-285"/>
        <s v="HHO-79903-185"/>
        <s v="ZDK-82166-357"/>
        <s v="EYE-70374-835"/>
        <s v="RXF-37618-213"/>
        <s v="DWB-61381-370"/>
        <s v="CSW-59644-267"/>
        <s v="RDM-99811-230"/>
        <s v="TGF-38649-658"/>
        <s v="XTH-67276-442"/>
        <s v="VTB-46451-959"/>
        <s v="TBU-64277-625"/>
        <s v="CVP-18956-553"/>
        <s v="JVW-22582-137"/>
        <s v="NBT-35757-542"/>
        <s v="TVV-42245-088"/>
        <s v="JQK-64922-985"/>
        <s v="GPR-19973-483"/>
        <s v="WRP-39846-614"/>
        <s v="UHW-74617-126"/>
        <s v="WCT-07869-499"/>
        <s v="SZY-63017-318"/>
        <s v="ZFS-30776-804"/>
        <s v="DSN-15872-519"/>
        <s v="IGK-51227-573"/>
        <s v="OCK-89033-348"/>
        <s v="TNI-91067-006"/>
        <s v="MEK-85120-243"/>
        <s v="ZVQ-26122-859"/>
        <s v="VDZ-76673-968"/>
        <s v="BVU-77367-451"/>
        <s v="LXR-09892-726"/>
        <s v="LOO-35324-159"/>
        <s v="VZO-97265-841"/>
        <s v="GVG-59542-307"/>
        <s v="VSQ-07182-513"/>
        <s v="HEL-86709-449"/>
        <s v="PJS-30996-485"/>
        <s v="XKK-06692-189"/>
        <s v="NCH-55389-562"/>
        <s v="KHO-27106-786"/>
        <s v="FWD-85967-769"/>
        <s v="RGU-43561-950"/>
        <s v="MGQ-98961-173"/>
        <s v="KXN-85094-246"/>
        <s v="BWR-85735-955"/>
        <s v="EFB-72860-209"/>
        <s v="VGM-24161-361"/>
        <s v="RAU-17060-674"/>
        <s v="QXX-89943-393"/>
        <s v="FSA-98650-921"/>
        <s v="TZD-67261-174"/>
        <s v="IPA-94170-889"/>
        <s v="RGJ-12544-083"/>
        <s v="KLD-88731-484"/>
        <s v="ZQI-47236-301"/>
        <s v="MSB-08397-648"/>
        <s v="OIB-77163-890"/>
        <s v="YQL-63755-365"/>
        <s v="AYY-83051-752"/>
        <s v="YXO-79631-417"/>
        <s v="WAV-38301-984"/>
        <s v="QEY-71761-460"/>
        <s v="XBV-40336-071"/>
        <s v="UJG-34731-295"/>
        <s v="UMT-26130-151"/>
        <s v="WMU-87639-108"/>
        <s v="PJH-42618-877"/>
        <s v="RKW-81145-984"/>
        <s v="PJV-20427-019"/>
        <s v="KJB-98240-098"/>
        <s v="HBH-64794-080"/>
        <s v="QDU-45390-361"/>
        <s v="DGC-21813-731"/>
        <s v="GYA-80327-368"/>
        <s v="KHK-13105-388"/>
        <s v="ZYU-11345-774"/>
        <s v="BLQ-03709-265"/>
        <s v="HKN-31467-517"/>
        <s v="ALM-80762-974"/>
        <s v="ALP-37623-536"/>
        <s v="XNU-83276-288"/>
        <s v="DTB-71371-705"/>
        <s v="CXD-74176-600"/>
        <s v="KUX-19632-830"/>
        <s v="QTG-93823-843"/>
        <s v="RJI-71409-490"/>
        <s v="AHV-66988-037"/>
        <s v="KAC-83089-793"/>
        <s v="JEG-93140-224"/>
        <s v="TKY-71558-096"/>
        <s v="ITE-28312-615"/>
        <s v="AOT-70449-651"/>
        <s v="YUL-42750-776"/>
        <s v="BYU-58154-603"/>
        <s v="WHQ-25197-475"/>
        <s v="GCD-75444-320"/>
        <s v="JBP-78754-392"/>
        <s v="KTX-17944-494"/>
        <s v="ONW-00560-570"/>
        <s v="IRX-59256-644"/>
        <s v="DOH-92927-530"/>
        <s v="TYH-81940-054"/>
        <s v="WRT-40778-247"/>
        <s v="IGM-84664-265"/>
        <s v="MSJ-11909-468"/>
        <s v="SGI-48226-857"/>
        <s v="ETD-58130-674"/>
        <s v="UMM-28497-689"/>
        <s v="OKA-93124-100"/>
        <s v="VQW-91903-926"/>
        <s v="QLM-07145-668"/>
        <s v="YAC-50329-982"/>
        <s v="BQI-61647-496"/>
        <s v="JLN-14700-924"/>
        <s v="SFB-97929-779"/>
        <s v="KTO-53793-109"/>
        <s v="TKL-20738-660"/>
        <s v="CVA-64996-969"/>
        <s v="SHP-17012-870"/>
        <s v="GZS-50547-887"/>
        <s v="FVH-29271-315"/>
        <s v="IOQ-84840-827"/>
        <s v="GPT-67705-953"/>
        <s v="WYM-17686-694"/>
        <s v="SHP-55648-472"/>
        <s v="ESR-54041-053"/>
        <s v="MKE-75518-399"/>
        <s v="WRN-55114-031"/>
        <s v="JJX-83339-346"/>
        <s v="ATY-28980-884"/>
        <s v="OXY-65322-253"/>
        <s v="MBM-00112-248"/>
        <s v="ULM-49433-003"/>
        <s v="GSJ-01065-125"/>
        <s v="ZVG-20473-043"/>
        <s v="EJA-79176-833"/>
        <s v="BMM-86471-923"/>
        <s v="UVF-59322-459"/>
        <s v="MVI-04946-827"/>
        <s v="IJK-34441-720"/>
        <s v="SPA-79365-334"/>
        <s v="WVS-57822-366"/>
        <s v="GOI-41472-677"/>
        <s v="KXA-27983-918"/>
        <s v="NNB-20459-430"/>
        <s v="EYH-88288-452"/>
        <s v="XIR-88982-743"/>
        <s v="EHX-66333-637"/>
        <s v="WFH-21507-708"/>
        <s v="JPB-45297-000"/>
        <s v="KCW-50949-318"/>
        <s v="VAJ-44572-469"/>
        <s v="MVV-19034-198"/>
        <s v="JVF-91003-729"/>
        <s v="FOJ-02234-063"/>
        <s v="TXH-78646-919"/>
        <s v="UGK-07613-982"/>
        <s v="VKQ-39009-292"/>
        <s v="QDO-57268-842"/>
        <s v="SWP-88281-918"/>
        <s v="KPO-24942-184"/>
        <s v="WFK-99317-827"/>
        <s v="OLH-95722-362"/>
        <s v="ELJ-87741-745"/>
        <s v="IOM-51636-823"/>
        <s v="BXN-64230-789"/>
        <s v="XSN-26809-910"/>
        <s v="VIO-27668-766"/>
        <s v="OQS-46321-904"/>
        <s v="FDO-25756-141"/>
        <s v="QVL-32245-818"/>
        <s v="QJB-90477-635"/>
        <s v="HXA-72415-025"/>
        <s v="TNR-84447-052"/>
        <s v="WTV-24996-658"/>
        <s v="XAH-93337-609"/>
        <s v="PBT-36926-102"/>
        <s v="SPF-31673-217"/>
        <s v="HMB-30634-745"/>
        <s v="XTL-68000-371"/>
        <s v="AXN-57779-891"/>
        <s v="CNY-06284-066"/>
        <s v="DJH-05202-380"/>
        <s v="SFF-86059-407"/>
        <s v="FQK-28730-361"/>
        <s v="QLC-52637-305"/>
        <s v="HVU-21634-076"/>
        <s v="LOU-41819-242"/>
        <s v="EAI-25194-209"/>
        <s v="SIB-83254-136"/>
        <s v="HCT-95608-959"/>
        <s v="LWL-68108-794"/>
        <s v="MVB-22135-665"/>
        <s v="CBT-55781-720"/>
        <s v="SXW-34014-556"/>
        <s v="VQR-01002-970"/>
        <s v="LQG-41416-375"/>
        <s v="ANK-59436-446"/>
        <s v="NOK-50349-551"/>
        <s v="UBI-59229-277"/>
        <s v="JKC-64636-831"/>
        <s v="ITR-54735-364"/>
        <s v="VSS-56247-688"/>
        <s v="KGC-95046-911"/>
        <s v="YES-51109-625"/>
        <s v="PMR-56062-609"/>
        <s v="IHN-19982-362"/>
        <s v="QNP-18893-547"/>
        <s v="PVI-72795-960"/>
        <s v="PSS-22466-862"/>
        <s v="YWH-50638-556"/>
        <s v="XRR-28376-277"/>
        <s v="WOR-52762-511"/>
        <s v="MZJ-77284-941"/>
        <s v="YQU-65147-580"/>
        <s v="MOR-12987-399"/>
        <s v="RMW-74160-339"/>
        <s v="VRM-93594-914"/>
        <s v="XWD-18933-006"/>
        <s v="DWW-28642-549"/>
        <s v="FLR-82914-153"/>
        <s v="NOA-79645-377"/>
        <s v="CRK-07584-240"/>
        <s v="DNZ-11665-950"/>
        <s v="DHJ-87461-571"/>
        <s v="ZWK-03995-815"/>
        <s v="AOL-13866-711"/>
        <s v="AEL-51169-725"/>
        <s v="CYV-13426-645"/>
        <s v="OLA-68289-577"/>
        <s v="ZGK-97262-313"/>
        <s v="AMM-79521-378"/>
        <s v="GQA-37241-629"/>
        <s v="QAK-77286-758"/>
        <s v="AWH-16980-469"/>
        <s v="PKN-19556-918"/>
        <s v="LHN-75209-742"/>
        <s v="WKL-27981-758"/>
        <s v="TXB-80533-417"/>
        <s v="SDB-77492-188"/>
        <s v="TKN-58485-031"/>
        <s v="UDB-09651-780"/>
        <s v="OWH-11126-533"/>
        <s v="AAQ-13644-699"/>
        <s v="BKK-47233-845"/>
        <s v="THA-60599-417"/>
        <s v="WQK-10857-119"/>
        <s v="BWK-39400-446"/>
        <s v="JMS-48374-462"/>
        <s v="LTD-71429-845"/>
        <s v="YPT-95383-088"/>
        <s v="WUG-76466-650"/>
        <s v="DGZ-82537-477"/>
        <s v="DKM-97676-850"/>
        <s v="CVE-15042-481"/>
        <s v="KHZ-26264-253"/>
        <s v="UEA-72681-629"/>
        <s v="LTD-96842-834"/>
        <s v="CPX-19312-088"/>
        <s v="VSN-94485-621"/>
        <s v="AUP-10128-606"/>
        <s v="ADX-50674-975"/>
        <s v="JZV-43874-185"/>
        <s v="BIU-21970-705"/>
        <s v="EZL-27919-704"/>
        <s v="UJQ-54441-340"/>
        <s v="OLF-77983-457"/>
        <s v="OWY-43108-475"/>
        <s v="DJG-14442-608"/>
        <s v="JKA-27899-806"/>
        <s v="SCT-60553-454"/>
        <s v="FEK-14025-351"/>
        <s v="BPC-54727-307"/>
        <s v="TEH-08414-216"/>
        <s v="JHW-74554-805"/>
        <s v="MXM-42948-061"/>
        <s v="LXS-63326-144"/>
        <s v="MUY-15309-209"/>
        <s v="VYP-89830-878"/>
        <s v="NEU-86533-016"/>
        <s v="DFS-49954-707"/>
        <s v="USN-44968-231"/>
        <s v="YOK-93322-608"/>
        <s v="QTC-71005-730"/>
        <s v="CTE-31437-326"/>
        <s v="SNL-83703-516"/>
        <s v="ORX-57454-917"/>
        <s v="COL-72079-610"/>
        <s v="NJR-03699-189"/>
        <s v="OAM-76916-748"/>
        <s v="BNZ-20544-633"/>
        <s v="UZL-46108-213"/>
        <s v="LCB-02099-995"/>
        <s v="VPX-08817-517"/>
        <s v="KYG-28296-920"/>
        <s v="OKU-29966-417"/>
        <s v="CIX-22904-641"/>
        <s v="HTS-15020-632"/>
        <s v="GMF-18638-786"/>
        <s v="SCS-67069-962"/>
        <s v="VKA-82720-513"/>
        <s v="IWL-13117-537"/>
        <s v="DYP-74337-787"/>
        <s v="XUS-73326-418"/>
        <s v="DLX-01059-899"/>
        <s v="EZT-46571-659"/>
        <s v="GRB-68838-629"/>
        <s v="ERC-54560-934"/>
        <s v="UDN-88321-005"/>
        <s v="QOJ-38788-727"/>
        <s v="XOQ-12405-419"/>
        <s v="DGY-35773-612"/>
        <s v="VRT-39834-265"/>
        <s v="EUO-69145-988"/>
        <s v="DCE-22886-861"/>
        <s v="YHV-68700-050"/>
        <s v="TNX-09857-717"/>
        <s v="AOX-44467-109"/>
        <s v="ADP-04506-084"/>
        <s v="WYL-29300-070"/>
        <s v="ZFR-79447-696"/>
        <s v="NOM-56457-507"/>
        <s v="ZTX-80764-911"/>
        <s v="NFA-03411-746"/>
        <s v="XZD-44484-632"/>
        <s v="HST-96923-073"/>
        <s v="HTR-21838-286"/>
        <s v="CZG-86544-655"/>
        <s v="EAY-89850-211"/>
        <s v="NZN-71683-705"/>
        <s v="OQA-93249-841"/>
        <s v="TBU-65158-068"/>
        <s v="YET-17732-678"/>
        <s v="GPH-40635-105"/>
        <s v="OGW-60685-912"/>
        <s v="SBN-16537-046"/>
        <s v="MQU-86100-929"/>
        <s v="WTT-91832-645"/>
        <s v="OFX-99147-470"/>
        <s v="NLI-63891-565"/>
        <s v="OFN-49424-848"/>
        <s v="BNQ-88920-567"/>
        <s v="BLD-12227-251"/>
        <s v="UQI-28177-865"/>
        <s v="WDR-06028-345"/>
        <s v="UBA-43678-174"/>
        <s v="XKB-41924-202"/>
        <s v="ZMU-63715-204"/>
        <s v="FEO-11834-332"/>
        <s v="HYR-03455-684"/>
        <s v="DKB-78053-329"/>
        <s v="BPG-68988-842"/>
        <s v="QRA-73277-814"/>
        <s v="IKQ-39946-768"/>
        <s v="NUN-48214-216"/>
        <s v="ZDK-84567-102"/>
        <s v="HBY-35655-049"/>
        <s v="PQA-54820-810"/>
        <s v="WDM-77521-710"/>
        <s v="LCY-24377-948"/>
        <s v="AMT-40418-362"/>
        <s v="XPG-66112-335"/>
        <s v="USA-42811-560"/>
        <s v="CZD-56716-840"/>
        <s v="FAA-43335-268"/>
        <s v="CLJ-23403-689"/>
        <s v="YKX-23510-272"/>
        <s v="VEM-79839-466"/>
        <s v="XKO-54097-932"/>
        <s v="HGE-19842-613"/>
        <s v="JTU-55897-581"/>
        <s v="JEH-37276-048"/>
        <s v="MIQ-16322-908"/>
        <s v="OBN-66334-505"/>
        <s v="CZG-01299-952"/>
        <s v="ESR-66651-814"/>
        <s v="NXF-15738-707"/>
        <s v="GRH-45571-667"/>
        <s v="FLI-11493-954"/>
        <s v="XXJ-47000-307"/>
        <s v="MZL-81126-390"/>
        <s v="RLM-96511-467"/>
        <s v="RPW-36123-215"/>
        <s v="XYL-52196-459"/>
        <s v="IGW-04801-466"/>
        <s v="OVO-01283-090"/>
        <s v="VGI-33205-360"/>
        <s v="HUG-52766-375"/>
        <s v="LUO-37559-016"/>
        <s v="VET-41158-896"/>
        <s v="OIB-13664-879"/>
        <s v="DCI-96254-548"/>
        <s v="LXK-00634-611"/>
        <s v="TCX-76953-071"/>
        <s v="SEC-91807-425"/>
        <s v="THE-61147-027"/>
        <s v="SXC-62166-515"/>
        <s v="NKW-24945-846"/>
        <s v="ORZ-67699-748"/>
        <s v="HTY-30660-254"/>
        <s v="NYQ-24237-772"/>
        <s v="SHT-04865-419"/>
        <s v="PKJ-30083-501"/>
        <s v="PJB-15659-994"/>
        <s v="CWT-27056-328"/>
        <s v="MOU-74341-266"/>
        <s v="YXP-20078-116"/>
        <s v="ASG-27179-958"/>
        <s v="JBQ-93412-846"/>
        <s v="CUU-92244-729"/>
        <s v="LTN-89139-350"/>
        <s v="TYP-85767-944"/>
        <s v="RZN-65182-395"/>
        <s v="NXM-89323-646"/>
        <s v="LIN-88046-551"/>
        <s v="MPQ-23421-608"/>
        <s v="UDG-65353-824"/>
        <s v="JBE-92943-643"/>
        <s v="NNH-62058-950"/>
        <s v="DWZ-69106-473"/>
        <s v="OJL-96844-459"/>
        <s v="FMT-94584-786"/>
        <s v="YOG-94666-679"/>
        <s v="ISJ-48676-420"/>
        <s v="YIS-96268-844"/>
        <s v="ZAY-43009-775"/>
        <s v="TJG-73587-353"/>
        <s v="CUN-90044-279"/>
        <s v="GMM-72397-378"/>
        <s v="IZA-61469-812"/>
        <s v="AGQ-06534-750"/>
        <s v="BHA-47429-889"/>
        <s v="UOG-94188-104"/>
        <s v="FHD-89872-325"/>
        <s v="SNZ-44595-152"/>
        <s v="KRZ-13868-122"/>
        <s v="WLL-59044-117"/>
        <s v="UOM-71431-481"/>
        <s v="GPZ-36017-366"/>
        <s v="BMK-49520-383"/>
        <s v="IXU-20263-532"/>
        <s v="RXI-67978-260"/>
        <s v="SRG-76791-614"/>
        <s v="PKJ-99134-523"/>
        <s v="KHG-33953-115"/>
        <s v="LHX-81117-166"/>
        <s v="LWJ-06793-303"/>
        <s v="OUQ-73954-002"/>
        <s v="CCZ-19589-212"/>
        <s v="BPZ-51283-916"/>
        <s v="ACY-56225-839"/>
        <s v="YVH-19865-819"/>
        <s v="CXI-04933-855"/>
        <s v="GTS-22482-014"/>
        <s v="ZSL-66684-103"/>
        <s v="MJZ-93232-402"/>
        <s v="ZMC-00336-619"/>
        <s v="WDV-73864-037"/>
        <s v="ULU-07744-724"/>
        <s v="GPU-65651-504"/>
        <s v="GGD-38107-641"/>
        <s v="XZG-51938-658"/>
        <s v="XEY-48929-474"/>
        <s v="VUT-20974-364"/>
        <s v="KMB-95211-174"/>
        <s v="VFZ-91673-181"/>
        <s v="EPT-12715-397"/>
        <s v="YPP-27450-525"/>
        <s v="ZWI-52029-159"/>
        <s v="ENQ-42923-176"/>
        <s v="EBA-82404-343"/>
        <s v="YAU-98893-150"/>
        <s v="HVW-25584-144"/>
        <s v="AJL-52941-018"/>
        <s v="BZP-33213-637"/>
        <s v="KSH-47717-456"/>
        <s v="RYY-38961-093"/>
        <s v="NGG-24006-937"/>
        <s v="XUR-14132-391"/>
        <s v="RRP-51647-420"/>
        <s v="FYQ-78248-319"/>
        <s v="AZF-45991-584"/>
        <s v="JQT-14347-517"/>
        <s v="XWC-20610-167"/>
        <s v="SGA-30059-217"/>
        <s v="LAW-80062-016"/>
        <s v="HVQ-64398-930"/>
        <s v="QUU-91729-492"/>
        <s v="NHL-11063-100"/>
        <s v="TFY-52090-386"/>
        <s v="PCA-14081-576"/>
        <s v="KFJ-46568-890"/>
        <s v="YJU-84377-606"/>
        <s v="KMS-49214-806"/>
        <s v="BYZ-39669-954"/>
        <s v="AVK-76526-953"/>
        <s v="PMV-54491-220"/>
        <s v="TXF-79780-017"/>
        <s v="NOY-99738-977"/>
        <s v="YFX-64795-136"/>
        <s v="JSU-23781-256"/>
        <s v="SBC-95710-706"/>
        <s v="FBD-56220-430"/>
        <s v="GOW-03198-575"/>
        <s v="DMY-96037-963"/>
        <s v="UEB-09112-118"/>
        <s v="NHI-23264-055"/>
        <s v="YZA-25234-630"/>
        <s v="ALR-62963-723"/>
        <s v="UMB-11223-710"/>
        <s v="JUA-13580-095"/>
        <s v="NXV-05302-067"/>
        <s v="SRJ-79353-838"/>
        <s v="YWM-07310-594"/>
        <s v="DUV-12075-132"/>
        <s v="AEZ-13242-456"/>
        <s v="UME-75640-698"/>
        <s v="JXP-28398-485"/>
        <s v="BRB-40903-533"/>
        <s v="XQJ-86887-506"/>
        <s v="TNW-41601-420"/>
        <s v="ZIL-34948-499"/>
        <s v="WVT-88135-549"/>
        <s v="CPV-90280-133"/>
        <s v="DXQ-44537-297"/>
        <s v="HXL-22497-359"/>
        <s v="TZU-64255-831"/>
        <s v="DFK-35846-692"/>
        <s v="AHQ-40440-522"/>
        <s v="XLD-12920-505"/>
        <s v="ENN-79947-323"/>
        <s v="SFC-34054-213"/>
        <s v="FWU-44971-444"/>
        <s v="LYP-52345-883"/>
        <s v="FBZ-64200-586"/>
        <s v="ULR-52653-960"/>
        <s v="EQI-82205-066"/>
        <s v="DLV-65840-759"/>
        <s v="AWT-22827-563"/>
        <s v="ZGD-94763-868"/>
        <s v="RSR-96390-187"/>
        <s v="EHJ-82097-549"/>
        <s v="HFT-77191-168"/>
        <s v="SNZ-65340-705"/>
        <s v="OGB-91614-810"/>
        <s v="UJV-32333-364"/>
        <s v="YGY-98425-969"/>
        <s v="DXY-76225-633"/>
        <s v="LWS-13938-905"/>
        <s v="KZR-33023-209"/>
        <s v="CPW-34587-459"/>
        <s v="EHJ-05910-257"/>
        <s v="BXH-62195-013"/>
        <s v="QBB-07903-622"/>
        <s v="PRP-53390-819"/>
        <s v="VAU-44387-624"/>
        <s v="IRJ-67095-738"/>
        <s v="AVH-56062-335"/>
        <s v="RUK-78200-416"/>
        <s v="UHK-63283-868"/>
        <s v="BRJ-19414-277"/>
        <s v="RWI-84131-848"/>
        <s v="WBK-62297-910"/>
        <s v="OTA-40969-710"/>
        <s v="QOO-24615-950"/>
        <s v="ZKI-78561-066"/>
        <s v="GUU-40666-525"/>
        <s v="VJF-46305-323"/>
        <s v="YIT-15877-117"/>
        <s v="MIF-17920-768"/>
        <s v="RYZ-14633-602"/>
        <s v="RFH-64349-897"/>
        <s v="QPM-95832-683"/>
        <s v="BQJ-44755-910"/>
        <s v="AXR-10962-010"/>
        <s v="WKB-21680-566"/>
        <s v="QWY-99467-368"/>
        <s v="SCN-51395-066"/>
        <s v="IYO-10245-081"/>
        <s v="XMC-20620-809"/>
        <s v="UBI-83843-396"/>
        <s v="CZY-70361-485"/>
        <s v="ANM-16388-634"/>
        <s v="BQK-38412-229"/>
        <s v="MBT-23379-866"/>
        <s v="MIS-54381-047"/>
        <s v="PNU-22150-408"/>
        <s v="RNH-54912-747"/>
        <s v="NOP-21394-646"/>
        <s v="UDH-24280-432"/>
        <s v="PVU-02950-470"/>
        <s v="OOU-61343-455"/>
        <s v="ITY-92466-909"/>
        <s v="HNI-91338-546"/>
        <s v="SQT-07286-736"/>
        <s v="XCG-07109-195"/>
        <s v="UBW-50312-037"/>
        <s v="HSF-66926-425"/>
        <s v="RXW-91413-276"/>
        <s v="AHY-20324-088"/>
        <s v="MAY-77231-536"/>
        <s v="KCY-61732-849"/>
        <s v="GJC-66474-557"/>
        <s v="SFB-93752-440"/>
        <s v="DAH-46595-917"/>
        <s v="ALA-62598-016"/>
        <s v="NYY-73968-094"/>
        <s v="GTT-73214-334"/>
        <s v="TWD-70988-853"/>
        <s v="EEJ-16185-108"/>
        <s v="TED-81959-419"/>
        <s v="LBZ-75997-047"/>
        <s v="JNA-21450-177"/>
        <s v="DZI-35365-596"/>
        <s v="SFD-00372-284"/>
        <s v="CKF-43291-846"/>
        <s v="HPI-42308-142"/>
        <s v="BAF-42286-205"/>
        <s v="MVO-39328-830"/>
        <s v="RMA-08327-369"/>
        <s v="KBB-52530-416"/>
        <s v="PTY-86420-119"/>
        <s v="RUJ-30649-712"/>
        <s v="VTV-03546-175"/>
        <s v="QNA-31113-984"/>
        <s v="GHR-72274-715"/>
        <s v="TDZ-59011-211"/>
        <s v="ZYQ-15797-695"/>
        <s v="ZGM-83108-823"/>
        <s v="HDQ-86094-507"/>
        <s v="HPD-65272-772"/>
        <s v="GNZ-46006-527"/>
        <s v="XED-90333-402"/>
        <s v="KJJ-12573-591"/>
        <s v="YLK-78851-470"/>
        <s v="MEK-39769-035"/>
        <s v="XSZ-84273-421"/>
        <s v="TVF-57766-608"/>
        <s v="PSD-57291-590"/>
        <s v="XEE-37895-169"/>
        <s v="XHI-30227-581"/>
        <s v="TCC-89722-031"/>
        <s v="DXA-50313-073"/>
        <s v="ILQ-11027-588"/>
        <s v="YUO-76652-814"/>
        <s v="GEJ-39834-935"/>
        <s v="BPT-83989-157"/>
        <s v="RJV-08261-583"/>
        <s v="XDU-05471-219"/>
        <s v="UOA-23786-489"/>
        <s v="FDY-03414-903"/>
        <s v="WFT-16178-396"/>
        <s v="NFQ-23241-793"/>
        <s v="JZC-31180-557"/>
        <s v="PJC-31401-893"/>
        <s v="MIU-01481-194"/>
        <s v="JOM-80930-071"/>
        <s v="WVV-79948-067"/>
        <s v="BGB-67996-089"/>
        <s v="ZZL-76364-387"/>
        <s v="BAQ-74241-156"/>
        <s v="IKK-62234-199"/>
        <s v="USN-68115-161"/>
        <s v="DBU-81099-586"/>
        <s v="ZSO-58292-191"/>
        <s v="BYP-16005-016"/>
        <s v="ICC-73030-502"/>
        <s v="IOB-32673-745"/>
        <s v="HRM-94548-288"/>
        <s v="SKA-73676-005"/>
        <s v="COV-52659-202"/>
        <s v="YLE-18247-749"/>
        <s v="QYC-63914-195"/>
        <s v="LBC-45686-819"/>
        <s v="ULA-24644-321"/>
        <s v="PBP-87115-410"/>
        <s v="FND-99527-640"/>
        <s v="YZG-20575-451"/>
        <s v="RDW-33155-159"/>
        <s v="GUG-45603-775"/>
        <s v="KGZ-56395-231"/>
        <s v="UOJ-28238-299"/>
        <s v="WJJ-37489-898"/>
        <s v="VCE-56531-986"/>
        <s v="JUO-34131-517"/>
        <s v="FVV-75700-005"/>
        <s v="IKL-95976-565"/>
        <s v="NWQ-70061-912"/>
        <s v="ZCR-15721-658"/>
        <s v="UKS-93055-397"/>
        <s v="RXN-55491-201"/>
        <s v="SZW-48378-399"/>
        <s v="LTO-95975-728"/>
        <s v="RZC-75150-413"/>
        <s v="DYG-25473-881"/>
        <s v="EEG-74197-843"/>
        <s v="FJQ-60035-234"/>
        <s v="ISL-11200-600"/>
        <s v="CYM-74988-450"/>
        <s v="SGS-87525-238"/>
        <s v="IDQ-20193-502"/>
        <s v="OPY-30711-853"/>
        <s v="AWP-11469-510"/>
        <s v="AIA-98989-755"/>
        <s v="POF-29666-012"/>
        <s v="LQU-08404-173"/>
        <s v="BRV-64870-915"/>
        <s v="YXF-57218-272"/>
        <s v="LTP-31133-134"/>
        <s v="SNF-57032-096"/>
        <s v="TMO-22785-872"/>
        <s v="JAF-18294-750"/>
        <s v="LCU-93317-340"/>
        <s v="LRK-97117-150"/>
        <s v="EVP-43500-491"/>
        <s v="XUE-87260-201"/>
        <s v="CFZ-53492-600"/>
        <s v="OVI-27064-381"/>
        <s v="RJR-12175-899"/>
        <s v="RCK-04069-371"/>
        <s v="KYS-27063-603"/>
        <s v="KAW-95195-329"/>
        <s v="ZDC-64769-740"/>
        <s v="ZHQ-30471-635"/>
        <s v="XIY-43041-882"/>
        <s v="IXW-20780-268"/>
        <s v="IPP-31994-879"/>
        <s v="ASS-05878-128"/>
        <s v="YIE-87008-621"/>
        <s v="BLI-21697-702"/>
        <s v="XNM-14163-951"/>
        <s v="CQM-49696-263"/>
        <s v="EIL-44855-309"/>
        <s v="WJR-51493-682"/>
        <s v="DHT-93810-053"/>
        <s v="GAZ-58626-277"/>
        <s v="ISK-42066-094"/>
        <s v="GQR-12490-152"/>
        <s v="TCR-01064-030"/>
        <s v="CZF-40873-691"/>
        <s v="WAI-89905-069"/>
        <s v="IHS-71573-008"/>
        <s v="VVL-95291-039"/>
        <s v="DGL-29648-995"/>
        <s v="LGD-24408-274"/>
        <s v="SVU-27222-213"/>
        <s v="YLY-35287-172"/>
        <s v="YFH-87456-208"/>
        <s v="PDB-98743-282"/>
        <s v="RIU-02231-623"/>
        <s v="FBI-35855-418"/>
        <s v="GNO-91911-159"/>
        <s v="TPA-93614-840"/>
        <s v="IMP-12563-728"/>
        <s v="SYX-48878-182"/>
        <s v="EOL-92666-762"/>
        <s v="MWP-46239-785"/>
        <s v="HUB-47311-849"/>
        <s v="ABO-29054-365"/>
        <s v="VID-40587-569"/>
        <s v="KAR-24978-271"/>
        <s v="SOK-43535-680"/>
        <s v="QDV-03406-248"/>
        <s v="TID-21626-411"/>
        <s v="NAR-00747-074"/>
        <s v="BOR-02906-411"/>
        <s v="HCA-87224-420"/>
        <s v="FTC-35822-530"/>
        <s v="DFZ-45083-941"/>
        <s v="FRD-17347-990"/>
        <s v="UPX-54529-618"/>
        <s v="SCL-94540-788"/>
        <s v="TRZ-94735-865"/>
        <s v="OHX-11953-965"/>
        <s v="ITA-87418-783"/>
        <s v="HGJ-82768-173"/>
        <s v="JLJ-81802-619"/>
        <s v="OGD-10781-526"/>
        <s v="WNR-71736-993"/>
        <s v="WMA-34232-850"/>
        <s v="AKV-93064-769"/>
        <s v="TKH-62197-239"/>
        <s v="ABK-08091-531"/>
        <s v="ELB-07929-407"/>
        <s v="CWK-60159-881"/>
        <s v="FZQ-29439-457"/>
        <s v="WNE-73911-475"/>
        <s v="CHE-78995-767"/>
        <s v="NWT-78222-575"/>
        <s v="KRW-91640-596"/>
        <s v="OIL-26493-755"/>
        <s v="FLM-82229-989"/>
        <s v="LAA-41879-001"/>
        <s v="AMB-93600-000"/>
        <s v="VMT-10030-889"/>
        <s v="SBI-60013-494"/>
        <s v="WIT-40912-783"/>
        <s v="IBW-87442-480"/>
        <s v="WBA-85905-175"/>
        <s v="LJN-34281-921"/>
        <s v="OAW-17338-101"/>
        <s v="BLV-60087-454"/>
        <s v="ZUR-55774-294"/>
        <s v="GFK-52063-244"/>
        <s v="EMA-63190-618"/>
        <s v="MJF-20065-335"/>
        <s v="MGH-36050-573"/>
        <s v="ZJE-89333-489"/>
        <s v="WMP-68847-770"/>
        <s v="VQV-59984-866"/>
        <s v="VPX-44956-367"/>
        <s v="MEX-29350-659"/>
        <s v="FUO-99821-974"/>
        <s v="WFV-88138-247"/>
        <s v="EUH-08089-954"/>
        <s v="IRV-20769-219"/>
        <s v="NUU-03893-975"/>
        <s v="QKA-72582-644"/>
        <s v="KIX-93248-135"/>
        <s v="QAW-05889-019"/>
        <s v="WAG-26945-689"/>
        <s v="WXT-85291-143"/>
        <s v="TBB-29780-459"/>
        <s v="CBT-15092-420"/>
        <s v="SLD-63003-334"/>
        <s v="EXP-21628-670"/>
        <s v="WKD-81956-870"/>
        <s v="LTS-03470-353"/>
        <s v="MDC-03318-645"/>
        <s v="ICF-17486-106"/>
        <s v="FUX-85791-078"/>
        <s v="YDS-02797-307"/>
        <s v="CGO-79583-871"/>
        <s v="DSL-69915-544"/>
        <s v="OYU-25085-528"/>
        <s v="PUH-55647-976"/>
        <s v="UCZ-59708-525"/>
        <s v="WSV-49732-075"/>
        <s v="CQW-37388-302"/>
        <s v="WWH-92259-198"/>
        <s v="JGZ-16947-591"/>
        <s v="CYZ-37122-164"/>
        <s v="NFI-37188-246"/>
        <s v="WXG-25759-236"/>
        <s v="GND-08192-056"/>
        <s v="SZR-35951-530"/>
        <s v="JYR-22052-185"/>
        <s v="BDM-03174-485"/>
        <s v="OYH-16533-767"/>
        <s v="TDJ-20844-787"/>
        <s v="BWZ-46364-547"/>
        <s v="SVD-75407-177"/>
        <s v="FEP-36895-658"/>
        <s v="YVK-82679-655"/>
        <s v="HYF-10254-369"/>
        <s v="CPX-46916-770"/>
        <s v="VNC-93921-469"/>
        <s v="SKO-45740-621"/>
        <s v="NTJ-88319-746"/>
        <s v="MDG-14481-513"/>
        <s v="DWY-56352-412"/>
        <s v="UPF-60123-025"/>
        <s v="QUQ-90580-772"/>
      </sharedItems>
    </cacheField>
    <cacheField name="Order Date" numFmtId="165">
      <sharedItems containsSemiMixedTypes="0" containsNonDate="0" containsDate="1" containsString="0" minDate="2019-01-02T00:00:00" maxDate="2022-08-20T00:00:00" count="689">
        <d v="2019-02-04T00:00:00"/>
        <d v="2020-02-22T00:00:00"/>
        <d v="2019-05-22T00:00:00"/>
        <d v="2021-02-11T00:00:00"/>
        <d v="2020-03-20T00:00:00"/>
        <d v="2020-03-07T00:00:00"/>
        <d v="2021-10-07T00:00:00"/>
        <d v="2020-12-18T00:00:00"/>
        <d v="2020-11-02T00:00:00"/>
        <d v="2019-09-22T00:00:00"/>
        <d v="2021-11-05T00:00:00"/>
        <d v="2021-09-25T00:00:00"/>
        <d v="2021-04-08T00:00:00"/>
        <d v="2022-03-25T00:00:00"/>
        <d v="2020-07-05T00:00:00"/>
        <d v="2021-10-28T00:00:00"/>
        <d v="2021-06-28T00:00:00"/>
        <d v="2019-06-08T00:00:00"/>
        <d v="2020-08-11T00:00:00"/>
        <d v="2022-04-05T00:00:00"/>
        <d v="2021-04-30T00:00:00"/>
        <d v="2020-01-21T00:00:00"/>
        <d v="2020-07-13T00:00:00"/>
        <d v="2021-10-01T00:00:00"/>
        <d v="2019-08-20T00:00:00"/>
        <d v="2021-06-15T00:00:00"/>
        <d v="2021-05-05T00:00:00"/>
        <d v="2019-04-12T00:00:00"/>
        <d v="2022-07-19T00:00:00"/>
        <d v="2020-02-07T00:00:00"/>
        <d v="2019-09-07T00:00:00"/>
        <d v="2019-09-05T00:00:00"/>
        <d v="2021-06-11T00:00:00"/>
        <d v="2021-08-20T00:00:00"/>
        <d v="2021-10-19T00:00:00"/>
        <d v="2020-01-10T00:00:00"/>
        <d v="2019-09-12T00:00:00"/>
        <d v="2020-01-19T00:00:00"/>
        <d v="2019-04-17T00:00:00"/>
        <d v="2021-10-13T00:00:00"/>
        <d v="2019-06-23T00:00:00"/>
        <d v="2020-02-26T00:00:00"/>
        <d v="2020-11-12T00:00:00"/>
        <d v="2019-01-10T00:00:00"/>
        <d v="2019-03-12T00:00:00"/>
        <d v="2019-10-05T00:00:00"/>
        <d v="2022-03-06T00:00:00"/>
        <d v="2019-01-18T00:00:00"/>
        <d v="2021-07-22T00:00:00"/>
        <d v="2021-01-22T00:00:00"/>
        <d v="2022-06-27T00:00:00"/>
        <d v="2020-06-07T00:00:00"/>
        <d v="2021-10-16T00:00:00"/>
        <d v="2021-03-29T00:00:00"/>
        <d v="2019-11-21T00:00:00"/>
        <d v="2019-10-28T00:00:00"/>
        <d v="2021-09-06T00:00:00"/>
        <d v="2021-05-20T00:00:00"/>
        <d v="2022-03-20T00:00:00"/>
        <d v="2022-05-02T00:00:00"/>
        <d v="2019-05-17T00:00:00"/>
        <d v="2021-03-16T00:00:00"/>
        <d v="2019-06-28T00:00:00"/>
        <d v="2021-11-02T00:00:00"/>
        <d v="2022-03-26T00:00:00"/>
        <d v="2020-12-24T00:00:00"/>
        <d v="2020-03-18T00:00:00"/>
        <d v="2019-08-13T00:00:00"/>
        <d v="2022-05-17T00:00:00"/>
        <d v="2020-11-04T00:00:00"/>
        <d v="2021-09-20T00:00:00"/>
        <d v="2021-08-08T00:00:00"/>
        <d v="2022-06-07T00:00:00"/>
        <d v="2020-12-04T00:00:00"/>
        <d v="2019-12-16T00:00:00"/>
        <d v="2020-10-27T00:00:00"/>
        <d v="2022-07-15T00:00:00"/>
        <d v="2021-03-12T00:00:00"/>
        <d v="2020-10-13T00:00:00"/>
        <d v="2019-07-09T00:00:00"/>
        <d v="2019-09-28T00:00:00"/>
        <d v="2021-06-06T00:00:00"/>
        <d v="2021-12-15T00:00:00"/>
        <d v="2019-04-24T00:00:00"/>
        <d v="2021-05-31T00:00:00"/>
        <d v="2019-11-29T00:00:00"/>
        <d v="2021-11-27T00:00:00"/>
        <d v="2019-01-26T00:00:00"/>
        <d v="2019-02-21T00:00:00"/>
        <d v="2020-05-03T00:00:00"/>
        <d v="2022-08-19T00:00:00"/>
        <d v="2021-04-03T00:00:00"/>
        <d v="2021-06-29T00:00:00"/>
        <d v="2022-04-15T00:00:00"/>
        <d v="2021-04-09T00:00:00"/>
        <d v="2020-02-28T00:00:00"/>
        <d v="2019-11-27T00:00:00"/>
        <d v="2020-03-15T00:00:00"/>
        <d v="2019-03-03T00:00:00"/>
        <d v="2020-10-25T00:00:00"/>
        <d v="2021-04-19T00:00:00"/>
        <d v="2021-08-04T00:00:00"/>
        <d v="2021-03-23T00:00:00"/>
        <d v="2021-07-07T00:00:00"/>
        <d v="2020-03-06T00:00:00"/>
        <d v="2021-11-10T00:00:00"/>
        <d v="2019-06-26T00:00:00"/>
        <d v="2022-03-04T00:00:00"/>
        <d v="2022-02-16T00:00:00"/>
        <d v="2021-04-06T00:00:00"/>
        <d v="2021-02-05T00:00:00"/>
        <d v="2021-12-02T00:00:00"/>
        <d v="2019-10-26T00:00:00"/>
        <d v="2021-03-31T00:00:00"/>
        <d v="2020-10-05T00:00:00"/>
        <d v="2022-03-15T00:00:00"/>
        <d v="2019-11-28T00:00:00"/>
        <d v="2020-12-31T00:00:00"/>
        <d v="2020-10-20T00:00:00"/>
        <d v="2020-05-19T00:00:00"/>
        <d v="2022-07-08T00:00:00"/>
        <d v="2019-07-02T00:00:00"/>
        <d v="2019-07-23T00:00:00"/>
        <d v="2022-06-10T00:00:00"/>
        <d v="2022-01-21T00:00:00"/>
        <d v="2021-12-27T00:00:00"/>
        <d v="2019-04-27T00:00:00"/>
        <d v="2020-10-10T00:00:00"/>
        <d v="2019-06-14T00:00:00"/>
        <d v="2020-11-07T00:00:00"/>
        <d v="2019-09-13T00:00:00"/>
        <d v="2019-12-14T00:00:00"/>
        <d v="2019-10-17T00:00:00"/>
        <d v="2022-05-01T00:00:00"/>
        <d v="2020-06-26T00:00:00"/>
        <d v="2020-03-12T00:00:00"/>
        <d v="2020-02-27T00:00:00"/>
        <d v="2019-12-04T00:00:00"/>
        <d v="2020-02-12T00:00:00"/>
        <d v="2021-09-08T00:00:00"/>
        <d v="2019-07-25T00:00:00"/>
        <d v="2021-03-10T00:00:00"/>
        <d v="2020-12-25T00:00:00"/>
        <d v="2020-07-31T00:00:00"/>
        <d v="2019-01-22T00:00:00"/>
        <d v="2021-03-20T00:00:00"/>
        <d v="2021-11-29T00:00:00"/>
        <d v="2021-02-17T00:00:00"/>
        <d v="2022-05-26T00:00:00"/>
        <d v="2019-05-21T00:00:00"/>
        <d v="2019-02-11T00:00:00"/>
        <d v="2021-09-30T00:00:00"/>
        <d v="2019-03-11T00:00:00"/>
        <d v="2021-09-12T00:00:00"/>
        <d v="2022-01-30T00:00:00"/>
        <d v="2021-02-08T00:00:00"/>
        <d v="2021-11-28T00:00:00"/>
        <d v="2022-04-27T00:00:00"/>
        <d v="2021-06-04T00:00:00"/>
        <d v="2022-04-08T00:00:00"/>
        <d v="2021-01-10T00:00:00"/>
        <d v="2022-08-04T00:00:00"/>
        <d v="2021-10-24T00:00:00"/>
        <d v="2020-03-23T00:00:00"/>
        <d v="2020-07-03T00:00:00"/>
        <d v="2022-06-01T00:00:00"/>
        <d v="2019-07-03T00:00:00"/>
        <d v="2019-04-07T00:00:00"/>
        <d v="2021-07-20T00:00:00"/>
        <d v="2022-01-12T00:00:00"/>
        <d v="2021-04-26T00:00:00"/>
        <d v="2020-09-08T00:00:00"/>
        <d v="2021-07-15T00:00:00"/>
        <d v="2021-02-07T00:00:00"/>
        <d v="2021-09-15T00:00:00"/>
        <d v="2019-09-06T00:00:00"/>
        <d v="2022-06-11T00:00:00"/>
        <d v="2021-11-23T00:00:00"/>
        <d v="2020-12-17T00:00:00"/>
        <d v="2021-11-26T00:00:00"/>
        <d v="2020-05-04T00:00:00"/>
        <d v="2020-04-30T00:00:00"/>
        <d v="2019-12-29T00:00:00"/>
        <d v="2019-02-25T00:00:00"/>
        <d v="2021-12-08T00:00:00"/>
        <d v="2020-02-24T00:00:00"/>
        <d v="2020-02-04T00:00:00"/>
        <d v="2022-03-13T00:00:00"/>
        <d v="2021-08-31T00:00:00"/>
        <d v="2021-11-13T00:00:00"/>
        <d v="2020-06-11T00:00:00"/>
        <d v="2020-11-03T00:00:00"/>
        <d v="2020-04-23T00:00:00"/>
        <d v="2020-03-13T00:00:00"/>
        <d v="2019-05-09T00:00:00"/>
        <d v="2020-12-08T00:00:00"/>
        <d v="2021-06-13T00:00:00"/>
        <d v="2020-06-28T00:00:00"/>
        <d v="2021-10-02T00:00:00"/>
        <d v="2020-06-24T00:00:00"/>
        <d v="2019-02-05T00:00:00"/>
        <d v="2022-06-30T00:00:00"/>
        <d v="2019-11-12T00:00:00"/>
        <d v="2021-02-25T00:00:00"/>
        <d v="2019-03-30T00:00:00"/>
        <d v="2022-05-24T00:00:00"/>
        <d v="2022-06-17T00:00:00"/>
        <d v="2020-06-29T00:00:00"/>
        <d v="2022-01-02T00:00:00"/>
        <d v="2020-10-24T00:00:00"/>
        <d v="2019-09-02T00:00:00"/>
        <d v="2020-08-14T00:00:00"/>
        <d v="2020-03-31T00:00:00"/>
        <d v="2020-12-06T00:00:00"/>
        <d v="2020-03-22T00:00:00"/>
        <d v="2020-10-22T00:00:00"/>
        <d v="2019-04-05T00:00:00"/>
        <d v="2021-06-01T00:00:00"/>
        <d v="2020-09-15T00:00:00"/>
        <d v="2022-07-25T00:00:00"/>
        <d v="2021-04-14T00:00:00"/>
        <d v="2021-07-10T00:00:00"/>
        <d v="2020-09-09T00:00:00"/>
        <d v="2020-04-20T00:00:00"/>
        <d v="2022-07-01T00:00:00"/>
        <d v="2019-12-30T00:00:00"/>
        <d v="2020-05-31T00:00:00"/>
        <d v="2020-10-02T00:00:00"/>
        <d v="2022-04-25T00:00:00"/>
        <d v="2021-05-14T00:00:00"/>
        <d v="2022-07-28T00:00:00"/>
        <d v="2021-11-21T00:00:00"/>
        <d v="2022-01-10T00:00:00"/>
        <d v="2021-03-21T00:00:00"/>
        <d v="2019-06-16T00:00:00"/>
        <d v="2020-02-20T00:00:00"/>
        <d v="2022-08-06T00:00:00"/>
        <d v="2020-12-19T00:00:00"/>
        <d v="2019-12-15T00:00:00"/>
        <d v="2019-07-20T00:00:00"/>
        <d v="2021-08-03T00:00:00"/>
        <d v="2021-05-30T00:00:00"/>
        <d v="2022-06-12T00:00:00"/>
        <d v="2022-05-12T00:00:00"/>
        <d v="2019-01-09T00:00:00"/>
        <d v="2020-10-23T00:00:00"/>
        <d v="2021-08-02T00:00:00"/>
        <d v="2020-06-09T00:00:00"/>
        <d v="2020-02-18T00:00:00"/>
        <d v="2020-04-07T00:00:00"/>
        <d v="2019-07-14T00:00:00"/>
        <d v="2021-06-26T00:00:00"/>
        <d v="2019-11-07T00:00:00"/>
        <d v="2020-06-03T00:00:00"/>
        <d v="2022-04-12T00:00:00"/>
        <d v="2019-02-10T00:00:00"/>
        <d v="2020-06-10T00:00:00"/>
        <d v="2022-07-14T00:00:00"/>
        <d v="2021-09-24T00:00:00"/>
        <d v="2019-05-12T00:00:00"/>
        <d v="2020-04-25T00:00:00"/>
        <d v="2020-05-26T00:00:00"/>
        <d v="2021-11-15T00:00:00"/>
        <d v="2021-01-27T00:00:00"/>
        <d v="2020-10-28T00:00:00"/>
        <d v="2022-01-17T00:00:00"/>
        <d v="2021-03-03T00:00:00"/>
        <d v="2019-09-11T00:00:00"/>
        <d v="2022-07-05T00:00:00"/>
        <d v="2020-07-26T00:00:00"/>
        <d v="2022-05-21T00:00:00"/>
        <d v="2020-06-30T00:00:00"/>
        <d v="2022-01-31T00:00:00"/>
        <d v="2019-10-04T00:00:00"/>
        <d v="2022-03-17T00:00:00"/>
        <d v="2021-05-21T00:00:00"/>
        <d v="2019-03-14T00:00:00"/>
        <d v="2021-05-02T00:00:00"/>
        <d v="2019-05-18T00:00:00"/>
        <d v="2019-08-17T00:00:00"/>
        <d v="2020-10-16T00:00:00"/>
        <d v="2021-07-21T00:00:00"/>
        <d v="2019-08-31T00:00:00"/>
        <d v="2021-03-01T00:00:00"/>
        <d v="2021-09-09T00:00:00"/>
        <d v="2020-11-09T00:00:00"/>
        <d v="2021-01-31T00:00:00"/>
        <d v="2021-02-28T00:00:00"/>
        <d v="2020-08-23T00:00:00"/>
        <d v="2021-04-10T00:00:00"/>
        <d v="2019-02-14T00:00:00"/>
        <d v="2020-02-03T00:00:00"/>
        <d v="2019-07-06T00:00:00"/>
        <d v="2022-07-16T00:00:00"/>
        <d v="2020-01-01T00:00:00"/>
        <d v="2020-05-11T00:00:00"/>
        <d v="2022-04-29T00:00:00"/>
        <d v="2022-05-05T00:00:00"/>
        <d v="2022-03-23T00:00:00"/>
        <d v="2020-08-31T00:00:00"/>
        <d v="2021-12-21T00:00:00"/>
        <d v="2022-06-03T00:00:00"/>
        <d v="2021-03-08T00:00:00"/>
        <d v="2021-09-21T00:00:00"/>
        <d v="2020-11-23T00:00:00"/>
        <d v="2019-02-24T00:00:00"/>
        <d v="2021-10-03T00:00:00"/>
        <d v="2021-02-22T00:00:00"/>
        <d v="2020-06-02T00:00:00"/>
        <d v="2022-01-01T00:00:00"/>
        <d v="2022-07-12T00:00:00"/>
        <d v="2021-10-17T00:00:00"/>
        <d v="2020-10-01T00:00:00"/>
        <d v="2021-02-03T00:00:00"/>
        <d v="2020-12-07T00:00:00"/>
        <d v="2021-01-21T00:00:00"/>
        <d v="2019-07-30T00:00:00"/>
        <d v="2019-02-16T00:00:00"/>
        <d v="2020-12-05T00:00:00"/>
        <d v="2019-02-06T00:00:00"/>
        <d v="2021-10-26T00:00:00"/>
        <d v="2021-07-17T00:00:00"/>
        <d v="2021-03-19T00:00:00"/>
        <d v="2019-12-21T00:00:00"/>
        <d v="2019-11-26T00:00:00"/>
        <d v="2021-05-16T00:00:00"/>
        <d v="2021-12-12T00:00:00"/>
        <d v="2020-10-04T00:00:00"/>
        <d v="2019-06-03T00:00:00"/>
        <d v="2020-09-10T00:00:00"/>
        <d v="2021-11-04T00:00:00"/>
        <d v="2021-09-02T00:00:00"/>
        <d v="2019-01-02T00:00:00"/>
        <d v="2022-01-04T00:00:00"/>
        <d v="2020-12-09T00:00:00"/>
        <d v="2019-10-08T00:00:00"/>
        <d v="2022-01-27T00:00:00"/>
        <d v="2020-10-21T00:00:00"/>
        <d v="2021-11-11T00:00:00"/>
        <d v="2019-07-31T00:00:00"/>
        <d v="2020-11-15T00:00:00"/>
        <d v="2020-07-02T00:00:00"/>
        <d v="2019-10-23T00:00:00"/>
        <d v="2019-09-17T00:00:00"/>
        <d v="2019-08-06T00:00:00"/>
        <d v="2021-09-26T00:00:00"/>
        <d v="2020-06-05T00:00:00"/>
        <d v="2019-06-24T00:00:00"/>
        <d v="2020-04-29T00:00:00"/>
        <d v="2020-01-06T00:00:00"/>
        <d v="2021-09-10T00:00:00"/>
        <d v="2022-05-30T00:00:00"/>
        <d v="2020-04-12T00:00:00"/>
        <d v="2020-07-25T00:00:00"/>
        <d v="2021-01-07T00:00:00"/>
        <d v="2021-08-30T00:00:00"/>
        <d v="2021-04-05T00:00:00"/>
        <d v="2021-07-24T00:00:00"/>
        <d v="2019-10-16T00:00:00"/>
        <d v="2021-03-22T00:00:00"/>
        <d v="2020-10-14T00:00:00"/>
        <d v="2021-01-14T00:00:00"/>
        <d v="2020-02-08T00:00:00"/>
        <d v="2021-08-06T00:00:00"/>
        <d v="2019-07-18T00:00:00"/>
        <d v="2022-02-11T00:00:00"/>
        <d v="2022-04-23T00:00:00"/>
        <d v="2019-02-19T00:00:00"/>
        <d v="2021-12-13T00:00:00"/>
        <d v="2022-02-28T00:00:00"/>
        <d v="2021-06-20T00:00:00"/>
        <d v="2020-07-14T00:00:00"/>
        <d v="2020-11-21T00:00:00"/>
        <d v="2020-02-29T00:00:00"/>
        <d v="2019-06-04T00:00:00"/>
        <d v="2019-10-03T00:00:00"/>
        <d v="2021-11-24T00:00:00"/>
        <d v="2021-12-10T00:00:00"/>
        <d v="2021-07-03T00:00:00"/>
        <d v="2021-03-04T00:00:00"/>
        <d v="2020-09-18T00:00:00"/>
        <d v="2019-08-16T00:00:00"/>
        <d v="2019-03-15T00:00:00"/>
        <d v="2021-12-19T00:00:00"/>
        <d v="2021-06-08T00:00:00"/>
        <d v="2020-07-29T00:00:00"/>
        <d v="2022-08-17T00:00:00"/>
        <d v="2020-10-29T00:00:00"/>
        <d v="2021-05-07T00:00:00"/>
        <d v="2020-08-08T00:00:00"/>
        <d v="2020-07-19T00:00:00"/>
        <d v="2019-02-28T00:00:00"/>
        <d v="2021-06-17T00:00:00"/>
        <d v="2019-03-17T00:00:00"/>
        <d v="2022-03-16T00:00:00"/>
        <d v="2022-03-10T00:00:00"/>
        <d v="2022-01-13T00:00:00"/>
        <d v="2021-06-30T00:00:00"/>
        <d v="2019-08-03T00:00:00"/>
        <d v="2020-11-30T00:00:00"/>
        <d v="2019-02-12T00:00:00"/>
        <d v="2020-05-20T00:00:00"/>
        <d v="2020-01-26T00:00:00"/>
        <d v="2022-07-09T00:00:00"/>
        <d v="2022-03-08T00:00:00"/>
        <d v="2021-07-19T00:00:00"/>
        <d v="2019-05-02T00:00:00"/>
        <d v="2021-05-15T00:00:00"/>
        <d v="2019-03-21T00:00:00"/>
        <d v="2022-06-14T00:00:00"/>
        <d v="2022-02-20T00:00:00"/>
        <d v="2021-08-25T00:00:00"/>
        <d v="2019-12-31T00:00:00"/>
        <d v="2021-10-04T00:00:00"/>
        <d v="2020-02-15T00:00:00"/>
        <d v="2019-09-16T00:00:00"/>
        <d v="2022-05-22T00:00:00"/>
        <d v="2020-11-13T00:00:00"/>
        <d v="2022-06-04T00:00:00"/>
        <d v="2019-05-07T00:00:00"/>
        <d v="2020-09-23T00:00:00"/>
        <d v="2020-07-11T00:00:00"/>
        <d v="2019-06-27T00:00:00"/>
        <d v="2022-07-29T00:00:00"/>
        <d v="2021-03-27T00:00:00"/>
        <d v="2019-03-22T00:00:00"/>
        <d v="2021-03-28T00:00:00"/>
        <d v="2020-01-07T00:00:00"/>
        <d v="2020-12-29T00:00:00"/>
        <d v="2019-05-15T00:00:00"/>
        <d v="2021-02-14T00:00:00"/>
        <d v="2021-10-10T00:00:00"/>
        <d v="2020-02-11T00:00:00"/>
        <d v="2020-09-27T00:00:00"/>
        <d v="2021-01-29T00:00:00"/>
        <d v="2022-05-16T00:00:00"/>
        <d v="2020-06-20T00:00:00"/>
        <d v="2019-04-29T00:00:00"/>
        <d v="2022-08-12T00:00:00"/>
        <d v="2022-03-24T00:00:00"/>
        <d v="2021-07-23T00:00:00"/>
        <d v="2019-07-01T00:00:00"/>
        <d v="2019-12-03T00:00:00"/>
        <d v="2019-11-15T00:00:00"/>
        <d v="2020-09-19T00:00:00"/>
        <d v="2021-03-15T00:00:00"/>
        <d v="2021-12-31T00:00:00"/>
        <d v="2019-01-06T00:00:00"/>
        <d v="2021-08-29T00:00:00"/>
        <d v="2021-01-28T00:00:00"/>
        <d v="2019-11-09T00:00:00"/>
        <d v="2019-12-28T00:00:00"/>
        <d v="2020-03-26T00:00:00"/>
        <d v="2022-05-11T00:00:00"/>
        <d v="2020-04-05T00:00:00"/>
        <d v="2021-01-04T00:00:00"/>
        <d v="2021-04-16T00:00:00"/>
        <d v="2020-12-02T00:00:00"/>
        <d v="2020-07-12T00:00:00"/>
        <d v="2021-01-11T00:00:00"/>
        <d v="2021-01-26T00:00:00"/>
        <d v="2022-01-15T00:00:00"/>
        <d v="2020-05-05T00:00:00"/>
        <d v="2020-04-19T00:00:00"/>
        <d v="2022-08-08T00:00:00"/>
        <d v="2019-04-18T00:00:00"/>
        <d v="2019-10-12T00:00:00"/>
        <d v="2019-07-26T00:00:00"/>
        <d v="2022-07-07T00:00:00"/>
        <d v="2021-02-20T00:00:00"/>
        <d v="2022-02-03T00:00:00"/>
        <d v="2020-03-30T00:00:00"/>
        <d v="2021-07-29T00:00:00"/>
        <d v="2019-10-13T00:00:00"/>
        <d v="2019-06-13T00:00:00"/>
        <d v="2019-01-20T00:00:00"/>
        <d v="2020-07-07T00:00:00"/>
        <d v="2019-04-30T00:00:00"/>
        <d v="2020-07-18T00:00:00"/>
        <d v="2019-04-11T00:00:00"/>
        <d v="2019-09-29T00:00:00"/>
        <d v="2020-01-15T00:00:00"/>
        <d v="2021-09-07T00:00:00"/>
        <d v="2020-02-19T00:00:00"/>
        <d v="2021-03-13T00:00:00"/>
        <d v="2020-10-26T00:00:00"/>
        <d v="2020-01-30T00:00:00"/>
        <d v="2022-02-15T00:00:00"/>
        <d v="2022-05-13T00:00:00"/>
        <d v="2020-06-21T00:00:00"/>
        <d v="2021-02-13T00:00:00"/>
        <d v="2019-04-01T00:00:00"/>
        <d v="2019-04-22T00:00:00"/>
        <d v="2019-03-02T00:00:00"/>
        <d v="2022-06-06T00:00:00"/>
        <d v="2022-05-04T00:00:00"/>
        <d v="2019-10-11T00:00:00"/>
        <d v="2022-06-15T00:00:00"/>
        <d v="2021-11-06T00:00:00"/>
        <d v="2020-11-24T00:00:00"/>
        <d v="2019-11-16T00:00:00"/>
        <d v="2019-03-20T00:00:00"/>
        <d v="2020-08-06T00:00:00"/>
        <d v="2019-11-03T00:00:00"/>
        <d v="2019-05-01T00:00:00"/>
        <d v="2021-11-18T00:00:00"/>
        <d v="2019-03-10T00:00:00"/>
        <d v="2019-01-11T00:00:00"/>
        <d v="2021-03-24T00:00:00"/>
        <d v="2019-09-20T00:00:00"/>
        <d v="2022-05-31T00:00:00"/>
        <d v="2020-01-25T00:00:00"/>
        <d v="2019-12-27T00:00:00"/>
        <d v="2021-09-29T00:00:00"/>
        <d v="2021-01-13T00:00:00"/>
        <d v="2022-05-20T00:00:00"/>
        <d v="2021-12-03T00:00:00"/>
        <d v="2020-11-18T00:00:00"/>
        <d v="2021-03-26T00:00:00"/>
        <d v="2019-10-21T00:00:00"/>
        <d v="2021-11-09T00:00:00"/>
        <d v="2022-04-24T00:00:00"/>
        <d v="2019-02-22T00:00:00"/>
        <d v="2021-05-17T00:00:00"/>
        <d v="2019-08-07T00:00:00"/>
        <d v="2022-04-13T00:00:00"/>
        <d v="2021-08-05T00:00:00"/>
        <d v="2019-02-20T00:00:00"/>
        <d v="2019-10-22T00:00:00"/>
        <d v="2019-11-06T00:00:00"/>
        <d v="2021-12-17T00:00:00"/>
        <d v="2020-11-06T00:00:00"/>
        <d v="2022-01-18T00:00:00"/>
        <d v="2020-05-09T00:00:00"/>
        <d v="2019-10-09T00:00:00"/>
        <d v="2019-06-25T00:00:00"/>
        <d v="2021-11-19T00:00:00"/>
        <d v="2019-12-13T00:00:00"/>
        <d v="2022-05-10T00:00:00"/>
        <d v="2019-08-11T00:00:00"/>
        <d v="2021-05-01T00:00:00"/>
        <d v="2021-05-23T00:00:00"/>
        <d v="2021-01-15T00:00:00"/>
        <d v="2019-12-08T00:00:00"/>
        <d v="2020-12-11T00:00:00"/>
        <d v="2020-02-09T00:00:00"/>
        <d v="2020-03-01T00:00:00"/>
        <d v="2020-08-15T00:00:00"/>
        <d v="2020-09-06T00:00:00"/>
        <d v="2020-09-02T00:00:00"/>
        <d v="2019-03-16T00:00:00"/>
        <d v="2019-08-15T00:00:00"/>
        <d v="2019-02-09T00:00:00"/>
        <d v="2019-08-26T00:00:00"/>
        <d v="2019-12-17T00:00:00"/>
        <d v="2020-03-10T00:00:00"/>
        <d v="2020-04-11T00:00:00"/>
        <d v="2022-06-08T00:00:00"/>
        <d v="2021-02-26T00:00:00"/>
        <d v="2021-04-12T00:00:00"/>
        <d v="2022-03-11T00:00:00"/>
        <d v="2021-05-24T00:00:00"/>
        <d v="2022-01-25T00:00:00"/>
        <d v="2019-06-19T00:00:00"/>
        <d v="2021-09-18T00:00:00"/>
        <d v="2019-09-18T00:00:00"/>
        <d v="2021-06-27T00:00:00"/>
        <d v="2019-04-14T00:00:00"/>
        <d v="2019-10-24T00:00:00"/>
        <d v="2021-10-23T00:00:00"/>
        <d v="2019-08-30T00:00:00"/>
        <d v="2020-03-29T00:00:00"/>
        <d v="2021-04-04T00:00:00"/>
        <d v="2021-12-25T00:00:00"/>
        <d v="2021-10-27T00:00:00"/>
        <d v="2019-08-12T00:00:00"/>
        <d v="2020-12-16T00:00:00"/>
        <d v="2020-10-11T00:00:00"/>
        <d v="2019-07-21T00:00:00"/>
        <d v="2021-01-18T00:00:00"/>
        <d v="2020-07-24T00:00:00"/>
        <d v="2022-03-31T00:00:00"/>
        <d v="2021-08-10T00:00:00"/>
        <d v="2020-09-11T00:00:00"/>
        <d v="2021-08-01T00:00:00"/>
        <d v="2022-04-16T00:00:00"/>
        <d v="2021-05-28T00:00:00"/>
        <d v="2019-09-08T00:00:00"/>
        <d v="2021-02-12T00:00:00"/>
        <d v="2020-03-11T00:00:00"/>
        <d v="2020-05-14T00:00:00"/>
        <d v="2021-08-13T00:00:00"/>
        <d v="2021-01-19T00:00:00"/>
        <d v="2020-03-02T00:00:00"/>
        <d v="2019-10-19T00:00:00"/>
        <d v="2022-02-06T00:00:00"/>
        <d v="2021-12-06T00:00:00"/>
        <d v="2021-03-07T00:00:00"/>
        <d v="2021-03-09T00:00:00"/>
        <d v="2019-02-13T00:00:00"/>
        <d v="2020-11-20T00:00:00"/>
        <d v="2019-12-09T00:00:00"/>
        <d v="2022-07-13T00:00:00"/>
        <d v="2022-07-02T00:00:00"/>
        <d v="2020-03-25T00:00:00"/>
        <d v="2022-07-17T00:00:00"/>
        <d v="2021-07-05T00:00:00"/>
        <d v="2019-05-06T00:00:00"/>
        <d v="2020-12-03T00:00:00"/>
        <d v="2019-04-16T00:00:00"/>
        <d v="2022-01-26T00:00:00"/>
        <d v="2020-02-13T00:00:00"/>
        <d v="2020-07-15T00:00:00"/>
        <d v="2019-06-17T00:00:00"/>
        <d v="2019-07-08T00:00:00"/>
        <d v="2022-02-08T00:00:00"/>
        <d v="2022-03-14T00:00:00"/>
        <d v="2019-11-13T00:00:00"/>
        <d v="2019-06-30T00:00:00"/>
        <d v="2020-07-04T00:00:00"/>
        <d v="2019-09-21T00:00:00"/>
        <d v="2019-04-08T00:00:00"/>
        <d v="2021-10-12T00:00:00"/>
        <d v="2019-06-22T00:00:00"/>
        <d v="2019-12-05T00:00:00"/>
        <d v="2019-10-25T00:00:00"/>
        <d v="2021-09-16T00:00:00"/>
        <d v="2020-03-28T00:00:00"/>
        <d v="2022-02-21T00:00:00"/>
        <d v="2021-05-08T00:00:00"/>
        <d v="2021-07-16T00:00:00"/>
        <d v="2019-04-25T00:00:00"/>
        <d v="2022-05-23T00:00:00"/>
        <d v="2019-06-12T00:00:00"/>
        <d v="2022-01-23T00:00:00"/>
        <d v="2021-11-16T00:00:00"/>
        <d v="2020-09-16T00:00:00"/>
        <d v="2021-02-18T00:00:00"/>
        <d v="2019-01-03T00:00:00"/>
        <d v="2020-01-11T00:00:00"/>
        <d v="2021-12-07T00:00:00"/>
        <d v="2019-01-19T00:00:00"/>
        <d v="2022-04-04T00:00:00"/>
        <d v="2019-05-23T00:00:00"/>
        <d v="2022-06-13T00:00:00"/>
        <d v="2019-10-01T00:00:00"/>
        <d v="2020-05-22T00:00:00"/>
        <d v="2021-08-26T00:00:00"/>
        <d v="2020-02-05T00:00:00"/>
        <d v="2019-12-12T00:00:00"/>
        <d v="2020-07-30T00:00:00"/>
        <d v="2020-10-30T00:00:00"/>
        <d v="2020-01-27T00:00:00"/>
        <d v="2021-02-23T00:00:00"/>
        <d v="2022-08-02T00:00:00"/>
        <d v="2022-04-22T00:00:00"/>
        <d v="2022-01-24T00:00:00"/>
        <d v="2022-02-10T00:00:00"/>
        <d v="2019-05-14T00:00:00"/>
        <d v="2021-11-12T00:00:00"/>
        <d v="2020-09-28T00:00:00"/>
        <d v="2020-02-23T00:00:00"/>
        <d v="2020-08-03T00:00:00"/>
        <d v="2019-03-08T00:00:00"/>
        <d v="2019-06-09T00:00:00"/>
        <d v="2020-10-15T00:00:00"/>
        <d v="2020-01-17T00:00:00"/>
        <d v="2021-12-29T00:00:00"/>
        <d v="2019-09-04T00:00:00"/>
        <d v="2019-07-15T00:00:00"/>
        <d v="2022-02-17T00:00:00"/>
        <d v="2020-07-16T00:00:00"/>
        <d v="2022-04-30T00:00:00"/>
        <d v="2022-06-05T00:00:00"/>
        <d v="2019-03-04T00:00:00"/>
        <d v="2022-03-22T00:00:00"/>
        <d v="2021-01-17T00:00:00"/>
        <d v="2021-02-02T00:00:00"/>
        <d v="2020-06-13T00:00:00"/>
        <d v="2020-11-05T00:00:00"/>
        <d v="2021-08-23T00:00:00"/>
        <d v="2019-11-14T00:00:00"/>
        <d v="2021-08-27T00:00:00"/>
        <d v="2020-01-31T00:00:00"/>
        <d v="2020-01-16T00:00:00"/>
        <d v="2021-05-19T00:00:00"/>
        <d v="2021-02-19T00:00:00"/>
        <d v="2020-02-06T00:00:00"/>
        <d v="2021-02-06T00:00:00"/>
      </sharedItems>
      <fieldGroup par="19"/>
    </cacheField>
    <cacheField name="Month" numFmtId="167">
      <sharedItems containsSemiMixedTypes="0" containsNonDate="0" containsDate="1" containsString="0" minDate="2019-01-02T00:00:00" maxDate="2022-08-20T00:00:00" count="689">
        <d v="2019-02-04T00:00:00"/>
        <d v="2020-02-22T00:00:00"/>
        <d v="2019-05-22T00:00:00"/>
        <d v="2021-02-11T00:00:00"/>
        <d v="2020-03-20T00:00:00"/>
        <d v="2020-03-07T00:00:00"/>
        <d v="2021-10-07T00:00:00"/>
        <d v="2020-12-18T00:00:00"/>
        <d v="2020-11-02T00:00:00"/>
        <d v="2019-09-22T00:00:00"/>
        <d v="2021-11-05T00:00:00"/>
        <d v="2021-09-25T00:00:00"/>
        <d v="2021-04-08T00:00:00"/>
        <d v="2022-03-25T00:00:00"/>
        <d v="2020-07-05T00:00:00"/>
        <d v="2021-10-28T00:00:00"/>
        <d v="2021-06-28T00:00:00"/>
        <d v="2019-06-08T00:00:00"/>
        <d v="2020-08-11T00:00:00"/>
        <d v="2022-04-05T00:00:00"/>
        <d v="2021-04-30T00:00:00"/>
        <d v="2020-01-21T00:00:00"/>
        <d v="2020-07-13T00:00:00"/>
        <d v="2021-10-01T00:00:00"/>
        <d v="2019-08-20T00:00:00"/>
        <d v="2021-06-15T00:00:00"/>
        <d v="2021-05-05T00:00:00"/>
        <d v="2019-04-12T00:00:00"/>
        <d v="2022-07-19T00:00:00"/>
        <d v="2020-02-07T00:00:00"/>
        <d v="2019-09-07T00:00:00"/>
        <d v="2019-09-05T00:00:00"/>
        <d v="2021-06-11T00:00:00"/>
        <d v="2021-08-20T00:00:00"/>
        <d v="2021-10-19T00:00:00"/>
        <d v="2020-01-10T00:00:00"/>
        <d v="2019-09-12T00:00:00"/>
        <d v="2020-01-19T00:00:00"/>
        <d v="2019-04-17T00:00:00"/>
        <d v="2021-10-13T00:00:00"/>
        <d v="2019-06-23T00:00:00"/>
        <d v="2020-02-26T00:00:00"/>
        <d v="2020-11-12T00:00:00"/>
        <d v="2019-01-10T00:00:00"/>
        <d v="2019-03-12T00:00:00"/>
        <d v="2019-10-05T00:00:00"/>
        <d v="2022-03-06T00:00:00"/>
        <d v="2019-01-18T00:00:00"/>
        <d v="2021-07-22T00:00:00"/>
        <d v="2021-01-22T00:00:00"/>
        <d v="2022-06-27T00:00:00"/>
        <d v="2020-06-07T00:00:00"/>
        <d v="2021-10-16T00:00:00"/>
        <d v="2021-03-29T00:00:00"/>
        <d v="2019-11-21T00:00:00"/>
        <d v="2019-10-28T00:00:00"/>
        <d v="2021-09-06T00:00:00"/>
        <d v="2021-05-20T00:00:00"/>
        <d v="2022-03-20T00:00:00"/>
        <d v="2022-05-02T00:00:00"/>
        <d v="2019-05-17T00:00:00"/>
        <d v="2021-03-16T00:00:00"/>
        <d v="2019-06-28T00:00:00"/>
        <d v="2021-11-02T00:00:00"/>
        <d v="2022-03-26T00:00:00"/>
        <d v="2020-12-24T00:00:00"/>
        <d v="2020-03-18T00:00:00"/>
        <d v="2019-08-13T00:00:00"/>
        <d v="2022-05-17T00:00:00"/>
        <d v="2020-11-04T00:00:00"/>
        <d v="2021-09-20T00:00:00"/>
        <d v="2021-08-08T00:00:00"/>
        <d v="2022-06-07T00:00:00"/>
        <d v="2020-12-04T00:00:00"/>
        <d v="2019-12-16T00:00:00"/>
        <d v="2020-10-27T00:00:00"/>
        <d v="2022-07-15T00:00:00"/>
        <d v="2021-03-12T00:00:00"/>
        <d v="2020-10-13T00:00:00"/>
        <d v="2019-07-09T00:00:00"/>
        <d v="2019-09-28T00:00:00"/>
        <d v="2021-06-06T00:00:00"/>
        <d v="2021-12-15T00:00:00"/>
        <d v="2019-04-24T00:00:00"/>
        <d v="2021-05-31T00:00:00"/>
        <d v="2019-11-29T00:00:00"/>
        <d v="2021-11-27T00:00:00"/>
        <d v="2019-01-26T00:00:00"/>
        <d v="2019-02-21T00:00:00"/>
        <d v="2020-05-03T00:00:00"/>
        <d v="2022-08-19T00:00:00"/>
        <d v="2021-04-03T00:00:00"/>
        <d v="2021-06-29T00:00:00"/>
        <d v="2022-04-15T00:00:00"/>
        <d v="2021-04-09T00:00:00"/>
        <d v="2020-02-28T00:00:00"/>
        <d v="2019-11-27T00:00:00"/>
        <d v="2020-03-15T00:00:00"/>
        <d v="2019-03-03T00:00:00"/>
        <d v="2020-10-25T00:00:00"/>
        <d v="2021-04-19T00:00:00"/>
        <d v="2021-08-04T00:00:00"/>
        <d v="2021-03-23T00:00:00"/>
        <d v="2021-07-07T00:00:00"/>
        <d v="2020-03-06T00:00:00"/>
        <d v="2021-11-10T00:00:00"/>
        <d v="2019-06-26T00:00:00"/>
        <d v="2022-03-04T00:00:00"/>
        <d v="2022-02-16T00:00:00"/>
        <d v="2021-04-06T00:00:00"/>
        <d v="2021-02-05T00:00:00"/>
        <d v="2021-12-02T00:00:00"/>
        <d v="2019-10-26T00:00:00"/>
        <d v="2021-03-31T00:00:00"/>
        <d v="2020-10-05T00:00:00"/>
        <d v="2022-03-15T00:00:00"/>
        <d v="2019-11-28T00:00:00"/>
        <d v="2020-12-31T00:00:00"/>
        <d v="2020-10-20T00:00:00"/>
        <d v="2020-05-19T00:00:00"/>
        <d v="2022-07-08T00:00:00"/>
        <d v="2019-07-02T00:00:00"/>
        <d v="2019-07-23T00:00:00"/>
        <d v="2022-06-10T00:00:00"/>
        <d v="2022-01-21T00:00:00"/>
        <d v="2021-12-27T00:00:00"/>
        <d v="2019-04-27T00:00:00"/>
        <d v="2020-10-10T00:00:00"/>
        <d v="2019-06-14T00:00:00"/>
        <d v="2020-11-07T00:00:00"/>
        <d v="2019-09-13T00:00:00"/>
        <d v="2019-12-14T00:00:00"/>
        <d v="2019-10-17T00:00:00"/>
        <d v="2022-05-01T00:00:00"/>
        <d v="2020-06-26T00:00:00"/>
        <d v="2020-03-12T00:00:00"/>
        <d v="2020-02-27T00:00:00"/>
        <d v="2019-12-04T00:00:00"/>
        <d v="2020-02-12T00:00:00"/>
        <d v="2021-09-08T00:00:00"/>
        <d v="2019-07-25T00:00:00"/>
        <d v="2021-03-10T00:00:00"/>
        <d v="2020-12-25T00:00:00"/>
        <d v="2020-07-31T00:00:00"/>
        <d v="2019-01-22T00:00:00"/>
        <d v="2021-03-20T00:00:00"/>
        <d v="2021-11-29T00:00:00"/>
        <d v="2021-02-17T00:00:00"/>
        <d v="2022-05-26T00:00:00"/>
        <d v="2019-05-21T00:00:00"/>
        <d v="2019-02-11T00:00:00"/>
        <d v="2021-09-30T00:00:00"/>
        <d v="2019-03-11T00:00:00"/>
        <d v="2021-09-12T00:00:00"/>
        <d v="2022-01-30T00:00:00"/>
        <d v="2021-02-08T00:00:00"/>
        <d v="2021-11-28T00:00:00"/>
        <d v="2022-04-27T00:00:00"/>
        <d v="2021-06-04T00:00:00"/>
        <d v="2022-04-08T00:00:00"/>
        <d v="2021-01-10T00:00:00"/>
        <d v="2022-08-04T00:00:00"/>
        <d v="2021-10-24T00:00:00"/>
        <d v="2020-03-23T00:00:00"/>
        <d v="2020-07-03T00:00:00"/>
        <d v="2022-06-01T00:00:00"/>
        <d v="2019-07-03T00:00:00"/>
        <d v="2019-04-07T00:00:00"/>
        <d v="2021-07-20T00:00:00"/>
        <d v="2022-01-12T00:00:00"/>
        <d v="2021-04-26T00:00:00"/>
        <d v="2020-09-08T00:00:00"/>
        <d v="2021-07-15T00:00:00"/>
        <d v="2021-02-07T00:00:00"/>
        <d v="2021-09-15T00:00:00"/>
        <d v="2019-09-06T00:00:00"/>
        <d v="2022-06-11T00:00:00"/>
        <d v="2021-11-23T00:00:00"/>
        <d v="2020-12-17T00:00:00"/>
        <d v="2021-11-26T00:00:00"/>
        <d v="2020-05-04T00:00:00"/>
        <d v="2020-04-30T00:00:00"/>
        <d v="2019-12-29T00:00:00"/>
        <d v="2019-02-25T00:00:00"/>
        <d v="2021-12-08T00:00:00"/>
        <d v="2020-02-24T00:00:00"/>
        <d v="2020-02-04T00:00:00"/>
        <d v="2022-03-13T00:00:00"/>
        <d v="2021-08-31T00:00:00"/>
        <d v="2021-11-13T00:00:00"/>
        <d v="2020-06-11T00:00:00"/>
        <d v="2020-11-03T00:00:00"/>
        <d v="2020-04-23T00:00:00"/>
        <d v="2020-03-13T00:00:00"/>
        <d v="2019-05-09T00:00:00"/>
        <d v="2020-12-08T00:00:00"/>
        <d v="2021-06-13T00:00:00"/>
        <d v="2020-06-28T00:00:00"/>
        <d v="2021-10-02T00:00:00"/>
        <d v="2020-06-24T00:00:00"/>
        <d v="2019-02-05T00:00:00"/>
        <d v="2022-06-30T00:00:00"/>
        <d v="2019-11-12T00:00:00"/>
        <d v="2021-02-25T00:00:00"/>
        <d v="2019-03-30T00:00:00"/>
        <d v="2022-05-24T00:00:00"/>
        <d v="2022-06-17T00:00:00"/>
        <d v="2020-06-29T00:00:00"/>
        <d v="2022-01-02T00:00:00"/>
        <d v="2020-10-24T00:00:00"/>
        <d v="2019-09-02T00:00:00"/>
        <d v="2020-08-14T00:00:00"/>
        <d v="2020-03-31T00:00:00"/>
        <d v="2020-12-06T00:00:00"/>
        <d v="2020-03-22T00:00:00"/>
        <d v="2020-10-22T00:00:00"/>
        <d v="2019-04-05T00:00:00"/>
        <d v="2021-06-01T00:00:00"/>
        <d v="2020-09-15T00:00:00"/>
        <d v="2022-07-25T00:00:00"/>
        <d v="2021-04-14T00:00:00"/>
        <d v="2021-07-10T00:00:00"/>
        <d v="2020-09-09T00:00:00"/>
        <d v="2020-04-20T00:00:00"/>
        <d v="2022-07-01T00:00:00"/>
        <d v="2019-12-30T00:00:00"/>
        <d v="2020-05-31T00:00:00"/>
        <d v="2020-10-02T00:00:00"/>
        <d v="2022-04-25T00:00:00"/>
        <d v="2021-05-14T00:00:00"/>
        <d v="2022-07-28T00:00:00"/>
        <d v="2021-11-21T00:00:00"/>
        <d v="2022-01-10T00:00:00"/>
        <d v="2021-03-21T00:00:00"/>
        <d v="2019-06-16T00:00:00"/>
        <d v="2020-02-20T00:00:00"/>
        <d v="2022-08-06T00:00:00"/>
        <d v="2020-12-19T00:00:00"/>
        <d v="2019-12-15T00:00:00"/>
        <d v="2019-07-20T00:00:00"/>
        <d v="2021-08-03T00:00:00"/>
        <d v="2021-05-30T00:00:00"/>
        <d v="2022-06-12T00:00:00"/>
        <d v="2022-05-12T00:00:00"/>
        <d v="2019-01-09T00:00:00"/>
        <d v="2020-10-23T00:00:00"/>
        <d v="2021-08-02T00:00:00"/>
        <d v="2020-06-09T00:00:00"/>
        <d v="2020-02-18T00:00:00"/>
        <d v="2020-04-07T00:00:00"/>
        <d v="2019-07-14T00:00:00"/>
        <d v="2021-06-26T00:00:00"/>
        <d v="2019-11-07T00:00:00"/>
        <d v="2020-06-03T00:00:00"/>
        <d v="2022-04-12T00:00:00"/>
        <d v="2019-02-10T00:00:00"/>
        <d v="2020-06-10T00:00:00"/>
        <d v="2022-07-14T00:00:00"/>
        <d v="2021-09-24T00:00:00"/>
        <d v="2019-05-12T00:00:00"/>
        <d v="2020-04-25T00:00:00"/>
        <d v="2020-05-26T00:00:00"/>
        <d v="2021-11-15T00:00:00"/>
        <d v="2021-01-27T00:00:00"/>
        <d v="2020-10-28T00:00:00"/>
        <d v="2022-01-17T00:00:00"/>
        <d v="2021-03-03T00:00:00"/>
        <d v="2019-09-11T00:00:00"/>
        <d v="2022-07-05T00:00:00"/>
        <d v="2020-07-26T00:00:00"/>
        <d v="2022-05-21T00:00:00"/>
        <d v="2020-06-30T00:00:00"/>
        <d v="2022-01-31T00:00:00"/>
        <d v="2019-10-04T00:00:00"/>
        <d v="2022-03-17T00:00:00"/>
        <d v="2021-05-21T00:00:00"/>
        <d v="2019-03-14T00:00:00"/>
        <d v="2021-05-02T00:00:00"/>
        <d v="2019-05-18T00:00:00"/>
        <d v="2019-08-17T00:00:00"/>
        <d v="2020-10-16T00:00:00"/>
        <d v="2021-07-21T00:00:00"/>
        <d v="2019-08-31T00:00:00"/>
        <d v="2021-03-01T00:00:00"/>
        <d v="2021-09-09T00:00:00"/>
        <d v="2020-11-09T00:00:00"/>
        <d v="2021-01-31T00:00:00"/>
        <d v="2021-02-28T00:00:00"/>
        <d v="2020-08-23T00:00:00"/>
        <d v="2021-04-10T00:00:00"/>
        <d v="2019-02-14T00:00:00"/>
        <d v="2020-02-03T00:00:00"/>
        <d v="2019-07-06T00:00:00"/>
        <d v="2022-07-16T00:00:00"/>
        <d v="2020-01-01T00:00:00"/>
        <d v="2020-05-11T00:00:00"/>
        <d v="2022-04-29T00:00:00"/>
        <d v="2022-05-05T00:00:00"/>
        <d v="2022-03-23T00:00:00"/>
        <d v="2020-08-31T00:00:00"/>
        <d v="2021-12-21T00:00:00"/>
        <d v="2022-06-03T00:00:00"/>
        <d v="2021-03-08T00:00:00"/>
        <d v="2021-09-21T00:00:00"/>
        <d v="2020-11-23T00:00:00"/>
        <d v="2019-02-24T00:00:00"/>
        <d v="2021-10-03T00:00:00"/>
        <d v="2021-02-22T00:00:00"/>
        <d v="2020-06-02T00:00:00"/>
        <d v="2022-01-01T00:00:00"/>
        <d v="2022-07-12T00:00:00"/>
        <d v="2021-10-17T00:00:00"/>
        <d v="2020-10-01T00:00:00"/>
        <d v="2021-02-03T00:00:00"/>
        <d v="2020-12-07T00:00:00"/>
        <d v="2021-01-21T00:00:00"/>
        <d v="2019-07-30T00:00:00"/>
        <d v="2019-02-16T00:00:00"/>
        <d v="2020-12-05T00:00:00"/>
        <d v="2019-02-06T00:00:00"/>
        <d v="2021-10-26T00:00:00"/>
        <d v="2021-07-17T00:00:00"/>
        <d v="2021-03-19T00:00:00"/>
        <d v="2019-12-21T00:00:00"/>
        <d v="2019-11-26T00:00:00"/>
        <d v="2021-05-16T00:00:00"/>
        <d v="2021-12-12T00:00:00"/>
        <d v="2020-10-04T00:00:00"/>
        <d v="2019-06-03T00:00:00"/>
        <d v="2020-09-10T00:00:00"/>
        <d v="2021-11-04T00:00:00"/>
        <d v="2021-09-02T00:00:00"/>
        <d v="2019-01-02T00:00:00"/>
        <d v="2022-01-04T00:00:00"/>
        <d v="2020-12-09T00:00:00"/>
        <d v="2019-10-08T00:00:00"/>
        <d v="2022-01-27T00:00:00"/>
        <d v="2020-10-21T00:00:00"/>
        <d v="2021-11-11T00:00:00"/>
        <d v="2019-07-31T00:00:00"/>
        <d v="2020-11-15T00:00:00"/>
        <d v="2020-07-02T00:00:00"/>
        <d v="2019-10-23T00:00:00"/>
        <d v="2019-09-17T00:00:00"/>
        <d v="2019-08-06T00:00:00"/>
        <d v="2021-09-26T00:00:00"/>
        <d v="2020-06-05T00:00:00"/>
        <d v="2019-06-24T00:00:00"/>
        <d v="2020-04-29T00:00:00"/>
        <d v="2020-01-06T00:00:00"/>
        <d v="2021-09-10T00:00:00"/>
        <d v="2022-05-30T00:00:00"/>
        <d v="2020-04-12T00:00:00"/>
        <d v="2020-07-25T00:00:00"/>
        <d v="2021-01-07T00:00:00"/>
        <d v="2021-08-30T00:00:00"/>
        <d v="2021-04-05T00:00:00"/>
        <d v="2021-07-24T00:00:00"/>
        <d v="2019-10-16T00:00:00"/>
        <d v="2021-03-22T00:00:00"/>
        <d v="2020-10-14T00:00:00"/>
        <d v="2021-01-14T00:00:00"/>
        <d v="2020-02-08T00:00:00"/>
        <d v="2021-08-06T00:00:00"/>
        <d v="2019-07-18T00:00:00"/>
        <d v="2022-02-11T00:00:00"/>
        <d v="2022-04-23T00:00:00"/>
        <d v="2019-02-19T00:00:00"/>
        <d v="2021-12-13T00:00:00"/>
        <d v="2022-02-28T00:00:00"/>
        <d v="2021-06-20T00:00:00"/>
        <d v="2020-07-14T00:00:00"/>
        <d v="2020-11-21T00:00:00"/>
        <d v="2020-02-29T00:00:00"/>
        <d v="2019-06-04T00:00:00"/>
        <d v="2019-10-03T00:00:00"/>
        <d v="2021-11-24T00:00:00"/>
        <d v="2021-12-10T00:00:00"/>
        <d v="2021-07-03T00:00:00"/>
        <d v="2021-03-04T00:00:00"/>
        <d v="2020-09-18T00:00:00"/>
        <d v="2019-08-16T00:00:00"/>
        <d v="2019-03-15T00:00:00"/>
        <d v="2021-12-19T00:00:00"/>
        <d v="2021-06-08T00:00:00"/>
        <d v="2020-07-29T00:00:00"/>
        <d v="2022-08-17T00:00:00"/>
        <d v="2020-10-29T00:00:00"/>
        <d v="2021-05-07T00:00:00"/>
        <d v="2020-08-08T00:00:00"/>
        <d v="2020-07-19T00:00:00"/>
        <d v="2019-02-28T00:00:00"/>
        <d v="2021-06-17T00:00:00"/>
        <d v="2019-03-17T00:00:00"/>
        <d v="2022-03-16T00:00:00"/>
        <d v="2022-03-10T00:00:00"/>
        <d v="2022-01-13T00:00:00"/>
        <d v="2021-06-30T00:00:00"/>
        <d v="2019-08-03T00:00:00"/>
        <d v="2020-11-30T00:00:00"/>
        <d v="2019-02-12T00:00:00"/>
        <d v="2020-05-20T00:00:00"/>
        <d v="2020-01-26T00:00:00"/>
        <d v="2022-07-09T00:00:00"/>
        <d v="2022-03-08T00:00:00"/>
        <d v="2021-07-19T00:00:00"/>
        <d v="2019-05-02T00:00:00"/>
        <d v="2021-05-15T00:00:00"/>
        <d v="2019-03-21T00:00:00"/>
        <d v="2022-06-14T00:00:00"/>
        <d v="2022-02-20T00:00:00"/>
        <d v="2021-08-25T00:00:00"/>
        <d v="2019-12-31T00:00:00"/>
        <d v="2021-10-04T00:00:00"/>
        <d v="2020-02-15T00:00:00"/>
        <d v="2019-09-16T00:00:00"/>
        <d v="2022-05-22T00:00:00"/>
        <d v="2020-11-13T00:00:00"/>
        <d v="2022-06-04T00:00:00"/>
        <d v="2019-05-07T00:00:00"/>
        <d v="2020-09-23T00:00:00"/>
        <d v="2020-07-11T00:00:00"/>
        <d v="2019-06-27T00:00:00"/>
        <d v="2022-07-29T00:00:00"/>
        <d v="2021-03-27T00:00:00"/>
        <d v="2019-03-22T00:00:00"/>
        <d v="2021-03-28T00:00:00"/>
        <d v="2020-01-07T00:00:00"/>
        <d v="2020-12-29T00:00:00"/>
        <d v="2019-05-15T00:00:00"/>
        <d v="2021-02-14T00:00:00"/>
        <d v="2021-10-10T00:00:00"/>
        <d v="2020-02-11T00:00:00"/>
        <d v="2020-09-27T00:00:00"/>
        <d v="2021-01-29T00:00:00"/>
        <d v="2022-05-16T00:00:00"/>
        <d v="2020-06-20T00:00:00"/>
        <d v="2019-04-29T00:00:00"/>
        <d v="2022-08-12T00:00:00"/>
        <d v="2022-03-24T00:00:00"/>
        <d v="2021-07-23T00:00:00"/>
        <d v="2019-07-01T00:00:00"/>
        <d v="2019-12-03T00:00:00"/>
        <d v="2019-11-15T00:00:00"/>
        <d v="2020-09-19T00:00:00"/>
        <d v="2021-03-15T00:00:00"/>
        <d v="2021-12-31T00:00:00"/>
        <d v="2019-01-06T00:00:00"/>
        <d v="2021-08-29T00:00:00"/>
        <d v="2021-01-28T00:00:00"/>
        <d v="2019-11-09T00:00:00"/>
        <d v="2019-12-28T00:00:00"/>
        <d v="2020-03-26T00:00:00"/>
        <d v="2022-05-11T00:00:00"/>
        <d v="2020-04-05T00:00:00"/>
        <d v="2021-01-04T00:00:00"/>
        <d v="2021-04-16T00:00:00"/>
        <d v="2020-12-02T00:00:00"/>
        <d v="2020-07-12T00:00:00"/>
        <d v="2021-01-11T00:00:00"/>
        <d v="2021-01-26T00:00:00"/>
        <d v="2022-01-15T00:00:00"/>
        <d v="2020-05-05T00:00:00"/>
        <d v="2020-04-19T00:00:00"/>
        <d v="2022-08-08T00:00:00"/>
        <d v="2019-04-18T00:00:00"/>
        <d v="2019-10-12T00:00:00"/>
        <d v="2019-07-26T00:00:00"/>
        <d v="2022-07-07T00:00:00"/>
        <d v="2021-02-20T00:00:00"/>
        <d v="2022-02-03T00:00:00"/>
        <d v="2020-03-30T00:00:00"/>
        <d v="2021-07-29T00:00:00"/>
        <d v="2019-10-13T00:00:00"/>
        <d v="2019-06-13T00:00:00"/>
        <d v="2019-01-20T00:00:00"/>
        <d v="2020-07-07T00:00:00"/>
        <d v="2019-04-30T00:00:00"/>
        <d v="2020-07-18T00:00:00"/>
        <d v="2019-04-11T00:00:00"/>
        <d v="2019-09-29T00:00:00"/>
        <d v="2020-01-15T00:00:00"/>
        <d v="2021-09-07T00:00:00"/>
        <d v="2020-02-19T00:00:00"/>
        <d v="2021-03-13T00:00:00"/>
        <d v="2020-10-26T00:00:00"/>
        <d v="2020-01-30T00:00:00"/>
        <d v="2022-02-15T00:00:00"/>
        <d v="2022-05-13T00:00:00"/>
        <d v="2020-06-21T00:00:00"/>
        <d v="2021-02-13T00:00:00"/>
        <d v="2019-04-01T00:00:00"/>
        <d v="2019-04-22T00:00:00"/>
        <d v="2019-03-02T00:00:00"/>
        <d v="2022-06-06T00:00:00"/>
        <d v="2022-05-04T00:00:00"/>
        <d v="2019-10-11T00:00:00"/>
        <d v="2022-06-15T00:00:00"/>
        <d v="2021-11-06T00:00:00"/>
        <d v="2020-11-24T00:00:00"/>
        <d v="2019-11-16T00:00:00"/>
        <d v="2019-03-20T00:00:00"/>
        <d v="2020-08-06T00:00:00"/>
        <d v="2019-11-03T00:00:00"/>
        <d v="2019-05-01T00:00:00"/>
        <d v="2021-11-18T00:00:00"/>
        <d v="2019-03-10T00:00:00"/>
        <d v="2019-01-11T00:00:00"/>
        <d v="2021-03-24T00:00:00"/>
        <d v="2019-09-20T00:00:00"/>
        <d v="2022-05-31T00:00:00"/>
        <d v="2020-01-25T00:00:00"/>
        <d v="2019-12-27T00:00:00"/>
        <d v="2021-09-29T00:00:00"/>
        <d v="2021-01-13T00:00:00"/>
        <d v="2022-05-20T00:00:00"/>
        <d v="2021-12-03T00:00:00"/>
        <d v="2020-11-18T00:00:00"/>
        <d v="2021-03-26T00:00:00"/>
        <d v="2019-10-21T00:00:00"/>
        <d v="2021-11-09T00:00:00"/>
        <d v="2022-04-24T00:00:00"/>
        <d v="2019-02-22T00:00:00"/>
        <d v="2021-05-17T00:00:00"/>
        <d v="2019-08-07T00:00:00"/>
        <d v="2022-04-13T00:00:00"/>
        <d v="2021-08-05T00:00:00"/>
        <d v="2019-02-20T00:00:00"/>
        <d v="2019-10-22T00:00:00"/>
        <d v="2019-11-06T00:00:00"/>
        <d v="2021-12-17T00:00:00"/>
        <d v="2020-11-06T00:00:00"/>
        <d v="2022-01-18T00:00:00"/>
        <d v="2020-05-09T00:00:00"/>
        <d v="2019-10-09T00:00:00"/>
        <d v="2019-06-25T00:00:00"/>
        <d v="2021-11-19T00:00:00"/>
        <d v="2019-12-13T00:00:00"/>
        <d v="2022-05-10T00:00:00"/>
        <d v="2019-08-11T00:00:00"/>
        <d v="2021-05-01T00:00:00"/>
        <d v="2021-05-23T00:00:00"/>
        <d v="2021-01-15T00:00:00"/>
        <d v="2019-12-08T00:00:00"/>
        <d v="2020-12-11T00:00:00"/>
        <d v="2020-02-09T00:00:00"/>
        <d v="2020-03-01T00:00:00"/>
        <d v="2020-08-15T00:00:00"/>
        <d v="2020-09-06T00:00:00"/>
        <d v="2020-09-02T00:00:00"/>
        <d v="2019-03-16T00:00:00"/>
        <d v="2019-08-15T00:00:00"/>
        <d v="2019-02-09T00:00:00"/>
        <d v="2019-08-26T00:00:00"/>
        <d v="2019-12-17T00:00:00"/>
        <d v="2020-03-10T00:00:00"/>
        <d v="2020-04-11T00:00:00"/>
        <d v="2022-06-08T00:00:00"/>
        <d v="2021-02-26T00:00:00"/>
        <d v="2021-04-12T00:00:00"/>
        <d v="2022-03-11T00:00:00"/>
        <d v="2021-05-24T00:00:00"/>
        <d v="2022-01-25T00:00:00"/>
        <d v="2019-06-19T00:00:00"/>
        <d v="2021-09-18T00:00:00"/>
        <d v="2019-09-18T00:00:00"/>
        <d v="2021-06-27T00:00:00"/>
        <d v="2019-04-14T00:00:00"/>
        <d v="2019-10-24T00:00:00"/>
        <d v="2021-10-23T00:00:00"/>
        <d v="2019-08-30T00:00:00"/>
        <d v="2020-03-29T00:00:00"/>
        <d v="2021-04-04T00:00:00"/>
        <d v="2021-12-25T00:00:00"/>
        <d v="2021-10-27T00:00:00"/>
        <d v="2019-08-12T00:00:00"/>
        <d v="2020-12-16T00:00:00"/>
        <d v="2020-10-11T00:00:00"/>
        <d v="2019-07-21T00:00:00"/>
        <d v="2021-01-18T00:00:00"/>
        <d v="2020-07-24T00:00:00"/>
        <d v="2022-03-31T00:00:00"/>
        <d v="2021-08-10T00:00:00"/>
        <d v="2020-09-11T00:00:00"/>
        <d v="2021-08-01T00:00:00"/>
        <d v="2022-04-16T00:00:00"/>
        <d v="2021-05-28T00:00:00"/>
        <d v="2019-09-08T00:00:00"/>
        <d v="2021-02-12T00:00:00"/>
        <d v="2020-03-11T00:00:00"/>
        <d v="2020-05-14T00:00:00"/>
        <d v="2021-08-13T00:00:00"/>
        <d v="2021-01-19T00:00:00"/>
        <d v="2020-03-02T00:00:00"/>
        <d v="2019-10-19T00:00:00"/>
        <d v="2022-02-06T00:00:00"/>
        <d v="2021-12-06T00:00:00"/>
        <d v="2021-03-07T00:00:00"/>
        <d v="2021-03-09T00:00:00"/>
        <d v="2019-02-13T00:00:00"/>
        <d v="2020-11-20T00:00:00"/>
        <d v="2019-12-09T00:00:00"/>
        <d v="2022-07-13T00:00:00"/>
        <d v="2022-07-02T00:00:00"/>
        <d v="2020-03-25T00:00:00"/>
        <d v="2022-07-17T00:00:00"/>
        <d v="2021-07-05T00:00:00"/>
        <d v="2019-05-06T00:00:00"/>
        <d v="2020-12-03T00:00:00"/>
        <d v="2019-04-16T00:00:00"/>
        <d v="2022-01-26T00:00:00"/>
        <d v="2020-02-13T00:00:00"/>
        <d v="2020-07-15T00:00:00"/>
        <d v="2019-06-17T00:00:00"/>
        <d v="2019-07-08T00:00:00"/>
        <d v="2022-02-08T00:00:00"/>
        <d v="2022-03-14T00:00:00"/>
        <d v="2019-11-13T00:00:00"/>
        <d v="2019-06-30T00:00:00"/>
        <d v="2020-07-04T00:00:00"/>
        <d v="2019-09-21T00:00:00"/>
        <d v="2019-04-08T00:00:00"/>
        <d v="2021-10-12T00:00:00"/>
        <d v="2019-06-22T00:00:00"/>
        <d v="2019-12-05T00:00:00"/>
        <d v="2019-10-25T00:00:00"/>
        <d v="2021-09-16T00:00:00"/>
        <d v="2020-03-28T00:00:00"/>
        <d v="2022-02-21T00:00:00"/>
        <d v="2021-05-08T00:00:00"/>
        <d v="2021-07-16T00:00:00"/>
        <d v="2019-04-25T00:00:00"/>
        <d v="2022-05-23T00:00:00"/>
        <d v="2019-06-12T00:00:00"/>
        <d v="2022-01-23T00:00:00"/>
        <d v="2021-11-16T00:00:00"/>
        <d v="2020-09-16T00:00:00"/>
        <d v="2021-02-18T00:00:00"/>
        <d v="2019-01-03T00:00:00"/>
        <d v="2020-01-11T00:00:00"/>
        <d v="2021-12-07T00:00:00"/>
        <d v="2019-01-19T00:00:00"/>
        <d v="2022-04-04T00:00:00"/>
        <d v="2019-05-23T00:00:00"/>
        <d v="2022-06-13T00:00:00"/>
        <d v="2019-10-01T00:00:00"/>
        <d v="2020-05-22T00:00:00"/>
        <d v="2021-08-26T00:00:00"/>
        <d v="2020-02-05T00:00:00"/>
        <d v="2019-12-12T00:00:00"/>
        <d v="2020-07-30T00:00:00"/>
        <d v="2020-10-30T00:00:00"/>
        <d v="2020-01-27T00:00:00"/>
        <d v="2021-02-23T00:00:00"/>
        <d v="2022-08-02T00:00:00"/>
        <d v="2022-04-22T00:00:00"/>
        <d v="2022-01-24T00:00:00"/>
        <d v="2022-02-10T00:00:00"/>
        <d v="2019-05-14T00:00:00"/>
        <d v="2021-11-12T00:00:00"/>
        <d v="2020-09-28T00:00:00"/>
        <d v="2020-02-23T00:00:00"/>
        <d v="2020-08-03T00:00:00"/>
        <d v="2019-03-08T00:00:00"/>
        <d v="2019-06-09T00:00:00"/>
        <d v="2020-10-15T00:00:00"/>
        <d v="2020-01-17T00:00:00"/>
        <d v="2021-12-29T00:00:00"/>
        <d v="2019-09-04T00:00:00"/>
        <d v="2019-07-15T00:00:00"/>
        <d v="2022-02-17T00:00:00"/>
        <d v="2020-07-16T00:00:00"/>
        <d v="2022-04-30T00:00:00"/>
        <d v="2022-06-05T00:00:00"/>
        <d v="2019-03-04T00:00:00"/>
        <d v="2022-03-22T00:00:00"/>
        <d v="2021-01-17T00:00:00"/>
        <d v="2021-02-02T00:00:00"/>
        <d v="2020-06-13T00:00:00"/>
        <d v="2020-11-05T00:00:00"/>
        <d v="2021-08-23T00:00:00"/>
        <d v="2019-11-14T00:00:00"/>
        <d v="2021-08-27T00:00:00"/>
        <d v="2020-01-31T00:00:00"/>
        <d v="2020-01-16T00:00:00"/>
        <d v="2021-05-19T00:00:00"/>
        <d v="2021-02-19T00:00:00"/>
        <d v="2020-02-06T00:00:00"/>
        <d v="2021-02-06T00:00:00"/>
      </sharedItems>
      <fieldGroup par="21"/>
    </cacheField>
    <cacheField name="Year" numFmtId="0">
      <sharedItems containsSemiMixedTypes="0" containsString="0" containsNumber="1" containsInteger="1" minValue="2019" maxValue="2022" count="4">
        <n v="2019"/>
        <n v="2020"/>
        <n v="2021"/>
        <n v="2022"/>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bba Pummell"/>
        <s v="Abbe Thys"/>
        <s v="Abigail Tolworthy"/>
        <s v="Abraham Coleman"/>
        <s v="Abrahan Mussen"/>
        <s v="Adele McFayden"/>
        <s v="Adelheid Gladhill"/>
        <s v="Adelice Isabell"/>
        <s v="Adham Greenhead"/>
        <s v="Adolphe Treherne"/>
        <s v="Adora Roubert"/>
        <s v="Adorne Gregoratti"/>
        <s v="Adrian Swaine"/>
        <s v="Adriana Lazarus"/>
        <s v="Adrianne Vairow"/>
        <s v="Agnes Adamides"/>
        <s v="Ailene Nesfield"/>
        <s v="Ailey Brash"/>
        <s v="Alberta Balsdone"/>
        <s v="Alberto Hutchinson"/>
        <s v="Alexa Sizey"/>
        <s v="Alexina Randals"/>
        <s v="Alf Housaman"/>
        <s v="Alfy Snowding"/>
        <s v="Alica Kift"/>
        <s v="Alikee Carryer"/>
        <s v="Alisha Hulburt"/>
        <s v="Alisun Baudino"/>
        <s v="Allis Wilmore"/>
        <s v="Almeria Burgett"/>
        <s v="Aloisia Allner"/>
        <s v="Alon Pllu"/>
        <s v="Alric Darth"/>
        <s v="Alva Filipczak"/>
        <s v="Alvis Elwin"/>
        <s v="Ambrosio Weinmann"/>
        <s v="Ameline Snazle"/>
        <s v="Ami Arnow"/>
        <s v="Amii Gallyon"/>
        <s v="Amity Chatto"/>
        <s v="Anabelle Hutchens"/>
        <s v="Ancell Fendt"/>
        <s v="Andie Rudram"/>
        <s v="Andrej Havick"/>
        <s v="Angelia Cleyburn"/>
        <s v="Angelia Cockrem"/>
        <s v="Angie Rizzetti"/>
        <s v="Anjanette Goldie"/>
        <s v="Annabel Antuk"/>
        <s v="Annabella Danzey"/>
        <s v="Annadiane Dykes"/>
        <s v="Annetta Brentnall"/>
        <s v="Annie Campsall"/>
        <s v="Anny Mundford"/>
        <s v="Anselma Attwater"/>
        <s v="Anson Iddison"/>
        <s v="Antone Harrold"/>
        <s v="Antonius Lewry"/>
        <s v="Arabella Fransewich"/>
        <s v="Araldo Bilbrook"/>
        <s v="Archambault Gillard"/>
        <s v="Arda Curley"/>
        <s v="Ardith Chill"/>
        <s v="Arel De Lasci"/>
        <s v="Arlana Ferrea"/>
        <s v="Arleen Braidman"/>
        <s v="Ashbey Tomaszewski"/>
        <s v="Astrix Kitchingham"/>
        <s v="Aube Follett"/>
        <s v="Audra Kelston"/>
        <s v="Auguste Rizon"/>
        <s v="Augustin Waterhouse"/>
        <s v="Aurea Corradino"/>
        <s v="Aurelia Burgwin"/>
        <s v="Aurlie McCarl"/>
        <s v="Avrit Davidowsky"/>
        <s v="Babb Pollins"/>
        <s v="Bar O' Mahony"/>
        <s v="Barnett Sillis"/>
        <s v="Barney Chisnell"/>
        <s v="Barrett Gudde"/>
        <s v="Barrie Fallowes"/>
        <s v="Bartholemy Flaherty"/>
        <s v="Baudoin Alldridge"/>
        <s v="Baxy Cargen"/>
        <s v="Bayard Wellan"/>
        <s v="Bear Gaish"/>
        <s v="Bearnard Wardell"/>
        <s v="Becca Ableson"/>
        <s v="Becky Semkins"/>
        <s v="Bee Fattorini"/>
        <s v="Beitris Keaveney"/>
        <s v="Beltran Mathon"/>
        <s v="Belvia Umpleby"/>
        <s v="Benedetto Gozzett"/>
        <s v="Benedikta Paumier"/>
        <s v="Benn Checci"/>
        <s v="Berkly Imrie"/>
        <s v="Bertine Byrd"/>
        <s v="Berty Beelby"/>
        <s v="Beryl Osborn"/>
        <s v="Beryle Cottier"/>
        <s v="Beryle Kenwell"/>
        <s v="Bette-ann Munden"/>
        <s v="Betti Lacasa"/>
        <s v="Bettina Leffek"/>
        <s v="Betty Fominov"/>
        <s v="Bidget Tremellier"/>
        <s v="Billy Neiland"/>
        <s v="Birgit Domange"/>
        <s v="Blake Kelloway"/>
        <s v="Blancha McAmish"/>
        <s v="Bo Kindley"/>
        <s v="Bob Giannazzi"/>
        <s v="Bobbe Castagneto"/>
        <s v="Bobbe Piggott"/>
        <s v="Bobbe Renner"/>
        <s v="Bobby Folomkin"/>
        <s v="Bobinette Hindsberg"/>
        <s v="Borg Daile"/>
        <s v="Boyce Tarte"/>
        <s v="Boyd Bett"/>
        <s v="Bram Revel"/>
        <s v="Bran Sterke"/>
        <s v="Brendan Grece"/>
        <s v="Brenn Dundredge"/>
        <s v="Brice Romera"/>
        <s v="Brittani Thoresbie"/>
        <s v="Broderick McGilvra"/>
        <s v="Brook Drage"/>
        <s v="Bunny Naulls"/>
        <s v="Burnard Bartholin"/>
        <s v="Byram Mergue"/>
        <s v="Byron Acarson"/>
        <s v="Caddric Atcheson"/>
        <s v="Caddric Krzysztofiak"/>
        <s v="Cam Jewster"/>
        <s v="Camellia Kid"/>
        <s v="Carlie Harce"/>
        <s v="Carlie Linskill"/>
        <s v="Carmelita Thowes"/>
        <s v="Carmina Hubbuck"/>
        <s v="Carney Clemencet"/>
        <s v="Carolann Beine"/>
        <s v="Carolee Winchcombe"/>
        <s v="Casi Gwinnett"/>
        <s v="Cassie Pinkerton"/>
        <s v="Catarina Donn"/>
        <s v="Catharine Scoines"/>
        <s v="Cece Inker"/>
        <s v="Cecil Weatherall"/>
        <s v="Cecily Stebbings"/>
        <s v="Celestia Dolohunty"/>
        <s v="Celia Bakeup"/>
        <s v="Celie MacCourt"/>
        <s v="Chad Miguel"/>
        <s v="Chaddie Bennie"/>
        <s v="Chance Rowthorn"/>
        <s v="Channa Belamy"/>
        <s v="Chantal Mersh"/>
        <s v="Charin Maplethorp"/>
        <s v="Charin Penwarden"/>
        <s v="Charis Crosier"/>
        <s v="Charlean Keave"/>
        <s v="Charmane Denys"/>
        <s v="Chester Clowton"/>
        <s v="Chiarra Shalders"/>
        <s v="Chickie Ragless"/>
        <s v="Chloette Bernardot"/>
        <s v="Chloris Sorrell"/>
        <s v="Chris Croster"/>
        <s v="Christel Speak"/>
        <s v="Christoffer O' Shea"/>
        <s v="Christopher Grieveson"/>
        <s v="Chrisy Blofeld"/>
        <s v="Chuck Kendrick"/>
        <s v="Cindra Burling"/>
        <s v="Cissiee Raisbeck"/>
        <s v="Claiborne Feye"/>
        <s v="Claiborne Mottram"/>
        <s v="Claudell Ayre"/>
        <s v="Claudetta Rushe"/>
        <s v="Claudie Weond"/>
        <s v="Clayton Kingwell"/>
        <s v="Clement Vasiliev"/>
        <s v="Cleopatra Goodrum"/>
        <s v="Cletis Giacomazzo"/>
        <s v="Cleve Blowfelde"/>
        <s v="Cobby Cromwell"/>
        <s v="Codi Littrell"/>
        <s v="Cody Verissimo"/>
        <s v="Colene Elgey"/>
        <s v="Conchita Bryde"/>
        <s v="Connor Heaviside"/>
        <s v="Conny Gheraldi"/>
        <s v="Constance Halfhide"/>
        <s v="Constanta Hatfull"/>
        <s v="Cordi Switsur"/>
        <s v="Cordy Odgaard"/>
        <s v="Corine Drewett"/>
        <s v="Corinna Catcheside"/>
        <s v="Corney Curme"/>
        <s v="Cornie Venour"/>
        <s v="Correy Bourner"/>
        <s v="Correy Cottingham"/>
        <s v="Corrie Wass"/>
        <s v="Cortney Gibbonson"/>
        <s v="Cos Fluin"/>
        <s v="Courtney Pallant"/>
        <s v="Craggy Bril"/>
        <s v="Cristina Aleixo"/>
        <s v="Culley Farris"/>
        <s v="Currey MacAllister"/>
        <s v="Cybill Graddell"/>
        <s v="Dael Camilletti"/>
        <s v="Dagny Kornel"/>
        <s v="Dalia Eburah"/>
        <s v="Dallas Yarham"/>
        <s v="Daniel Heinonen"/>
        <s v="Darby Dummer"/>
        <s v="Darcy Lochran"/>
        <s v="Darice Heaford"/>
        <s v="Darn Penquet"/>
        <s v="Darrin Tingly"/>
        <s v="Daryn Cassius"/>
        <s v="Daryn Dibley"/>
        <s v="Davida Caro"/>
        <s v="De Drewitt"/>
        <s v="Deana Staite"/>
        <s v="Delainey Kiddy"/>
        <s v="Dell Daveridge"/>
        <s v="Dell Gut"/>
        <s v="Delmar Beasant"/>
        <s v="Demetris Micheli"/>
        <s v="Denny O' Ronan"/>
        <s v="Denyse O'Calleran"/>
        <s v="Deonne Shortall"/>
        <s v="Derick Snow"/>
        <s v="Derrek Allpress"/>
        <s v="Desdemona Eye"/>
        <s v="Devan Crownshaw"/>
        <s v="Devland Gritton"/>
        <s v="Devon Magowan"/>
        <s v="Devy Bulbrook"/>
        <s v="Diane-marie Wincer"/>
        <s v="Dianne Chardin"/>
        <s v="Dick Drinkall"/>
        <s v="Diena Peetermann"/>
        <s v="Dinah Crutcher"/>
        <s v="Dionne Skyner"/>
        <s v="Doll Beauchamp"/>
        <s v="Dollie Gadsden"/>
        <s v="Dolores Duffie"/>
        <s v="Dom Milella"/>
        <s v="Domeniga Duke"/>
        <s v="Don Flintiff"/>
        <s v="Donalt Sangwin"/>
        <s v="Donavon Fowle"/>
        <s v="Donica Bonhome"/>
        <s v="Donna Baskeyfied"/>
        <s v="Donnie Hedlestone"/>
        <s v="Donny Fries"/>
        <s v="Doralin Baison"/>
        <s v="Dorelia Bury"/>
        <s v="Dorette Hinemoor"/>
        <s v="Dorey Sopper"/>
        <s v="Dorian Vizor"/>
        <s v="Dorie de la Tremoille"/>
        <s v="Dorotea Hollyman"/>
        <s v="Dottie Rallin"/>
        <s v="Dottie Tift"/>
        <s v="Drake Jevon"/>
        <s v="Duky Phizackerly"/>
        <s v="Dyanna Aizikovitz"/>
        <s v="Eal D'Ambrogio"/>
        <s v="Eddi Sedgebeer"/>
        <s v="Edeline Edney"/>
        <s v="Edin Mathe"/>
        <s v="Edin Yantsurev"/>
        <s v="Effie Yurkov"/>
        <s v="Elden Andriessen"/>
        <s v="Elizabet Aizikowitz"/>
        <s v="Elka Windress"/>
        <s v="Elna Grise"/>
        <s v="Elonore Goodings"/>
        <s v="Elonore Joliffe"/>
        <s v="Elsbeth Westerman"/>
        <s v="Else Langcaster"/>
        <s v="Elvina Angel"/>
        <s v="Elysee Sketch"/>
        <s v="Emalee Rolin"/>
        <s v="Emiline Galgey"/>
        <s v="Emiline Priddis"/>
        <s v="Emlynne Heining"/>
        <s v="Emlynne Laird"/>
        <s v="Emlynne Palfrey"/>
        <s v="Emmaline Rasmus"/>
        <s v="Enriqueta Ixor"/>
        <s v="Ericka Tripp"/>
        <s v="Ermin Beeble"/>
        <s v="Erny Stenyng"/>
        <s v="Ethel Ryles"/>
        <s v="Ethelda Hobbing"/>
        <s v="Eustace Stenton"/>
        <s v="Eveleen Bletsor"/>
        <s v="Evelina Dacca"/>
        <s v="Evy Wilsone"/>
        <s v="Ewell Hanby"/>
        <s v="Faber Eilhart"/>
        <s v="Fanchette Parlot"/>
        <s v="Fanchon Haughian"/>
        <s v="Fanny Flanagan"/>
        <s v="Faunie Brigham"/>
        <s v="Felecia Dodgson"/>
        <s v="Felice Miell"/>
        <s v="Felicia Jecock"/>
        <s v="Feliks Babber"/>
        <s v="Felita Dauney"/>
        <s v="Felita Eshmade"/>
        <s v="Ferdie Tourry"/>
        <s v="Fernando Sulman"/>
        <s v="Ferrell Ferber"/>
        <s v="Fielding Keinrat"/>
        <s v="Filip Antcliffe"/>
        <s v="Fleur Parres"/>
        <s v="Florinda Matusovsky"/>
        <s v="Flory Crumpe"/>
        <s v="Flynn Antony"/>
        <s v="Foster Constance"/>
        <s v="Francesco Dressel"/>
        <s v="Franny Kienlein"/>
        <s v="Frans Habbergham"/>
        <s v="Fransisco Malecky"/>
        <s v="Freda Hollows"/>
        <s v="Freeland Missenden"/>
        <s v="Friederike Drysdale"/>
        <s v="Gabey Cogan"/>
        <s v="Gabie Tweed"/>
        <s v="Gabriel Starcks"/>
        <s v="Gaile Goggin"/>
        <s v="Gale Croysdale"/>
        <s v="Gale Heindrick"/>
        <s v="Gallard Gatheral"/>
        <s v="Gardy Dimitriou"/>
        <s v="Gaspar McGavin"/>
        <s v="Gay Eilhersen"/>
        <s v="Gay Rizzello"/>
        <s v="Geneva Standley"/>
        <s v="Geoffrey Siuda"/>
        <s v="Georgena Bentjens"/>
        <s v="Gerard Pirdy"/>
        <s v="Gerardo Schonfeld"/>
        <s v="Giacobo Skingle"/>
        <s v="Giana Tonnesen"/>
        <s v="Gilberto Cornier"/>
        <s v="Giordano Lorenzin"/>
        <s v="Gladi Ducker"/>
        <s v="Glory Clemon"/>
        <s v="Gnni Cheeke"/>
        <s v="Godfry Poinsett"/>
        <s v="Goldie Wynes"/>
        <s v="Gonzales Cicculi"/>
        <s v="Gothart Bamfield"/>
        <s v="Graeme Whitehead"/>
        <s v="Gran Sibray"/>
        <s v="Granger Fantham"/>
        <s v="Granger Smallcombe"/>
        <s v="Granville Alberts"/>
        <s v="Grazia Oats"/>
        <s v="Gregg Hawkyens"/>
        <s v="Gregorius Kislingbury"/>
        <s v="Gregorius Trengrove"/>
        <s v="Grete Holborn"/>
        <s v="Guenevere Ruggen"/>
        <s v="Gunilla Lynch"/>
        <s v="Gussy Broadbear"/>
        <s v="Gustaf Ciccotti"/>
        <s v="Guthrey Petracci"/>
        <s v="Gwenni Ratt"/>
        <s v="Hadley Reuven"/>
        <s v="Hailee Radbone"/>
        <s v="Hall Ranner"/>
        <s v="Hally Lorait"/>
        <s v="Hamish MacSherry"/>
        <s v="Hamish Skeech"/>
        <s v="Hamlen Pallister"/>
        <s v="Harland Trematick"/>
        <s v="Hartley Mattioli"/>
        <s v="Harwilll Bishell"/>
        <s v="Haslett Jodrelle"/>
        <s v="Hatty Dovydenas"/>
        <s v="Hayward Goulter"/>
        <s v="Hazel Iacopini"/>
        <s v="Hazel Saill"/>
        <s v="Heall Perris"/>
        <s v="Heda Fromant"/>
        <s v="Helaina Rainforth"/>
        <s v="Helli Petroulis"/>
        <s v="Heloise Zeal"/>
        <s v="Henderson Crowne"/>
        <s v="Herbie Peppard"/>
        <s v="Hermann Larvor"/>
        <s v="Herta Layne"/>
        <s v="Hetti Measures"/>
        <s v="Hetti Penson"/>
        <s v="Hewet Synnot"/>
        <s v="Hildegarde Brangan"/>
        <s v="Hillel Mairs"/>
        <s v="Homer Dulany"/>
        <s v="Hussein Olliff"/>
        <s v="Hy Zanetto"/>
        <s v="Ibby Charters"/>
        <s v="Ilaire Sprakes"/>
        <s v="Ilka Gurnee"/>
        <s v="Ilysa Whapple"/>
        <s v="Ingamar Eberlein"/>
        <s v="Ingeberg Mulliner"/>
        <s v="Ingelbert Hotchkin"/>
        <s v="Inger Bouldon"/>
        <s v="Innis Renhard"/>
        <s v="Iorgo Kleinert"/>
        <s v="Ira Sjostrom"/>
        <s v="Irv Hay"/>
        <s v="Irvine Phillpot"/>
        <s v="Isa Blazewicz"/>
        <s v="Isac Jesper"/>
        <s v="Isahella Hagland"/>
        <s v="Isidore Hussey"/>
        <s v="Isis Hessel"/>
        <s v="Isis Pikett"/>
        <s v="Itch Norquoy"/>
        <s v="Izaak Primak"/>
        <s v="Jacinthe Balsillie"/>
        <s v="Jackquelin Chugg"/>
        <s v="Jacquelyn Maha"/>
        <s v="Jaimie Hatz"/>
        <s v="Jami Redholes"/>
        <s v="Jammie Cloke"/>
        <s v="Janella Eden"/>
        <s v="Janella Millett"/>
        <s v="Janeva Edinboro"/>
        <s v="Janifer Bagot"/>
        <s v="Jany Rudeforth"/>
        <s v="Jaquenette Skentelbery"/>
        <s v="Jarred Camillo"/>
        <s v="Jarret Toye"/>
        <s v="Jasper Sisneros"/>
        <s v="Javier Causnett"/>
        <s v="Javier Kopke"/>
        <s v="Jed Kennicott"/>
        <s v="Jeffrey Dufaire"/>
        <s v="Jemimah Ethelston"/>
        <s v="Jennica Tewelson"/>
        <s v="Jennifer Rangall"/>
        <s v="Jennifer Wilkisson"/>
        <s v="Jeno Capey"/>
        <s v="Jeno Druitt"/>
        <s v="Jereme Gippes"/>
        <s v="Jermaine Branchett"/>
        <s v="Jessica McNess"/>
        <s v="Jewelle Shenton"/>
        <s v="Jilly Dreng"/>
        <s v="Jimmy Dymoke"/>
        <s v="Joceline Reddoch"/>
        <s v="Jocko Pray"/>
        <s v="Jodee Caldicott"/>
        <s v="Joey Jefferys"/>
        <s v="Johna Bluck"/>
        <s v="Johnath Fairebrother"/>
        <s v="Jordana Halden"/>
        <s v="Jorge Bettison"/>
        <s v="Josefina Ferens"/>
        <s v="Joshuah Awdry"/>
        <s v="Judd De Leek"/>
        <s v="Jule Deehan"/>
        <s v="Julio Armytage"/>
        <s v="Julius Mccaull"/>
        <s v="Kacy Canto"/>
        <s v="Kaela Nottram"/>
        <s v="Kaja Loxton"/>
        <s v="Kameko Philbrick"/>
        <s v="Kandace Cragell"/>
        <s v="Kandy Heddan"/>
        <s v="Kari Swede"/>
        <s v="Karl Imorts"/>
        <s v="Karlan Karby"/>
        <s v="Karry Flanders"/>
        <s v="Karylin Huddart"/>
        <s v="Katerina Melloi"/>
        <s v="Kathleen Diable"/>
        <s v="Keefer Cake"/>
        <s v="Ken Lestrange"/>
        <s v="Kendra Backshell"/>
        <s v="Kendra Glison"/>
        <s v="Kenton Wetherick"/>
        <s v="Kerr Patise"/>
        <s v="Ketty Bromehead"/>
        <s v="Kevan Grinsted"/>
        <s v="Kienan Ferson"/>
        <s v="Kienan Scholard"/>
        <s v="Killian Osler"/>
        <s v="Kim Kemery"/>
        <s v="Kimberli Mustchin"/>
        <s v="Kipper Boorn"/>
        <s v="Kippie Marrison"/>
        <s v="Kiri Avramow"/>
        <s v="Kizzie Warman"/>
        <s v="Klarika Egglestone"/>
        <s v="Konstantine Thoumasson"/>
        <s v="Koralle Heads"/>
        <s v="Koren Ferretti"/>
        <s v="Koressa O'Geneay"/>
        <s v="Kris O'Cullen"/>
        <s v="Krissie Hammett"/>
        <s v="Kristos Streight"/>
        <s v="Kylie Mowat"/>
        <s v="Kynthia Berick"/>
        <s v="Lacee Burtenshaw"/>
        <s v="Lacee Tanti"/>
        <s v="Lamond Gheeraert"/>
        <s v="Laryssa Benediktovich"/>
        <s v="Laurence Ellingham"/>
        <s v="Lauritz Ledgley"/>
        <s v="Lawrence Pratt"/>
        <s v="Layne Imason"/>
        <s v="Leesa Flaonier"/>
        <s v="Leia Kernan"/>
        <s v="Lem Pennacci"/>
        <s v="Lemuel Rignold"/>
        <s v="Lenci Haggerstone"/>
        <s v="Lenette Dwerryhouse"/>
        <s v="Lenka Rushmer"/>
        <s v="Lenore Messenbird"/>
        <s v="Leonie Cullrford"/>
        <s v="Leonore Francisco"/>
        <s v="Leontine Rubrow"/>
        <s v="Leta Clarricoates"/>
        <s v="Lewes Danes"/>
        <s v="Lexie Mallan"/>
        <s v="Lind Conyers"/>
        <s v="Lindon Agnolo"/>
        <s v="Lindy Uttermare"/>
        <s v="Linn Alaway"/>
        <s v="Linus Flippelli"/>
        <s v="Lisa Goodger"/>
        <s v="Livy Lathleiff"/>
        <s v="Llywellyn Oscroft"/>
        <s v="Lora Dukes"/>
        <s v="Lorelei Nardoni"/>
        <s v="Lorenzo Yeoland"/>
        <s v="Lorianne Kyneton"/>
        <s v="Lorin Guerrazzi"/>
        <s v="Lothaire Mizzi"/>
        <s v="Lowell Keenleyside"/>
        <s v="Loydie Langlais"/>
        <s v="Lucienne Scargle"/>
        <s v="Lukas Whittlesee"/>
        <s v="Lyell Murch"/>
        <s v="Lyn Entwistle"/>
        <s v="Lyndsey MacManus"/>
        <s v="Lyndsey Megany"/>
        <s v="Lynnea Danton"/>
        <s v="Lyon Ibert"/>
        <s v="Mab Blakemore"/>
        <s v="Madelaine Sharples"/>
        <s v="Madelene Prinn"/>
        <s v="Mag Armistead"/>
        <s v="Maggy Baistow"/>
        <s v="Maggy Harby"/>
        <s v="Mahala Ludwell"/>
        <s v="Maisie Sarvar"/>
        <s v="Maitilde Boxill"/>
        <s v="Mallory Shrimpling"/>
        <s v="Malynda Glawsop"/>
        <s v="Malynda Purbrick"/>
        <s v="Man Fright"/>
        <s v="Manuel Darrigoe"/>
        <s v="Mar McIver"/>
        <s v="Margarette Sterland"/>
        <s v="Margie Palleske"/>
        <s v="Marguerite Graves"/>
        <s v="Marianna Vedmore"/>
        <s v="Marie-jeanne Redgrave"/>
        <s v="Marja Urion"/>
        <s v="Marjorie Yoxen"/>
        <s v="Marlena Howsden"/>
        <s v="Marne Mingey"/>
        <s v="Marris Grcic"/>
        <s v="Martie Brimilcombe"/>
        <s v="Marty Kidstoun"/>
        <s v="Marty Scholl"/>
        <s v="Marvin Gundry"/>
        <s v="Marvin Malloy"/>
        <s v="Mathew Goulter"/>
        <s v="Mathilda Matiasek"/>
        <s v="Maurie Bartol"/>
        <s v="Maxim McParland"/>
        <s v="Meade Birkin"/>
        <s v="Melania Beadle"/>
        <s v="Melli Brockway"/>
        <s v="Mellisa Mebes"/>
        <s v="Melodie OIlier"/>
        <s v="Melosa Kippen"/>
        <s v="Melvin Wharfe"/>
        <s v="Mercedes Acott"/>
        <s v="Merell Zanazzi"/>
        <s v="Merrel Steptow"/>
        <s v="Merrile Cobbledick"/>
        <s v="Michale Delves"/>
        <s v="Micki Fero"/>
        <s v="Milty Middis"/>
        <s v="Mina Elstone"/>
        <s v="Mindy Bogey"/>
        <s v="Minetta Ackrill"/>
        <s v="Minette Whellans"/>
        <s v="Minni Alabaster"/>
        <s v="Minny Chamberlayne"/>
        <s v="Miran Doidge"/>
        <s v="Mitch Attwool"/>
        <s v="Modesty MacConnechie"/>
        <s v="Mohandis Spurden"/>
        <s v="Monica Fearon"/>
        <s v="Monique Canty"/>
        <s v="Mord Meriet"/>
        <s v="Mordy Van Der Vlies"/>
        <s v="Morgen Seson"/>
        <s v="Morly Rocks"/>
        <s v="Morna Hansed"/>
        <s v="Mozelle Calcutt"/>
        <s v="Muffin Yallop"/>
        <s v="Murdock Hame"/>
        <s v="Murielle Lorinez"/>
        <s v="Myles Seawright"/>
        <s v="Myrle Dearden"/>
        <s v="Nadeen Broomer"/>
        <s v="Nalani Pirrone"/>
        <s v="Nanine McCarthy"/>
        <s v="Nannie Naseby"/>
        <s v="Nanny Izhakov"/>
        <s v="Nanny Lush"/>
        <s v="Nat Saleway"/>
        <s v="Natal Vigrass"/>
        <s v="Nataniel Helkin"/>
        <s v="Nathan Sictornes"/>
        <s v="Nathaniel Bloxland"/>
        <s v="Natka Leethem"/>
        <s v="Nealson Cuttler"/>
        <s v="Neely Broadberrie"/>
        <s v="Nelie Garnson"/>
        <s v="Nertie Poolman"/>
        <s v="Neville Piatto"/>
        <s v="Nevins Glowacz"/>
        <s v="Nevsa Fields"/>
        <s v="Nick Brakespear"/>
        <s v="Nickey Dimbleby"/>
        <s v="Nickey Youles"/>
        <s v="Nicko Corps"/>
        <s v="Nicky Ayris"/>
        <s v="Nico Hubert"/>
        <s v="Nicolas Aiton"/>
        <s v="Nicolina Jenny"/>
        <s v="Niels Leake"/>
        <s v="Nissie Rudland"/>
        <s v="Noak Wyvill"/>
        <s v="Noam Climance"/>
        <s v="Nobe Buney"/>
        <s v="Noel Chisholm"/>
        <s v="Nona Linklater"/>
        <s v="Noni Furber"/>
        <s v="Norene Magauran"/>
        <s v="Odelia Skerme"/>
        <s v="Odille Thynne"/>
        <s v="Olag Baudassi"/>
        <s v="Oran Colbeck"/>
        <s v="Orazio Comber"/>
        <s v="Orbadiah Duny"/>
        <s v="Orion Dyott"/>
        <s v="Orland Tadman"/>
        <s v="Orly Ryland"/>
        <s v="Osbert Robins"/>
        <s v="Osmund Clausen-Thue"/>
        <s v="Othello Syseland"/>
        <s v="Pall Redford"/>
        <s v="Pammi Endacott"/>
        <s v="Paola Brydell"/>
        <s v="Parker Tofful"/>
        <s v="Parsifal Metrick"/>
        <s v="Patrice Trobe"/>
        <s v="Patsy Vasilenko"/>
        <s v="Paula Denis"/>
        <s v="Paulie Fonzone"/>
        <s v="Paulo Yea"/>
        <s v="Pen Wye"/>
        <s v="Perice Eberz"/>
        <s v="Perkin Stonner"/>
        <s v="Perry Lyfield"/>
        <s v="Petey Kingsbury"/>
        <s v="Peyter Lauritzen"/>
        <s v="Peyter Matignon"/>
        <s v="Philipa Petrushanko"/>
        <s v="Phyllys Ormerod"/>
        <s v="Pippo Witherington"/>
        <s v="Portie Cutchie"/>
        <s v="Pren Bess"/>
        <s v="Pru Durban"/>
        <s v="Queenie Veel"/>
        <s v="Quinn Parsons"/>
        <s v="Quintina Heavyside"/>
        <s v="Quinton Fouracres"/>
        <s v="Rachelle Elizabeth"/>
        <s v="Rafaela Treacher"/>
        <s v="Rafferty Pursglove"/>
        <s v="Raleigh Lepere"/>
        <s v="Ramon Cheak"/>
        <s v="Rana Sharer"/>
        <s v="Randal Longfield"/>
        <s v="Ransell McKall"/>
        <s v="Raphaela Schankelborg"/>
        <s v="Rasia Jacquemard"/>
        <s v="Raynor McGilvary"/>
        <s v="Rea Offell"/>
        <s v="Read Cutts"/>
        <s v="Reamonn Aynold"/>
        <s v="Rebeka Worg"/>
        <s v="Redd Simao"/>
        <s v="Reese Lidgey"/>
        <s v="Reggie Thickpenny"/>
        <s v="Reggis Pracy"/>
        <s v="Reinaldos Kirtley"/>
        <s v="Rem Furman"/>
        <s v="Reube Cawley"/>
        <s v="Reynolds Crookshanks"/>
        <s v="Rhetta Elnaugh"/>
        <s v="Rhetta Zywicki"/>
        <s v="Rhianon Broxup"/>
        <s v="Rhodie Strathern"/>
        <s v="Rhona Lequeux"/>
        <s v="Rickey Readie"/>
        <s v="Rickie Faltin"/>
        <s v="Rikki Tomkowicz"/>
        <s v="Rivy Farington"/>
        <s v="Rochette Huscroft"/>
        <s v="Rod Gowdie"/>
        <s v="Rodger Raven"/>
        <s v="Rodolfo Willoway"/>
        <s v="Romain Avrashin"/>
        <s v="Ronda Pyson"/>
        <s v="Rosaleen Scholar"/>
        <s v="Rosaline McLae"/>
        <s v="Roxie Deaconson"/>
        <s v="Roxine Drivers"/>
        <s v="Rozele Relton"/>
        <s v="Rudiger Di Bartolomeo"/>
        <s v="Rudy Farquharson"/>
        <s v="Rufus Flear"/>
        <s v="Russell Donet"/>
        <s v="Rutger Pithcock"/>
        <s v="Ruy Cancellieri"/>
        <s v="Ryann Stickler"/>
        <s v="Sacha Bruun"/>
        <s v="Sada Roseborough"/>
        <s v="Salomo Cushworth"/>
        <s v="Samuele Ales0"/>
        <s v="Samuele Klaaassen"/>
        <s v="Sarajane Potter"/>
        <s v="Saree Ellesworth"/>
        <s v="Sarette Ducarel"/>
        <s v="Say Risborough"/>
        <s v="Scarlett Oliffe"/>
        <s v="Sean Lorenzetti"/>
        <s v="Selene Shales"/>
        <s v="Selia Ragles"/>
        <s v="Selle Scurrer"/>
        <s v="Selma McMillian"/>
        <s v="Serena Earley"/>
        <s v="Shannon List"/>
        <s v="Sharity Wickens"/>
        <s v="Sharl Southerill"/>
        <s v="Sharona Danilchik"/>
        <s v="Shawnee Critchlow"/>
        <s v="Shay Couronne"/>
        <s v="Shaylynn Lobe"/>
        <s v="Shelley Gehring"/>
        <s v="Shelley Titley"/>
        <s v="Shelli De Banke"/>
        <s v="Shelli Keynd"/>
        <s v="Sheppard Yann"/>
        <s v="Sherman Mewrcik"/>
        <s v="Shermy Moseby"/>
        <s v="Shirleen Welds"/>
        <s v="Shirlene Edmondson"/>
        <s v="Sibella Rushbrooke"/>
        <s v="Sidney Gawen"/>
        <s v="Sigfrid Busch"/>
        <s v="Silas Deehan"/>
        <s v="Silvan McShea"/>
        <s v="Silvana Northeast"/>
        <s v="Silvanus Enefer"/>
        <s v="Silvio Iorizzi"/>
        <s v="Silvio Strase"/>
        <s v="Sim Pamphilon"/>
        <s v="Simone Capon"/>
        <s v="Sinclare Edsell"/>
        <s v="Skelly Dolohunty"/>
        <s v="Skipton Morrall"/>
        <s v="Sky Farnish"/>
        <s v="Skylar Jeyness"/>
        <s v="Sloan Diviny"/>
        <s v="Spencer Wastell"/>
        <s v="Stacy Pickworth"/>
        <s v="Stan Barribal"/>
        <s v="Stanford Rodliff"/>
        <s v="Stanislaus Gilroy"/>
        <s v="Stanislaus Valsler"/>
        <s v="Stanly Keets"/>
        <s v="Starr Arpin"/>
        <s v="Stearne Count"/>
        <s v="Stevana Woodham"/>
        <s v="Suzanna Bollam"/>
        <s v="Sylas Jennaroy"/>
        <s v="Tallie felip"/>
        <s v="Tamarah Fero"/>
        <s v="Tammie Drynan"/>
        <s v="Tani Taffarello"/>
        <s v="Tania Craggs"/>
        <s v="Tawnya Menary"/>
        <s v="Teddi Crowthe"/>
        <s v="Teddi Quadri"/>
        <s v="Temple Castiglione"/>
        <s v="Terence Vanyutin"/>
        <s v="Terencio O'Moylan"/>
        <s v="Terri Farra"/>
        <s v="Terri Lyford"/>
        <s v="Terry Sheryn"/>
        <s v="Tersina Castagne"/>
        <s v="Tess Benediktovich"/>
        <s v="Tess Bennison"/>
        <s v="Theda Grizard"/>
        <s v="Theo Bowne"/>
        <s v="Theo Jacobovitz"/>
        <s v="Theresita Newbury"/>
        <s v="Tiffany Scardafield"/>
        <s v="Tildie Tilzey"/>
        <s v="Timofei Woofinden"/>
        <s v="Timoteo Glisane"/>
        <s v="Tomas Sutty"/>
        <s v="Tomasina Cotmore"/>
        <s v="Torie Gottelier"/>
        <s v="Tory Walas"/>
        <s v="Trescha Jedrachowicz"/>
        <s v="Trina Le Sarr"/>
        <s v="Trumaine Tewelson"/>
        <s v="Tuckie Mathonnet"/>
        <s v="Tymon Zanetti"/>
        <s v="Ugo Southerden"/>
        <s v="Una Welberry"/>
        <s v="Uriah Lethbrig"/>
        <s v="Val Wakelin"/>
        <s v="Valenka Stansbury"/>
        <s v="Vallie Kundt"/>
        <s v="Vanna Le - Count"/>
        <s v="Vanya Skullet"/>
        <s v="Vasili Upstone"/>
        <s v="Vasily Polglase"/>
        <s v="Verne Dunkerley"/>
        <s v="Vernor Pawsey"/>
        <s v="Vicki Kirdsch"/>
        <s v="Vidovic Antonelli"/>
        <s v="Vinny Shoebotham"/>
        <s v="Violante Skouling"/>
        <s v="Violette Hellmore"/>
        <s v="Virgil Baumadier"/>
        <s v="Vivie Danneil"/>
        <s v="Vivyan Ceely"/>
        <s v="Vivyan Dunning"/>
        <s v="Wain Cholomin"/>
        <s v="Wain Stearley"/>
        <s v="Wallis Bernth"/>
        <s v="Waneta Edinborough"/>
        <s v="Wang Powlesland"/>
        <s v="Warner Maddox"/>
        <s v="Waylan Springall"/>
        <s v="Waylin Hollingdale"/>
        <s v="Webb Speechly"/>
        <s v="Wesley Giorgioni"/>
        <s v="Wilek Lightollers"/>
        <s v="Wiley Leopold"/>
        <s v="Willa Rolling"/>
        <s v="Willabella Abramski"/>
        <s v="Willabella Harvison"/>
        <s v="Willey Romao"/>
        <s v="Willy Pummery"/>
        <s v="Wilton Cottier"/>
        <s v="Wilton Jallin"/>
        <s v="Winn Keyse"/>
        <s v="Winne Roche"/>
        <s v="Witty Ranson"/>
        <s v="Wren Place"/>
        <s v="Wright Caldero"/>
        <s v="Wyatan Fetherston"/>
        <s v="Xenos Gibbons"/>
        <s v="Yardley Basill"/>
        <s v="Yulma Dombrell"/>
        <s v="Yuma Skipsey"/>
        <s v="Yuri Burrells"/>
        <s v="Zaccaria Sherewood"/>
        <s v="Zachariah Carlson"/>
        <s v="Zacharias Kiffe"/>
        <s v="Zachary Tramel"/>
        <s v="Zack Pellett"/>
        <s v="Zeke Walisiak"/>
        <s v="Zilvia Claisse"/>
        <s v="Zorina Ponting"/>
      </sharedItems>
    </cacheField>
    <cacheField name="Email" numFmtId="0">
      <sharedItems/>
    </cacheField>
    <cacheField name="Country" numFmtId="0">
      <sharedItems count="3">
        <s v="United States"/>
        <s v="United Kingdom"/>
        <s v="Ireland"/>
      </sharedItems>
    </cacheField>
    <cacheField name="Coffee Type" numFmtId="0">
      <sharedItems count="4">
        <s v="Exc"/>
        <s v="Rob"/>
        <s v="Ara"/>
        <s v="Lib"/>
      </sharedItems>
    </cacheField>
    <cacheField name="Roast Type" numFmtId="0">
      <sharedItems count="3">
        <s v="L"/>
        <s v="D"/>
        <s v="M"/>
      </sharedItems>
    </cacheField>
    <cacheField name="Size" numFmtId="166">
      <sharedItems containsSemiMixedTypes="0" containsString="0" containsNumber="1" minValue="0.2" maxValue="2.5" count="4">
        <n v="0.5"/>
        <n v="0.2"/>
        <n v="1"/>
        <n v="2.5"/>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Excelsa"/>
        <s v="Robusta"/>
        <s v="Arabica"/>
        <s v="Liberica"/>
      </sharedItems>
    </cacheField>
    <cacheField name="Roast Type Name" numFmtId="0">
      <sharedItems count="3">
        <s v="Light"/>
        <s v="Dark"/>
        <s v="Medium"/>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 name="Months (Month)" numFmtId="0" databaseField="0">
      <fieldGroup base="2">
        <rangePr groupBy="months" startDate="2019-01-02T00:00:00" endDate="2022-08-20T00:00:00"/>
        <groupItems count="14">
          <s v="&lt;1/2/2019"/>
          <s v="Jan"/>
          <s v="Feb"/>
          <s v="Mar"/>
          <s v="Apr"/>
          <s v="May"/>
          <s v="Jun"/>
          <s v="Jul"/>
          <s v="Aug"/>
          <s v="Sep"/>
          <s v="Oct"/>
          <s v="Nov"/>
          <s v="Dec"/>
          <s v="&gt;8/20/2022"/>
        </groupItems>
      </fieldGroup>
    </cacheField>
    <cacheField name="Years (Month)" numFmtId="0" databaseField="0">
      <fieldGroup base="2">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27527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60799-92593-CX"/>
    <s v="E-L-0.5"/>
    <n v="1"/>
    <x v="0"/>
    <s v=""/>
    <x v="0"/>
    <x v="0"/>
    <x v="0"/>
    <x v="0"/>
    <n v="8.91"/>
    <n v="8.91"/>
    <x v="0"/>
    <x v="0"/>
    <x v="0"/>
  </r>
  <r>
    <x v="1"/>
    <x v="1"/>
    <x v="1"/>
    <x v="1"/>
    <s v="72072-33025-SD"/>
    <s v="R-L-0.5"/>
    <n v="2"/>
    <x v="1"/>
    <s v="athysfo@cdc.gov"/>
    <x v="0"/>
    <x v="1"/>
    <x v="0"/>
    <x v="0"/>
    <n v="7.169999999999999"/>
    <n v="14.339999999999998"/>
    <x v="1"/>
    <x v="0"/>
    <x v="1"/>
  </r>
  <r>
    <x v="2"/>
    <x v="2"/>
    <x v="2"/>
    <x v="0"/>
    <s v="73284-01385-SJ"/>
    <s v="R-D-0.2"/>
    <n v="3"/>
    <x v="2"/>
    <s v="atolworthy16@toplist.cz"/>
    <x v="0"/>
    <x v="1"/>
    <x v="1"/>
    <x v="1"/>
    <n v="2.6849999999999996"/>
    <n v="8.0549999999999997"/>
    <x v="1"/>
    <x v="1"/>
    <x v="0"/>
  </r>
  <r>
    <x v="3"/>
    <x v="3"/>
    <x v="3"/>
    <x v="2"/>
    <s v="91074-60023-IP"/>
    <s v="E-D-1"/>
    <n v="4"/>
    <x v="3"/>
    <s v=""/>
    <x v="0"/>
    <x v="0"/>
    <x v="1"/>
    <x v="2"/>
    <n v="12.15"/>
    <n v="48.6"/>
    <x v="0"/>
    <x v="1"/>
    <x v="1"/>
  </r>
  <r>
    <x v="4"/>
    <x v="4"/>
    <x v="4"/>
    <x v="1"/>
    <s v="66776-88682-RG"/>
    <s v="E-L-0.2"/>
    <n v="5"/>
    <x v="4"/>
    <s v="amussen50@51.la"/>
    <x v="0"/>
    <x v="0"/>
    <x v="0"/>
    <x v="1"/>
    <n v="4.4550000000000001"/>
    <n v="22.274999999999999"/>
    <x v="0"/>
    <x v="0"/>
    <x v="1"/>
  </r>
  <r>
    <x v="4"/>
    <x v="4"/>
    <x v="4"/>
    <x v="1"/>
    <s v="66776-88682-RG"/>
    <s v="A-D-0.5"/>
    <n v="5"/>
    <x v="4"/>
    <s v="amussen50@51.la"/>
    <x v="0"/>
    <x v="2"/>
    <x v="1"/>
    <x v="0"/>
    <n v="5.97"/>
    <n v="29.849999999999998"/>
    <x v="2"/>
    <x v="1"/>
    <x v="1"/>
  </r>
  <r>
    <x v="5"/>
    <x v="5"/>
    <x v="5"/>
    <x v="1"/>
    <s v="83731-53280-YC"/>
    <s v="R-M-1"/>
    <n v="3"/>
    <x v="5"/>
    <s v=""/>
    <x v="1"/>
    <x v="1"/>
    <x v="2"/>
    <x v="2"/>
    <n v="9.9499999999999993"/>
    <n v="29.849999999999998"/>
    <x v="1"/>
    <x v="2"/>
    <x v="0"/>
  </r>
  <r>
    <x v="6"/>
    <x v="6"/>
    <x v="6"/>
    <x v="2"/>
    <s v="13321-57602-GK"/>
    <s v="A-D-0.5"/>
    <n v="6"/>
    <x v="6"/>
    <s v="agladhillng@stanford.edu"/>
    <x v="0"/>
    <x v="2"/>
    <x v="1"/>
    <x v="0"/>
    <n v="5.97"/>
    <n v="35.82"/>
    <x v="2"/>
    <x v="1"/>
    <x v="0"/>
  </r>
  <r>
    <x v="7"/>
    <x v="7"/>
    <x v="7"/>
    <x v="1"/>
    <s v="88167-57964-PH"/>
    <s v="R-M-0.5"/>
    <n v="3"/>
    <x v="7"/>
    <s v=""/>
    <x v="0"/>
    <x v="1"/>
    <x v="2"/>
    <x v="0"/>
    <n v="5.97"/>
    <n v="17.91"/>
    <x v="1"/>
    <x v="2"/>
    <x v="1"/>
  </r>
  <r>
    <x v="8"/>
    <x v="8"/>
    <x v="8"/>
    <x v="1"/>
    <s v="30381-64762-NG"/>
    <s v="A-M-2.5"/>
    <n v="4"/>
    <x v="8"/>
    <s v="agreenhead2j@dailymail.co.uk"/>
    <x v="0"/>
    <x v="2"/>
    <x v="2"/>
    <x v="3"/>
    <n v="25.874999999999996"/>
    <n v="103.49999999999999"/>
    <x v="2"/>
    <x v="2"/>
    <x v="1"/>
  </r>
  <r>
    <x v="9"/>
    <x v="9"/>
    <x v="9"/>
    <x v="0"/>
    <s v="49894-06550-OQ"/>
    <s v="E-M-1"/>
    <n v="2"/>
    <x v="9"/>
    <s v="atrehernecv@state.tx.us"/>
    <x v="2"/>
    <x v="0"/>
    <x v="2"/>
    <x v="2"/>
    <n v="13.75"/>
    <n v="27.5"/>
    <x v="0"/>
    <x v="2"/>
    <x v="1"/>
  </r>
  <r>
    <x v="10"/>
    <x v="10"/>
    <x v="10"/>
    <x v="2"/>
    <s v="39011-18412-GR"/>
    <s v="A-D-2.5"/>
    <n v="6"/>
    <x v="10"/>
    <s v="aroubertn0@tmall.com"/>
    <x v="0"/>
    <x v="2"/>
    <x v="1"/>
    <x v="3"/>
    <n v="22.884999999999998"/>
    <n v="137.31"/>
    <x v="2"/>
    <x v="1"/>
    <x v="0"/>
  </r>
  <r>
    <x v="11"/>
    <x v="5"/>
    <x v="5"/>
    <x v="1"/>
    <s v="20260-32948-EB"/>
    <s v="E-L-0.2"/>
    <n v="6"/>
    <x v="11"/>
    <s v="agregorattilq@vistaprint.com"/>
    <x v="2"/>
    <x v="0"/>
    <x v="0"/>
    <x v="1"/>
    <n v="4.4550000000000001"/>
    <n v="26.73"/>
    <x v="0"/>
    <x v="0"/>
    <x v="1"/>
  </r>
  <r>
    <x v="12"/>
    <x v="11"/>
    <x v="11"/>
    <x v="2"/>
    <s v="51427-89175-QJ"/>
    <s v="L-M-0.2"/>
    <n v="5"/>
    <x v="12"/>
    <s v=""/>
    <x v="0"/>
    <x v="3"/>
    <x v="2"/>
    <x v="1"/>
    <n v="4.3650000000000002"/>
    <n v="21.825000000000003"/>
    <x v="3"/>
    <x v="2"/>
    <x v="1"/>
  </r>
  <r>
    <x v="12"/>
    <x v="11"/>
    <x v="11"/>
    <x v="2"/>
    <s v="51427-89175-QJ"/>
    <s v="A-D-0.5"/>
    <n v="6"/>
    <x v="12"/>
    <s v=""/>
    <x v="0"/>
    <x v="2"/>
    <x v="1"/>
    <x v="0"/>
    <n v="5.97"/>
    <n v="35.82"/>
    <x v="2"/>
    <x v="1"/>
    <x v="1"/>
  </r>
  <r>
    <x v="12"/>
    <x v="11"/>
    <x v="11"/>
    <x v="2"/>
    <s v="51427-89175-QJ"/>
    <s v="L-M-0.5"/>
    <n v="6"/>
    <x v="12"/>
    <s v=""/>
    <x v="0"/>
    <x v="3"/>
    <x v="2"/>
    <x v="0"/>
    <n v="8.73"/>
    <n v="52.38"/>
    <x v="3"/>
    <x v="2"/>
    <x v="1"/>
  </r>
  <r>
    <x v="13"/>
    <x v="12"/>
    <x v="12"/>
    <x v="2"/>
    <s v="66708-26678-QK"/>
    <s v="L-L-0.5"/>
    <n v="6"/>
    <x v="13"/>
    <s v=""/>
    <x v="0"/>
    <x v="3"/>
    <x v="0"/>
    <x v="0"/>
    <n v="9.51"/>
    <n v="57.06"/>
    <x v="3"/>
    <x v="0"/>
    <x v="1"/>
  </r>
  <r>
    <x v="14"/>
    <x v="13"/>
    <x v="13"/>
    <x v="3"/>
    <s v="72320-29738-EB"/>
    <s v="R-L-2.5"/>
    <n v="1"/>
    <x v="14"/>
    <s v="avairowiv@studiopress.com"/>
    <x v="1"/>
    <x v="1"/>
    <x v="0"/>
    <x v="3"/>
    <n v="27.484999999999996"/>
    <n v="27.484999999999996"/>
    <x v="1"/>
    <x v="0"/>
    <x v="1"/>
  </r>
  <r>
    <x v="15"/>
    <x v="14"/>
    <x v="14"/>
    <x v="1"/>
    <s v="23473-41001-CD"/>
    <s v="R-D-2.5"/>
    <n v="2"/>
    <x v="15"/>
    <s v="aadamidesco@bizjournals.com"/>
    <x v="1"/>
    <x v="1"/>
    <x v="1"/>
    <x v="3"/>
    <n v="20.584999999999997"/>
    <n v="41.169999999999995"/>
    <x v="1"/>
    <x v="1"/>
    <x v="1"/>
  </r>
  <r>
    <x v="16"/>
    <x v="15"/>
    <x v="15"/>
    <x v="2"/>
    <s v="58511-10548-ZU"/>
    <s v="R-M-1"/>
    <n v="3"/>
    <x v="16"/>
    <s v="anesfield8p@people.com.cn"/>
    <x v="1"/>
    <x v="1"/>
    <x v="2"/>
    <x v="2"/>
    <n v="9.9499999999999993"/>
    <n v="29.849999999999998"/>
    <x v="1"/>
    <x v="2"/>
    <x v="0"/>
  </r>
  <r>
    <x v="17"/>
    <x v="16"/>
    <x v="16"/>
    <x v="2"/>
    <s v="27132-68907-RC"/>
    <s v="E-L-0.2"/>
    <n v="5"/>
    <x v="17"/>
    <s v="abrashda@plala.or.jp"/>
    <x v="0"/>
    <x v="0"/>
    <x v="0"/>
    <x v="1"/>
    <n v="4.4550000000000001"/>
    <n v="22.274999999999999"/>
    <x v="0"/>
    <x v="0"/>
    <x v="0"/>
  </r>
  <r>
    <x v="18"/>
    <x v="17"/>
    <x v="17"/>
    <x v="0"/>
    <s v="27132-68907-RC"/>
    <s v="R-D-1"/>
    <n v="6"/>
    <x v="17"/>
    <s v="abrashda@plala.or.jp"/>
    <x v="0"/>
    <x v="1"/>
    <x v="1"/>
    <x v="2"/>
    <n v="8.9499999999999993"/>
    <n v="53.699999999999996"/>
    <x v="1"/>
    <x v="1"/>
    <x v="0"/>
  </r>
  <r>
    <x v="18"/>
    <x v="17"/>
    <x v="17"/>
    <x v="0"/>
    <s v="27132-68907-RC"/>
    <s v="E-M-2.5"/>
    <n v="4"/>
    <x v="17"/>
    <s v="abrashda@plala.or.jp"/>
    <x v="0"/>
    <x v="0"/>
    <x v="2"/>
    <x v="3"/>
    <n v="31.624999999999996"/>
    <n v="126.49999999999999"/>
    <x v="0"/>
    <x v="2"/>
    <x v="0"/>
  </r>
  <r>
    <x v="18"/>
    <x v="17"/>
    <x v="17"/>
    <x v="0"/>
    <s v="27132-68907-RC"/>
    <s v="E-M-0.2"/>
    <n v="1"/>
    <x v="17"/>
    <s v="abrashda@plala.or.jp"/>
    <x v="0"/>
    <x v="0"/>
    <x v="2"/>
    <x v="1"/>
    <n v="4.125"/>
    <n v="4.125"/>
    <x v="0"/>
    <x v="2"/>
    <x v="0"/>
  </r>
  <r>
    <x v="19"/>
    <x v="18"/>
    <x v="18"/>
    <x v="1"/>
    <s v="40780-22081-LX"/>
    <s v="L-L-0.5"/>
    <n v="3"/>
    <x v="18"/>
    <s v="abalsdonemi@toplist.cz"/>
    <x v="0"/>
    <x v="3"/>
    <x v="0"/>
    <x v="0"/>
    <n v="9.51"/>
    <n v="28.53"/>
    <x v="3"/>
    <x v="0"/>
    <x v="1"/>
  </r>
  <r>
    <x v="20"/>
    <x v="19"/>
    <x v="19"/>
    <x v="3"/>
    <s v="90440-62727-HI"/>
    <s v="A-M-0.5"/>
    <n v="1"/>
    <x v="19"/>
    <s v="ahutchinsond2@imgur.com"/>
    <x v="0"/>
    <x v="2"/>
    <x v="2"/>
    <x v="0"/>
    <n v="6.75"/>
    <n v="6.75"/>
    <x v="2"/>
    <x v="2"/>
    <x v="0"/>
  </r>
  <r>
    <x v="21"/>
    <x v="20"/>
    <x v="20"/>
    <x v="2"/>
    <s v="72282-40594-RX"/>
    <s v="L-L-2.5"/>
    <n v="6"/>
    <x v="20"/>
    <s v=""/>
    <x v="0"/>
    <x v="3"/>
    <x v="0"/>
    <x v="3"/>
    <n v="36.454999999999998"/>
    <n v="218.73"/>
    <x v="3"/>
    <x v="0"/>
    <x v="1"/>
  </r>
  <r>
    <x v="22"/>
    <x v="21"/>
    <x v="21"/>
    <x v="1"/>
    <s v="62839-56723-CH"/>
    <s v="R-M-0.5"/>
    <n v="3"/>
    <x v="21"/>
    <s v=""/>
    <x v="0"/>
    <x v="1"/>
    <x v="2"/>
    <x v="0"/>
    <n v="5.97"/>
    <n v="17.91"/>
    <x v="1"/>
    <x v="2"/>
    <x v="0"/>
  </r>
  <r>
    <x v="23"/>
    <x v="22"/>
    <x v="22"/>
    <x v="1"/>
    <s v="67204-04870-LG"/>
    <s v="R-L-1"/>
    <n v="4"/>
    <x v="22"/>
    <s v=""/>
    <x v="0"/>
    <x v="1"/>
    <x v="0"/>
    <x v="2"/>
    <n v="11.95"/>
    <n v="47.8"/>
    <x v="1"/>
    <x v="0"/>
    <x v="1"/>
  </r>
  <r>
    <x v="24"/>
    <x v="23"/>
    <x v="23"/>
    <x v="2"/>
    <s v="02002-98725-CH"/>
    <s v="L-M-1"/>
    <n v="4"/>
    <x v="23"/>
    <s v="asnowding60@comsenz.com"/>
    <x v="0"/>
    <x v="3"/>
    <x v="2"/>
    <x v="2"/>
    <n v="14.55"/>
    <n v="58.2"/>
    <x v="3"/>
    <x v="2"/>
    <x v="0"/>
  </r>
  <r>
    <x v="25"/>
    <x v="24"/>
    <x v="24"/>
    <x v="0"/>
    <s v="55915-19477-MK"/>
    <s v="R-D-0.2"/>
    <n v="5"/>
    <x v="24"/>
    <s v=""/>
    <x v="0"/>
    <x v="1"/>
    <x v="1"/>
    <x v="1"/>
    <n v="2.6849999999999996"/>
    <n v="13.424999999999997"/>
    <x v="1"/>
    <x v="1"/>
    <x v="1"/>
  </r>
  <r>
    <x v="26"/>
    <x v="25"/>
    <x v="25"/>
    <x v="2"/>
    <s v="15395-90855-VB"/>
    <s v="L-M-0.2"/>
    <n v="5"/>
    <x v="25"/>
    <s v=""/>
    <x v="0"/>
    <x v="3"/>
    <x v="2"/>
    <x v="1"/>
    <n v="4.3650000000000002"/>
    <n v="21.825000000000003"/>
    <x v="3"/>
    <x v="2"/>
    <x v="0"/>
  </r>
  <r>
    <x v="27"/>
    <x v="26"/>
    <x v="26"/>
    <x v="2"/>
    <s v="82458-87830-JE"/>
    <s v="A-D-0.2"/>
    <n v="4"/>
    <x v="26"/>
    <s v="ahulburtgn@fda.gov"/>
    <x v="0"/>
    <x v="2"/>
    <x v="1"/>
    <x v="1"/>
    <n v="2.9849999999999999"/>
    <n v="11.94"/>
    <x v="2"/>
    <x v="1"/>
    <x v="0"/>
  </r>
  <r>
    <x v="28"/>
    <x v="27"/>
    <x v="27"/>
    <x v="0"/>
    <s v="89422-58281-FD"/>
    <s v="L-D-0.2"/>
    <n v="5"/>
    <x v="27"/>
    <s v="abaudino5b@netvibes.com"/>
    <x v="0"/>
    <x v="3"/>
    <x v="1"/>
    <x v="1"/>
    <n v="3.8849999999999998"/>
    <n v="19.424999999999997"/>
    <x v="3"/>
    <x v="1"/>
    <x v="0"/>
  </r>
  <r>
    <x v="29"/>
    <x v="28"/>
    <x v="28"/>
    <x v="3"/>
    <s v="27930-59250-JT"/>
    <s v="L-L-1"/>
    <n v="5"/>
    <x v="28"/>
    <s v=""/>
    <x v="0"/>
    <x v="3"/>
    <x v="0"/>
    <x v="2"/>
    <n v="15.85"/>
    <n v="79.25"/>
    <x v="3"/>
    <x v="0"/>
    <x v="1"/>
  </r>
  <r>
    <x v="30"/>
    <x v="29"/>
    <x v="29"/>
    <x v="1"/>
    <s v="27930-59250-JT"/>
    <s v="R-L-2.5"/>
    <n v="5"/>
    <x v="28"/>
    <s v=""/>
    <x v="0"/>
    <x v="1"/>
    <x v="0"/>
    <x v="3"/>
    <n v="27.484999999999996"/>
    <n v="137.42499999999998"/>
    <x v="1"/>
    <x v="0"/>
    <x v="1"/>
  </r>
  <r>
    <x v="31"/>
    <x v="30"/>
    <x v="30"/>
    <x v="0"/>
    <s v="27930-59250-JT"/>
    <s v="L-M-2.5"/>
    <n v="3"/>
    <x v="28"/>
    <s v=""/>
    <x v="0"/>
    <x v="3"/>
    <x v="2"/>
    <x v="3"/>
    <n v="33.464999999999996"/>
    <n v="100.39499999999998"/>
    <x v="3"/>
    <x v="2"/>
    <x v="1"/>
  </r>
  <r>
    <x v="32"/>
    <x v="16"/>
    <x v="16"/>
    <x v="2"/>
    <s v="29851-36402-UX"/>
    <s v="A-M-2.5"/>
    <n v="4"/>
    <x v="29"/>
    <s v="aburgetti5@moonfruit.com"/>
    <x v="0"/>
    <x v="2"/>
    <x v="2"/>
    <x v="3"/>
    <n v="25.874999999999996"/>
    <n v="103.49999999999999"/>
    <x v="2"/>
    <x v="2"/>
    <x v="1"/>
  </r>
  <r>
    <x v="33"/>
    <x v="31"/>
    <x v="31"/>
    <x v="0"/>
    <s v="17670-51384-MA"/>
    <s v="R-M-1"/>
    <n v="2"/>
    <x v="30"/>
    <s v="aallner0@lulu.com"/>
    <x v="0"/>
    <x v="1"/>
    <x v="2"/>
    <x v="2"/>
    <n v="9.9499999999999993"/>
    <n v="19.899999999999999"/>
    <x v="1"/>
    <x v="2"/>
    <x v="0"/>
  </r>
  <r>
    <x v="33"/>
    <x v="31"/>
    <x v="31"/>
    <x v="0"/>
    <s v="17670-51384-MA"/>
    <s v="E-M-0.5"/>
    <n v="5"/>
    <x v="30"/>
    <s v="aallner0@lulu.com"/>
    <x v="0"/>
    <x v="0"/>
    <x v="2"/>
    <x v="0"/>
    <n v="8.25"/>
    <n v="41.25"/>
    <x v="0"/>
    <x v="2"/>
    <x v="0"/>
  </r>
  <r>
    <x v="34"/>
    <x v="32"/>
    <x v="32"/>
    <x v="2"/>
    <s v="67388-17544-XX"/>
    <s v="E-D-0.2"/>
    <n v="4"/>
    <x v="31"/>
    <s v="aplluju@dagondesign.com"/>
    <x v="2"/>
    <x v="0"/>
    <x v="1"/>
    <x v="1"/>
    <n v="3.645"/>
    <n v="14.58"/>
    <x v="0"/>
    <x v="1"/>
    <x v="0"/>
  </r>
  <r>
    <x v="35"/>
    <x v="33"/>
    <x v="33"/>
    <x v="2"/>
    <s v="98921-82417-GN"/>
    <s v="R-D-1"/>
    <n v="2"/>
    <x v="32"/>
    <s v="adarthbt@t.co"/>
    <x v="0"/>
    <x v="1"/>
    <x v="1"/>
    <x v="2"/>
    <n v="8.9499999999999993"/>
    <n v="17.899999999999999"/>
    <x v="1"/>
    <x v="1"/>
    <x v="1"/>
  </r>
  <r>
    <x v="36"/>
    <x v="34"/>
    <x v="34"/>
    <x v="2"/>
    <s v="43452-18035-DH"/>
    <s v="L-M-0.2"/>
    <n v="2"/>
    <x v="33"/>
    <s v="afilipczaklh@ning.com"/>
    <x v="2"/>
    <x v="3"/>
    <x v="2"/>
    <x v="1"/>
    <n v="4.3650000000000002"/>
    <n v="8.73"/>
    <x v="3"/>
    <x v="2"/>
    <x v="1"/>
  </r>
  <r>
    <x v="37"/>
    <x v="35"/>
    <x v="35"/>
    <x v="1"/>
    <s v="42466-87067-DT"/>
    <s v="L-L-0.2"/>
    <n v="5"/>
    <x v="34"/>
    <s v="aelwincr@privacy.gov.au"/>
    <x v="0"/>
    <x v="3"/>
    <x v="0"/>
    <x v="1"/>
    <n v="4.7549999999999999"/>
    <n v="23.774999999999999"/>
    <x v="3"/>
    <x v="0"/>
    <x v="1"/>
  </r>
  <r>
    <x v="38"/>
    <x v="36"/>
    <x v="36"/>
    <x v="0"/>
    <s v="26295-44907-DK"/>
    <s v="L-D-1"/>
    <n v="1"/>
    <x v="35"/>
    <s v="aweinmannj8@shinystat.com"/>
    <x v="0"/>
    <x v="3"/>
    <x v="1"/>
    <x v="2"/>
    <n v="12.95"/>
    <n v="12.95"/>
    <x v="3"/>
    <x v="1"/>
    <x v="1"/>
  </r>
  <r>
    <x v="39"/>
    <x v="37"/>
    <x v="37"/>
    <x v="1"/>
    <s v="83737-56117-JE"/>
    <s v="R-L-1"/>
    <n v="5"/>
    <x v="36"/>
    <s v="asnazle9l@oracle.com"/>
    <x v="0"/>
    <x v="1"/>
    <x v="0"/>
    <x v="2"/>
    <n v="11.95"/>
    <n v="59.75"/>
    <x v="1"/>
    <x v="0"/>
    <x v="1"/>
  </r>
  <r>
    <x v="40"/>
    <x v="38"/>
    <x v="38"/>
    <x v="0"/>
    <s v="26103-41504-IB"/>
    <s v="A-L-0.5"/>
    <n v="5"/>
    <x v="37"/>
    <s v="aarnow28@arizona.edu"/>
    <x v="0"/>
    <x v="2"/>
    <x v="0"/>
    <x v="0"/>
    <n v="7.77"/>
    <n v="38.849999999999994"/>
    <x v="2"/>
    <x v="0"/>
    <x v="0"/>
  </r>
  <r>
    <x v="41"/>
    <x v="39"/>
    <x v="39"/>
    <x v="2"/>
    <s v="48582-05061-RY"/>
    <s v="R-D-0.2"/>
    <n v="4"/>
    <x v="38"/>
    <s v="agallyoney@engadget.com"/>
    <x v="0"/>
    <x v="1"/>
    <x v="1"/>
    <x v="1"/>
    <n v="2.6849999999999996"/>
    <n v="10.739999999999998"/>
    <x v="1"/>
    <x v="1"/>
    <x v="0"/>
  </r>
  <r>
    <x v="42"/>
    <x v="40"/>
    <x v="40"/>
    <x v="0"/>
    <s v="51466-52850-AG"/>
    <s v="R-D-0.5"/>
    <n v="1"/>
    <x v="39"/>
    <s v="achatto7v@sakura.ne.jp"/>
    <x v="1"/>
    <x v="1"/>
    <x v="1"/>
    <x v="0"/>
    <n v="5.3699999999999992"/>
    <n v="5.3699999999999992"/>
    <x v="1"/>
    <x v="1"/>
    <x v="0"/>
  </r>
  <r>
    <x v="43"/>
    <x v="41"/>
    <x v="41"/>
    <x v="1"/>
    <s v="90961-35603-RP"/>
    <s v="A-M-2.5"/>
    <n v="5"/>
    <x v="40"/>
    <s v="ahutchens6a@amazonaws.com"/>
    <x v="0"/>
    <x v="2"/>
    <x v="2"/>
    <x v="3"/>
    <n v="25.874999999999996"/>
    <n v="129.37499999999997"/>
    <x v="2"/>
    <x v="2"/>
    <x v="1"/>
  </r>
  <r>
    <x v="44"/>
    <x v="42"/>
    <x v="42"/>
    <x v="1"/>
    <s v="69761-61146-KD"/>
    <s v="L-M-0.2"/>
    <n v="6"/>
    <x v="41"/>
    <s v="afendtgx@forbes.com"/>
    <x v="0"/>
    <x v="3"/>
    <x v="2"/>
    <x v="1"/>
    <n v="4.3650000000000002"/>
    <n v="26.19"/>
    <x v="3"/>
    <x v="2"/>
    <x v="0"/>
  </r>
  <r>
    <x v="45"/>
    <x v="43"/>
    <x v="43"/>
    <x v="0"/>
    <s v="84761-40784-SV"/>
    <s v="L-L-2.5"/>
    <n v="1"/>
    <x v="42"/>
    <s v="arudramka@prnewswire.com"/>
    <x v="0"/>
    <x v="3"/>
    <x v="0"/>
    <x v="3"/>
    <n v="36.454999999999998"/>
    <n v="36.454999999999998"/>
    <x v="3"/>
    <x v="0"/>
    <x v="1"/>
  </r>
  <r>
    <x v="46"/>
    <x v="44"/>
    <x v="44"/>
    <x v="0"/>
    <s v="55989-39849-WO"/>
    <s v="L-D-0.5"/>
    <n v="3"/>
    <x v="43"/>
    <s v="ahavickat@nsw.gov.au"/>
    <x v="0"/>
    <x v="3"/>
    <x v="1"/>
    <x v="0"/>
    <n v="7.77"/>
    <n v="23.31"/>
    <x v="3"/>
    <x v="1"/>
    <x v="0"/>
  </r>
  <r>
    <x v="47"/>
    <x v="45"/>
    <x v="45"/>
    <x v="0"/>
    <s v="24040-20817-QB"/>
    <s v="R-M-1"/>
    <n v="4"/>
    <x v="44"/>
    <s v="acleyburngy@lycos.com"/>
    <x v="0"/>
    <x v="1"/>
    <x v="2"/>
    <x v="2"/>
    <n v="9.9499999999999993"/>
    <n v="39.799999999999997"/>
    <x v="1"/>
    <x v="2"/>
    <x v="1"/>
  </r>
  <r>
    <x v="48"/>
    <x v="46"/>
    <x v="46"/>
    <x v="3"/>
    <s v="14204-14186-LA"/>
    <s v="R-D-2.5"/>
    <n v="4"/>
    <x v="45"/>
    <s v="acockrem1t@engadget.com"/>
    <x v="0"/>
    <x v="1"/>
    <x v="1"/>
    <x v="3"/>
    <n v="20.584999999999997"/>
    <n v="82.339999999999989"/>
    <x v="1"/>
    <x v="1"/>
    <x v="0"/>
  </r>
  <r>
    <x v="49"/>
    <x v="47"/>
    <x v="47"/>
    <x v="0"/>
    <s v="19821-05175-WZ"/>
    <s v="E-D-0.5"/>
    <n v="5"/>
    <x v="46"/>
    <s v="arizzetti55@naver.com"/>
    <x v="0"/>
    <x v="0"/>
    <x v="1"/>
    <x v="0"/>
    <n v="7.29"/>
    <n v="36.450000000000003"/>
    <x v="0"/>
    <x v="1"/>
    <x v="0"/>
  </r>
  <r>
    <x v="50"/>
    <x v="48"/>
    <x v="48"/>
    <x v="2"/>
    <s v="47355-97488-XS"/>
    <s v="A-M-1"/>
    <n v="5"/>
    <x v="47"/>
    <s v="agoldieiw@goo.gl"/>
    <x v="0"/>
    <x v="2"/>
    <x v="2"/>
    <x v="2"/>
    <n v="11.25"/>
    <n v="56.25"/>
    <x v="2"/>
    <x v="2"/>
    <x v="1"/>
  </r>
  <r>
    <x v="51"/>
    <x v="49"/>
    <x v="49"/>
    <x v="2"/>
    <s v="37651-47492-NC"/>
    <s v="R-M-2.5"/>
    <n v="4"/>
    <x v="48"/>
    <s v="aantukm@kickstarter.com"/>
    <x v="0"/>
    <x v="1"/>
    <x v="2"/>
    <x v="3"/>
    <n v="22.884999999999998"/>
    <n v="91.539999999999992"/>
    <x v="1"/>
    <x v="2"/>
    <x v="0"/>
  </r>
  <r>
    <x v="52"/>
    <x v="50"/>
    <x v="50"/>
    <x v="3"/>
    <s v="93047-98331-DD"/>
    <s v="L-M-0.5"/>
    <n v="1"/>
    <x v="49"/>
    <s v="adanzeybn@github.com"/>
    <x v="0"/>
    <x v="3"/>
    <x v="2"/>
    <x v="0"/>
    <n v="8.73"/>
    <n v="8.73"/>
    <x v="3"/>
    <x v="2"/>
    <x v="0"/>
  </r>
  <r>
    <x v="53"/>
    <x v="29"/>
    <x v="29"/>
    <x v="1"/>
    <s v="69904-02729-YS"/>
    <s v="A-M-0.5"/>
    <n v="1"/>
    <x v="50"/>
    <s v="adykes1r@eventbrite.com"/>
    <x v="0"/>
    <x v="2"/>
    <x v="2"/>
    <x v="0"/>
    <n v="6.75"/>
    <n v="6.75"/>
    <x v="2"/>
    <x v="2"/>
    <x v="1"/>
  </r>
  <r>
    <x v="54"/>
    <x v="51"/>
    <x v="51"/>
    <x v="1"/>
    <s v="72028-63343-SU"/>
    <s v="L-D-2.5"/>
    <n v="4"/>
    <x v="51"/>
    <s v="abrentnallcw@biglobe.ne.jp"/>
    <x v="1"/>
    <x v="3"/>
    <x v="1"/>
    <x v="3"/>
    <n v="29.784999999999997"/>
    <n v="119.13999999999999"/>
    <x v="3"/>
    <x v="1"/>
    <x v="1"/>
  </r>
  <r>
    <x v="55"/>
    <x v="52"/>
    <x v="52"/>
    <x v="2"/>
    <s v="40414-26467-VE"/>
    <s v="A-M-0.2"/>
    <n v="6"/>
    <x v="52"/>
    <s v="acampsallid@zimbio.com"/>
    <x v="0"/>
    <x v="2"/>
    <x v="2"/>
    <x v="1"/>
    <n v="3.375"/>
    <n v="20.25"/>
    <x v="2"/>
    <x v="2"/>
    <x v="0"/>
  </r>
  <r>
    <x v="56"/>
    <x v="53"/>
    <x v="53"/>
    <x v="2"/>
    <s v="85851-78384-DM"/>
    <s v="R-D-0.5"/>
    <n v="6"/>
    <x v="53"/>
    <s v="amundford52@nbcnews.com"/>
    <x v="0"/>
    <x v="1"/>
    <x v="1"/>
    <x v="0"/>
    <n v="5.3699999999999992"/>
    <n v="32.22"/>
    <x v="1"/>
    <x v="1"/>
    <x v="1"/>
  </r>
  <r>
    <x v="57"/>
    <x v="54"/>
    <x v="54"/>
    <x v="0"/>
    <s v="01035-70465-UO"/>
    <s v="A-D-1"/>
    <n v="2"/>
    <x v="54"/>
    <s v="aattwater5u@wikia.com"/>
    <x v="0"/>
    <x v="2"/>
    <x v="1"/>
    <x v="2"/>
    <n v="9.9499999999999993"/>
    <n v="19.899999999999999"/>
    <x v="2"/>
    <x v="1"/>
    <x v="0"/>
  </r>
  <r>
    <x v="58"/>
    <x v="55"/>
    <x v="55"/>
    <x v="0"/>
    <s v="01035-70465-UO"/>
    <s v="L-D-1"/>
    <n v="4"/>
    <x v="54"/>
    <s v="aattwater5u@wikia.com"/>
    <x v="0"/>
    <x v="3"/>
    <x v="1"/>
    <x v="2"/>
    <n v="12.95"/>
    <n v="51.8"/>
    <x v="3"/>
    <x v="1"/>
    <x v="0"/>
  </r>
  <r>
    <x v="59"/>
    <x v="56"/>
    <x v="56"/>
    <x v="2"/>
    <s v="60973-72562-DQ"/>
    <s v="E-L-1"/>
    <n v="6"/>
    <x v="55"/>
    <s v="aiddisonaw@usa.gov"/>
    <x v="0"/>
    <x v="0"/>
    <x v="0"/>
    <x v="2"/>
    <n v="14.85"/>
    <n v="89.1"/>
    <x v="0"/>
    <x v="0"/>
    <x v="1"/>
  </r>
  <r>
    <x v="59"/>
    <x v="56"/>
    <x v="56"/>
    <x v="2"/>
    <s v="60973-72562-DQ"/>
    <s v="A-L-0.2"/>
    <n v="1"/>
    <x v="55"/>
    <s v="aiddisonaw@usa.gov"/>
    <x v="0"/>
    <x v="2"/>
    <x v="0"/>
    <x v="1"/>
    <n v="3.8849999999999998"/>
    <n v="3.8849999999999998"/>
    <x v="2"/>
    <x v="0"/>
    <x v="1"/>
  </r>
  <r>
    <x v="60"/>
    <x v="57"/>
    <x v="57"/>
    <x v="2"/>
    <s v="49888-39458-PF"/>
    <s v="R-D-0.2"/>
    <n v="2"/>
    <x v="56"/>
    <s v="aharroldch@miibeian.gov.cn"/>
    <x v="0"/>
    <x v="1"/>
    <x v="1"/>
    <x v="1"/>
    <n v="2.6849999999999996"/>
    <n v="5.3699999999999992"/>
    <x v="1"/>
    <x v="1"/>
    <x v="1"/>
  </r>
  <r>
    <x v="61"/>
    <x v="58"/>
    <x v="58"/>
    <x v="3"/>
    <s v="67953-79896-AC"/>
    <s v="A-M-1"/>
    <n v="4"/>
    <x v="57"/>
    <s v="alewrype@whitehouse.gov"/>
    <x v="0"/>
    <x v="2"/>
    <x v="2"/>
    <x v="2"/>
    <n v="11.25"/>
    <n v="45"/>
    <x v="2"/>
    <x v="2"/>
    <x v="1"/>
  </r>
  <r>
    <x v="62"/>
    <x v="59"/>
    <x v="59"/>
    <x v="3"/>
    <s v="53120-45532-KL"/>
    <s v="R-L-1"/>
    <n v="5"/>
    <x v="58"/>
    <s v=""/>
    <x v="2"/>
    <x v="1"/>
    <x v="0"/>
    <x v="2"/>
    <n v="11.95"/>
    <n v="59.75"/>
    <x v="1"/>
    <x v="0"/>
    <x v="0"/>
  </r>
  <r>
    <x v="63"/>
    <x v="60"/>
    <x v="60"/>
    <x v="0"/>
    <s v="62246-99443-HF"/>
    <s v="R-D-0.5"/>
    <n v="3"/>
    <x v="59"/>
    <s v="abilbrookcs@booking.com"/>
    <x v="2"/>
    <x v="1"/>
    <x v="1"/>
    <x v="0"/>
    <n v="5.3699999999999992"/>
    <n v="16.11"/>
    <x v="1"/>
    <x v="1"/>
    <x v="0"/>
  </r>
  <r>
    <x v="64"/>
    <x v="61"/>
    <x v="61"/>
    <x v="2"/>
    <s v="22107-86640-SB"/>
    <s v="L-M-1"/>
    <n v="5"/>
    <x v="60"/>
    <s v="agillard1i@issuu.com"/>
    <x v="0"/>
    <x v="3"/>
    <x v="2"/>
    <x v="2"/>
    <n v="14.55"/>
    <n v="72.75"/>
    <x v="3"/>
    <x v="2"/>
    <x v="1"/>
  </r>
  <r>
    <x v="65"/>
    <x v="62"/>
    <x v="62"/>
    <x v="0"/>
    <s v="36078-91009-WU"/>
    <s v="A-L-0.2"/>
    <n v="2"/>
    <x v="61"/>
    <s v="acurley1b@hao123.com"/>
    <x v="0"/>
    <x v="2"/>
    <x v="0"/>
    <x v="1"/>
    <n v="3.8849999999999998"/>
    <n v="7.77"/>
    <x v="2"/>
    <x v="0"/>
    <x v="0"/>
  </r>
  <r>
    <x v="66"/>
    <x v="63"/>
    <x v="63"/>
    <x v="2"/>
    <s v="45666-86771-EH"/>
    <s v="L-L-0.5"/>
    <n v="3"/>
    <x v="62"/>
    <s v="achillhz@epa.gov"/>
    <x v="1"/>
    <x v="3"/>
    <x v="0"/>
    <x v="0"/>
    <n v="9.51"/>
    <n v="28.53"/>
    <x v="3"/>
    <x v="0"/>
    <x v="0"/>
  </r>
  <r>
    <x v="67"/>
    <x v="64"/>
    <x v="64"/>
    <x v="3"/>
    <s v="33011-52383-BA"/>
    <s v="A-L-1"/>
    <n v="3"/>
    <x v="63"/>
    <s v="ade8c@1und1.de"/>
    <x v="0"/>
    <x v="2"/>
    <x v="0"/>
    <x v="2"/>
    <n v="12.95"/>
    <n v="38.849999999999994"/>
    <x v="2"/>
    <x v="0"/>
    <x v="0"/>
  </r>
  <r>
    <x v="68"/>
    <x v="65"/>
    <x v="65"/>
    <x v="1"/>
    <s v="91654-79216-IC"/>
    <s v="E-L-0.5"/>
    <n v="5"/>
    <x v="64"/>
    <s v="aferreal4@wikia.com"/>
    <x v="0"/>
    <x v="0"/>
    <x v="0"/>
    <x v="0"/>
    <n v="8.91"/>
    <n v="44.55"/>
    <x v="0"/>
    <x v="0"/>
    <x v="1"/>
  </r>
  <r>
    <x v="69"/>
    <x v="66"/>
    <x v="66"/>
    <x v="1"/>
    <s v="37177-68797-ON"/>
    <s v="R-M-0.5"/>
    <n v="3"/>
    <x v="65"/>
    <s v="abraidmancf@census.gov"/>
    <x v="0"/>
    <x v="1"/>
    <x v="2"/>
    <x v="0"/>
    <n v="5.97"/>
    <n v="17.91"/>
    <x v="1"/>
    <x v="2"/>
    <x v="1"/>
  </r>
  <r>
    <x v="70"/>
    <x v="67"/>
    <x v="67"/>
    <x v="0"/>
    <s v="29814-01459-RC"/>
    <s v="R-L-0.5"/>
    <n v="6"/>
    <x v="66"/>
    <s v="atomaszewskiaj@answers.com"/>
    <x v="1"/>
    <x v="1"/>
    <x v="0"/>
    <x v="0"/>
    <n v="7.169999999999999"/>
    <n v="43.019999999999996"/>
    <x v="1"/>
    <x v="0"/>
    <x v="0"/>
  </r>
  <r>
    <x v="71"/>
    <x v="68"/>
    <x v="68"/>
    <x v="3"/>
    <s v="28728-47861-TZ"/>
    <s v="E-L-0.2"/>
    <n v="1"/>
    <x v="67"/>
    <s v="akitchingham58@com.com"/>
    <x v="0"/>
    <x v="0"/>
    <x v="0"/>
    <x v="1"/>
    <n v="4.4550000000000001"/>
    <n v="4.4550000000000001"/>
    <x v="0"/>
    <x v="0"/>
    <x v="0"/>
  </r>
  <r>
    <x v="72"/>
    <x v="69"/>
    <x v="69"/>
    <x v="1"/>
    <s v="13366-78506-KP"/>
    <s v="L-M-0.2"/>
    <n v="3"/>
    <x v="68"/>
    <s v=""/>
    <x v="0"/>
    <x v="3"/>
    <x v="2"/>
    <x v="1"/>
    <n v="4.3650000000000002"/>
    <n v="13.095000000000001"/>
    <x v="3"/>
    <x v="2"/>
    <x v="0"/>
  </r>
  <r>
    <x v="73"/>
    <x v="70"/>
    <x v="70"/>
    <x v="2"/>
    <s v="90940-63327-DJ"/>
    <s v="A-M-0.2"/>
    <n v="6"/>
    <x v="69"/>
    <s v="akelstonfq@sakura.ne.jp"/>
    <x v="0"/>
    <x v="2"/>
    <x v="2"/>
    <x v="1"/>
    <n v="3.375"/>
    <n v="20.25"/>
    <x v="2"/>
    <x v="2"/>
    <x v="0"/>
  </r>
  <r>
    <x v="74"/>
    <x v="71"/>
    <x v="71"/>
    <x v="2"/>
    <s v="16046-34805-ZF"/>
    <s v="E-M-1"/>
    <n v="5"/>
    <x v="70"/>
    <s v="arizonba@xing.com"/>
    <x v="0"/>
    <x v="0"/>
    <x v="2"/>
    <x v="2"/>
    <n v="13.75"/>
    <n v="68.75"/>
    <x v="0"/>
    <x v="2"/>
    <x v="0"/>
  </r>
  <r>
    <x v="75"/>
    <x v="72"/>
    <x v="72"/>
    <x v="3"/>
    <s v="68605-21835-UF"/>
    <s v="A-L-0.5"/>
    <n v="6"/>
    <x v="71"/>
    <s v="awaterhouseq7@istockphoto.com"/>
    <x v="0"/>
    <x v="2"/>
    <x v="0"/>
    <x v="0"/>
    <n v="7.77"/>
    <n v="46.62"/>
    <x v="2"/>
    <x v="0"/>
    <x v="1"/>
  </r>
  <r>
    <x v="76"/>
    <x v="73"/>
    <x v="73"/>
    <x v="1"/>
    <s v="76664-37050-DT"/>
    <s v="A-M-0.2"/>
    <n v="5"/>
    <x v="72"/>
    <s v="acorradinoj@harvard.edu"/>
    <x v="0"/>
    <x v="2"/>
    <x v="2"/>
    <x v="1"/>
    <n v="3.375"/>
    <n v="16.875"/>
    <x v="2"/>
    <x v="2"/>
    <x v="0"/>
  </r>
  <r>
    <x v="76"/>
    <x v="73"/>
    <x v="73"/>
    <x v="1"/>
    <s v="76664-37050-DT"/>
    <s v="E-D-0.2"/>
    <n v="4"/>
    <x v="72"/>
    <s v="acorradinoj@harvard.edu"/>
    <x v="0"/>
    <x v="0"/>
    <x v="1"/>
    <x v="1"/>
    <n v="3.645"/>
    <n v="14.58"/>
    <x v="0"/>
    <x v="1"/>
    <x v="0"/>
  </r>
  <r>
    <x v="77"/>
    <x v="74"/>
    <x v="74"/>
    <x v="0"/>
    <s v="70089-27418-UJ"/>
    <s v="R-L-2.5"/>
    <n v="4"/>
    <x v="73"/>
    <s v="aburgwingp@redcross.org"/>
    <x v="0"/>
    <x v="1"/>
    <x v="0"/>
    <x v="3"/>
    <n v="27.484999999999996"/>
    <n v="109.93999999999998"/>
    <x v="1"/>
    <x v="0"/>
    <x v="0"/>
  </r>
  <r>
    <x v="78"/>
    <x v="75"/>
    <x v="75"/>
    <x v="1"/>
    <s v="76005-95461-CI"/>
    <s v="A-M-2.5"/>
    <n v="3"/>
    <x v="74"/>
    <s v=""/>
    <x v="0"/>
    <x v="2"/>
    <x v="2"/>
    <x v="3"/>
    <n v="25.874999999999996"/>
    <n v="77.624999999999986"/>
    <x v="2"/>
    <x v="2"/>
    <x v="1"/>
  </r>
  <r>
    <x v="79"/>
    <x v="73"/>
    <x v="73"/>
    <x v="1"/>
    <s v="03090-88267-BQ"/>
    <s v="A-D-0.2"/>
    <n v="6"/>
    <x v="75"/>
    <s v="adavidowskyl@netvibes.com"/>
    <x v="0"/>
    <x v="2"/>
    <x v="1"/>
    <x v="1"/>
    <n v="2.9849999999999999"/>
    <n v="17.91"/>
    <x v="2"/>
    <x v="1"/>
    <x v="1"/>
  </r>
  <r>
    <x v="80"/>
    <x v="76"/>
    <x v="76"/>
    <x v="3"/>
    <s v="28121-11641-UA"/>
    <s v="E-D-0.2"/>
    <n v="6"/>
    <x v="76"/>
    <s v="bpollinskf@shinystat.com"/>
    <x v="0"/>
    <x v="0"/>
    <x v="1"/>
    <x v="1"/>
    <n v="3.645"/>
    <n v="21.87"/>
    <x v="0"/>
    <x v="1"/>
    <x v="1"/>
  </r>
  <r>
    <x v="81"/>
    <x v="77"/>
    <x v="77"/>
    <x v="2"/>
    <s v="10204-31464-SA"/>
    <s v="L-D-0.5"/>
    <n v="1"/>
    <x v="77"/>
    <s v="bogb@elpais.com"/>
    <x v="0"/>
    <x v="3"/>
    <x v="1"/>
    <x v="0"/>
    <n v="7.77"/>
    <n v="7.77"/>
    <x v="3"/>
    <x v="1"/>
    <x v="0"/>
  </r>
  <r>
    <x v="82"/>
    <x v="78"/>
    <x v="78"/>
    <x v="1"/>
    <s v="53667-91553-LT"/>
    <s v="E-M-1"/>
    <n v="4"/>
    <x v="78"/>
    <s v="bsillispw@istockphoto.com"/>
    <x v="0"/>
    <x v="0"/>
    <x v="2"/>
    <x v="2"/>
    <n v="13.75"/>
    <n v="55"/>
    <x v="0"/>
    <x v="2"/>
    <x v="1"/>
  </r>
  <r>
    <x v="83"/>
    <x v="79"/>
    <x v="79"/>
    <x v="0"/>
    <s v="49084-44492-OJ"/>
    <s v="E-D-0.5"/>
    <n v="1"/>
    <x v="79"/>
    <s v=""/>
    <x v="2"/>
    <x v="0"/>
    <x v="1"/>
    <x v="0"/>
    <n v="7.29"/>
    <n v="7.29"/>
    <x v="0"/>
    <x v="1"/>
    <x v="0"/>
  </r>
  <r>
    <x v="84"/>
    <x v="80"/>
    <x v="80"/>
    <x v="0"/>
    <s v="75443-07820-DZ"/>
    <s v="L-L-0.5"/>
    <n v="2"/>
    <x v="80"/>
    <s v="bguddejg@dailymotion.com"/>
    <x v="0"/>
    <x v="3"/>
    <x v="0"/>
    <x v="0"/>
    <n v="9.51"/>
    <n v="19.02"/>
    <x v="3"/>
    <x v="0"/>
    <x v="1"/>
  </r>
  <r>
    <x v="85"/>
    <x v="81"/>
    <x v="81"/>
    <x v="2"/>
    <s v="19820-29285-FD"/>
    <s v="E-M-0.2"/>
    <n v="3"/>
    <x v="81"/>
    <s v="bfallowesjm@purevolume.com"/>
    <x v="0"/>
    <x v="0"/>
    <x v="2"/>
    <x v="1"/>
    <n v="4.125"/>
    <n v="12.375"/>
    <x v="0"/>
    <x v="2"/>
    <x v="1"/>
  </r>
  <r>
    <x v="86"/>
    <x v="82"/>
    <x v="82"/>
    <x v="2"/>
    <s v="51432-27169-KN"/>
    <s v="E-D-0.5"/>
    <n v="3"/>
    <x v="82"/>
    <s v="bflaherty4s@moonfruit.com"/>
    <x v="2"/>
    <x v="0"/>
    <x v="1"/>
    <x v="0"/>
    <n v="7.29"/>
    <n v="21.87"/>
    <x v="0"/>
    <x v="1"/>
    <x v="1"/>
  </r>
  <r>
    <x v="87"/>
    <x v="83"/>
    <x v="83"/>
    <x v="0"/>
    <s v="97655-45555-LI"/>
    <s v="R-D-1"/>
    <n v="5"/>
    <x v="83"/>
    <s v="balldridge93@yandex.ru"/>
    <x v="0"/>
    <x v="1"/>
    <x v="1"/>
    <x v="2"/>
    <n v="8.9499999999999993"/>
    <n v="44.75"/>
    <x v="1"/>
    <x v="1"/>
    <x v="0"/>
  </r>
  <r>
    <x v="88"/>
    <x v="84"/>
    <x v="84"/>
    <x v="2"/>
    <s v="76060-30540-LB"/>
    <s v="R-D-0.5"/>
    <n v="6"/>
    <x v="84"/>
    <s v="bcargenow@geocities.jp"/>
    <x v="0"/>
    <x v="1"/>
    <x v="1"/>
    <x v="0"/>
    <n v="5.3699999999999992"/>
    <n v="32.22"/>
    <x v="1"/>
    <x v="1"/>
    <x v="0"/>
  </r>
  <r>
    <x v="89"/>
    <x v="85"/>
    <x v="85"/>
    <x v="0"/>
    <s v="84074-28110-OV"/>
    <s v="L-D-0.5"/>
    <n v="2"/>
    <x v="85"/>
    <s v="bwellanmp@cafepress.com"/>
    <x v="0"/>
    <x v="3"/>
    <x v="1"/>
    <x v="0"/>
    <n v="7.77"/>
    <n v="15.54"/>
    <x v="3"/>
    <x v="1"/>
    <x v="1"/>
  </r>
  <r>
    <x v="90"/>
    <x v="86"/>
    <x v="86"/>
    <x v="2"/>
    <s v="37762-09530-MP"/>
    <s v="L-D-2.5"/>
    <n v="4"/>
    <x v="86"/>
    <s v="bgaishno@altervista.org"/>
    <x v="0"/>
    <x v="3"/>
    <x v="1"/>
    <x v="3"/>
    <n v="29.784999999999997"/>
    <n v="119.13999999999999"/>
    <x v="3"/>
    <x v="1"/>
    <x v="0"/>
  </r>
  <r>
    <x v="91"/>
    <x v="87"/>
    <x v="87"/>
    <x v="0"/>
    <s v="09667-09231-YM"/>
    <s v="E-L-0.5"/>
    <n v="6"/>
    <x v="87"/>
    <s v="bwardellqu@adobe.com"/>
    <x v="0"/>
    <x v="0"/>
    <x v="0"/>
    <x v="0"/>
    <n v="8.91"/>
    <n v="53.46"/>
    <x v="0"/>
    <x v="0"/>
    <x v="0"/>
  </r>
  <r>
    <x v="92"/>
    <x v="88"/>
    <x v="88"/>
    <x v="0"/>
    <s v="90123-01967-KS"/>
    <s v="R-L-1"/>
    <n v="6"/>
    <x v="88"/>
    <s v=""/>
    <x v="0"/>
    <x v="1"/>
    <x v="0"/>
    <x v="2"/>
    <n v="11.95"/>
    <n v="71.699999999999989"/>
    <x v="1"/>
    <x v="0"/>
    <x v="1"/>
  </r>
  <r>
    <x v="93"/>
    <x v="89"/>
    <x v="89"/>
    <x v="1"/>
    <s v="13736-92418-JS"/>
    <s v="R-M-0.2"/>
    <n v="5"/>
    <x v="89"/>
    <s v="bsemkinsdk@unc.edu"/>
    <x v="2"/>
    <x v="1"/>
    <x v="2"/>
    <x v="1"/>
    <n v="2.9849999999999999"/>
    <n v="14.924999999999999"/>
    <x v="1"/>
    <x v="2"/>
    <x v="0"/>
  </r>
  <r>
    <x v="94"/>
    <x v="90"/>
    <x v="90"/>
    <x v="3"/>
    <s v="53893-01719-CL"/>
    <s v="A-L-2.5"/>
    <n v="1"/>
    <x v="90"/>
    <s v="bfattorinio3@quantcast.com"/>
    <x v="2"/>
    <x v="2"/>
    <x v="0"/>
    <x v="3"/>
    <n v="29.784999999999997"/>
    <n v="29.784999999999997"/>
    <x v="2"/>
    <x v="0"/>
    <x v="0"/>
  </r>
  <r>
    <x v="95"/>
    <x v="91"/>
    <x v="91"/>
    <x v="2"/>
    <s v="81431-12577-VD"/>
    <s v="A-M-1"/>
    <n v="3"/>
    <x v="91"/>
    <s v="bkeaveney2f@netlog.com"/>
    <x v="0"/>
    <x v="2"/>
    <x v="2"/>
    <x v="2"/>
    <n v="11.25"/>
    <n v="33.75"/>
    <x v="2"/>
    <x v="2"/>
    <x v="1"/>
  </r>
  <r>
    <x v="96"/>
    <x v="92"/>
    <x v="92"/>
    <x v="2"/>
    <s v="89115-11966-VF"/>
    <s v="R-L-0.2"/>
    <n v="5"/>
    <x v="92"/>
    <s v="bmathon6c@barnesandnoble.com"/>
    <x v="0"/>
    <x v="1"/>
    <x v="0"/>
    <x v="1"/>
    <n v="3.5849999999999995"/>
    <n v="17.924999999999997"/>
    <x v="1"/>
    <x v="0"/>
    <x v="1"/>
  </r>
  <r>
    <x v="97"/>
    <x v="93"/>
    <x v="93"/>
    <x v="3"/>
    <s v="32948-34398-HC"/>
    <s v="R-L-0.5"/>
    <n v="1"/>
    <x v="93"/>
    <s v="bumpleby1u@soundcloud.com"/>
    <x v="0"/>
    <x v="1"/>
    <x v="0"/>
    <x v="0"/>
    <n v="7.169999999999999"/>
    <n v="7.169999999999999"/>
    <x v="1"/>
    <x v="0"/>
    <x v="0"/>
  </r>
  <r>
    <x v="98"/>
    <x v="94"/>
    <x v="94"/>
    <x v="2"/>
    <s v="11812-00461-KH"/>
    <s v="L-L-0.2"/>
    <n v="2"/>
    <x v="94"/>
    <s v="bgozzettb7@github.com"/>
    <x v="0"/>
    <x v="3"/>
    <x v="0"/>
    <x v="1"/>
    <n v="4.7549999999999999"/>
    <n v="9.51"/>
    <x v="3"/>
    <x v="0"/>
    <x v="1"/>
  </r>
  <r>
    <x v="99"/>
    <x v="95"/>
    <x v="95"/>
    <x v="1"/>
    <s v="60378-26473-FE"/>
    <s v="E-M-2.5"/>
    <n v="1"/>
    <x v="95"/>
    <s v="bpaumierhp@umn.edu"/>
    <x v="2"/>
    <x v="0"/>
    <x v="2"/>
    <x v="3"/>
    <n v="31.624999999999996"/>
    <n v="31.624999999999996"/>
    <x v="0"/>
    <x v="2"/>
    <x v="0"/>
  </r>
  <r>
    <x v="100"/>
    <x v="96"/>
    <x v="96"/>
    <x v="0"/>
    <s v="22349-47389-GY"/>
    <s v="L-M-0.2"/>
    <n v="5"/>
    <x v="96"/>
    <s v="bchecci8h@usa.gov"/>
    <x v="1"/>
    <x v="3"/>
    <x v="2"/>
    <x v="1"/>
    <n v="4.3650000000000002"/>
    <n v="21.825000000000003"/>
    <x v="3"/>
    <x v="2"/>
    <x v="1"/>
  </r>
  <r>
    <x v="101"/>
    <x v="97"/>
    <x v="97"/>
    <x v="1"/>
    <s v="67743-54817-UT"/>
    <s v="L-M-0.5"/>
    <n v="2"/>
    <x v="97"/>
    <s v="bimriep3@addtoany.com"/>
    <x v="0"/>
    <x v="3"/>
    <x v="2"/>
    <x v="0"/>
    <n v="8.73"/>
    <n v="17.46"/>
    <x v="3"/>
    <x v="2"/>
    <x v="1"/>
  </r>
  <r>
    <x v="102"/>
    <x v="98"/>
    <x v="98"/>
    <x v="0"/>
    <s v="73799-04749-BM"/>
    <s v="L-M-2.5"/>
    <n v="4"/>
    <x v="98"/>
    <s v="bbyrdha@4shared.com"/>
    <x v="0"/>
    <x v="3"/>
    <x v="2"/>
    <x v="3"/>
    <n v="33.464999999999996"/>
    <n v="133.85999999999999"/>
    <x v="3"/>
    <x v="2"/>
    <x v="1"/>
  </r>
  <r>
    <x v="103"/>
    <x v="99"/>
    <x v="99"/>
    <x v="1"/>
    <s v="66240-46962-IO"/>
    <s v="L-D-2.5"/>
    <n v="1"/>
    <x v="99"/>
    <s v="bbeelbyej@rediff.com"/>
    <x v="2"/>
    <x v="3"/>
    <x v="1"/>
    <x v="3"/>
    <n v="29.784999999999997"/>
    <n v="29.784999999999997"/>
    <x v="3"/>
    <x v="1"/>
    <x v="1"/>
  </r>
  <r>
    <x v="104"/>
    <x v="100"/>
    <x v="100"/>
    <x v="2"/>
    <s v="98918-34330-GY"/>
    <s v="E-M-1"/>
    <n v="6"/>
    <x v="100"/>
    <s v=""/>
    <x v="0"/>
    <x v="0"/>
    <x v="2"/>
    <x v="2"/>
    <n v="13.75"/>
    <n v="82.5"/>
    <x v="0"/>
    <x v="2"/>
    <x v="0"/>
  </r>
  <r>
    <x v="105"/>
    <x v="101"/>
    <x v="101"/>
    <x v="2"/>
    <s v="86561-91660-RB"/>
    <s v="L-D-1"/>
    <n v="3"/>
    <x v="101"/>
    <s v=""/>
    <x v="0"/>
    <x v="3"/>
    <x v="1"/>
    <x v="2"/>
    <n v="12.95"/>
    <n v="38.849999999999994"/>
    <x v="3"/>
    <x v="1"/>
    <x v="1"/>
  </r>
  <r>
    <x v="106"/>
    <x v="102"/>
    <x v="102"/>
    <x v="2"/>
    <s v="89208-74646-UK"/>
    <s v="E-M-0.2"/>
    <n v="5"/>
    <x v="102"/>
    <s v="bkenwell6h@over-blog.com"/>
    <x v="0"/>
    <x v="0"/>
    <x v="2"/>
    <x v="1"/>
    <n v="4.125"/>
    <n v="20.625"/>
    <x v="0"/>
    <x v="2"/>
    <x v="1"/>
  </r>
  <r>
    <x v="107"/>
    <x v="103"/>
    <x v="103"/>
    <x v="2"/>
    <s v="73647-66148-VM"/>
    <s v="E-L-0.2"/>
    <n v="3"/>
    <x v="103"/>
    <s v="bmundenf8@elpais.com"/>
    <x v="0"/>
    <x v="0"/>
    <x v="0"/>
    <x v="1"/>
    <n v="4.4550000000000001"/>
    <n v="13.365"/>
    <x v="0"/>
    <x v="0"/>
    <x v="0"/>
  </r>
  <r>
    <x v="108"/>
    <x v="104"/>
    <x v="104"/>
    <x v="1"/>
    <s v="14398-43114-RV"/>
    <s v="A-M-0.2"/>
    <n v="4"/>
    <x v="104"/>
    <s v=""/>
    <x v="2"/>
    <x v="2"/>
    <x v="2"/>
    <x v="1"/>
    <n v="3.375"/>
    <n v="13.5"/>
    <x v="2"/>
    <x v="2"/>
    <x v="1"/>
  </r>
  <r>
    <x v="109"/>
    <x v="105"/>
    <x v="105"/>
    <x v="2"/>
    <s v="23779-10274-KN"/>
    <s v="R-M-2.5"/>
    <n v="3"/>
    <x v="105"/>
    <s v="bleffek48@ning.com"/>
    <x v="0"/>
    <x v="1"/>
    <x v="2"/>
    <x v="3"/>
    <n v="22.884999999999998"/>
    <n v="68.655000000000001"/>
    <x v="1"/>
    <x v="2"/>
    <x v="0"/>
  </r>
  <r>
    <x v="110"/>
    <x v="106"/>
    <x v="106"/>
    <x v="0"/>
    <s v="92926-08470-YS"/>
    <s v="R-D-0.5"/>
    <n v="5"/>
    <x v="106"/>
    <s v="bfominov33@yale.edu"/>
    <x v="0"/>
    <x v="1"/>
    <x v="1"/>
    <x v="0"/>
    <n v="5.3699999999999992"/>
    <n v="26.849999999999994"/>
    <x v="1"/>
    <x v="1"/>
    <x v="1"/>
  </r>
  <r>
    <x v="111"/>
    <x v="107"/>
    <x v="107"/>
    <x v="3"/>
    <s v="47493-68564-YM"/>
    <s v="A-L-2.5"/>
    <n v="5"/>
    <x v="107"/>
    <s v=""/>
    <x v="2"/>
    <x v="2"/>
    <x v="0"/>
    <x v="3"/>
    <n v="29.784999999999997"/>
    <n v="148.92499999999998"/>
    <x v="2"/>
    <x v="0"/>
    <x v="0"/>
  </r>
  <r>
    <x v="112"/>
    <x v="108"/>
    <x v="108"/>
    <x v="3"/>
    <s v="90816-65619-LM"/>
    <s v="E-D-2.5"/>
    <n v="2"/>
    <x v="108"/>
    <s v=""/>
    <x v="0"/>
    <x v="0"/>
    <x v="1"/>
    <x v="3"/>
    <n v="27.945"/>
    <n v="55.89"/>
    <x v="0"/>
    <x v="1"/>
    <x v="1"/>
  </r>
  <r>
    <x v="113"/>
    <x v="34"/>
    <x v="34"/>
    <x v="2"/>
    <s v="32031-49093-KE"/>
    <s v="R-D-0.5"/>
    <n v="5"/>
    <x v="109"/>
    <s v="bdomangeez@yahoo.co.jp"/>
    <x v="0"/>
    <x v="1"/>
    <x v="1"/>
    <x v="0"/>
    <n v="5.3699999999999992"/>
    <n v="26.849999999999994"/>
    <x v="1"/>
    <x v="1"/>
    <x v="1"/>
  </r>
  <r>
    <x v="114"/>
    <x v="109"/>
    <x v="109"/>
    <x v="2"/>
    <s v="91809-58808-TV"/>
    <s v="A-L-0.2"/>
    <n v="2"/>
    <x v="110"/>
    <s v="bkellowayoo@omniture.com"/>
    <x v="0"/>
    <x v="2"/>
    <x v="0"/>
    <x v="1"/>
    <n v="3.8849999999999998"/>
    <n v="7.77"/>
    <x v="2"/>
    <x v="0"/>
    <x v="0"/>
  </r>
  <r>
    <x v="115"/>
    <x v="110"/>
    <x v="110"/>
    <x v="2"/>
    <s v="58638-01029-CB"/>
    <s v="A-L-0.5"/>
    <n v="5"/>
    <x v="111"/>
    <s v="bmcamish2e@tripadvisor.com"/>
    <x v="0"/>
    <x v="2"/>
    <x v="0"/>
    <x v="0"/>
    <n v="7.77"/>
    <n v="38.849999999999994"/>
    <x v="2"/>
    <x v="0"/>
    <x v="0"/>
  </r>
  <r>
    <x v="116"/>
    <x v="111"/>
    <x v="111"/>
    <x v="2"/>
    <s v="53809-98498-SN"/>
    <s v="L-L-2.5"/>
    <n v="4"/>
    <x v="112"/>
    <s v="bkindleygl@wikimedia.org"/>
    <x v="0"/>
    <x v="3"/>
    <x v="0"/>
    <x v="3"/>
    <n v="36.454999999999998"/>
    <n v="145.82"/>
    <x v="3"/>
    <x v="0"/>
    <x v="0"/>
  </r>
  <r>
    <x v="117"/>
    <x v="112"/>
    <x v="112"/>
    <x v="0"/>
    <s v="46959-60474-LT"/>
    <s v="L-D-0.5"/>
    <n v="2"/>
    <x v="113"/>
    <s v="bgiannazzidm@apple.com"/>
    <x v="0"/>
    <x v="3"/>
    <x v="1"/>
    <x v="0"/>
    <n v="7.77"/>
    <n v="15.54"/>
    <x v="3"/>
    <x v="1"/>
    <x v="1"/>
  </r>
  <r>
    <x v="118"/>
    <x v="113"/>
    <x v="113"/>
    <x v="2"/>
    <s v="82300-88786-UE"/>
    <s v="A-L-0.2"/>
    <n v="6"/>
    <x v="114"/>
    <s v=""/>
    <x v="0"/>
    <x v="2"/>
    <x v="0"/>
    <x v="1"/>
    <n v="3.8849999999999998"/>
    <n v="23.31"/>
    <x v="2"/>
    <x v="0"/>
    <x v="0"/>
  </r>
  <r>
    <x v="119"/>
    <x v="114"/>
    <x v="114"/>
    <x v="1"/>
    <s v="80444-58185-FX"/>
    <s v="E-L-1"/>
    <n v="4"/>
    <x v="115"/>
    <s v=""/>
    <x v="0"/>
    <x v="0"/>
    <x v="0"/>
    <x v="2"/>
    <n v="14.85"/>
    <n v="59.4"/>
    <x v="0"/>
    <x v="0"/>
    <x v="0"/>
  </r>
  <r>
    <x v="120"/>
    <x v="115"/>
    <x v="115"/>
    <x v="3"/>
    <s v="06623-54610-HC"/>
    <s v="R-L-0.2"/>
    <n v="3"/>
    <x v="116"/>
    <s v=""/>
    <x v="0"/>
    <x v="1"/>
    <x v="0"/>
    <x v="1"/>
    <n v="3.5849999999999995"/>
    <n v="10.754999999999999"/>
    <x v="1"/>
    <x v="0"/>
    <x v="1"/>
  </r>
  <r>
    <x v="121"/>
    <x v="116"/>
    <x v="116"/>
    <x v="0"/>
    <s v="77154-45038-IH"/>
    <s v="A-L-2.5"/>
    <n v="6"/>
    <x v="117"/>
    <s v="bfolomkinl8@yolasite.com"/>
    <x v="0"/>
    <x v="2"/>
    <x v="0"/>
    <x v="3"/>
    <n v="29.784999999999997"/>
    <n v="178.70999999999998"/>
    <x v="2"/>
    <x v="0"/>
    <x v="0"/>
  </r>
  <r>
    <x v="122"/>
    <x v="117"/>
    <x v="117"/>
    <x v="1"/>
    <s v="82246-82543-DW"/>
    <s v="E-D-0.5"/>
    <n v="2"/>
    <x v="118"/>
    <s v="bhindsberg3n@blogs.com"/>
    <x v="0"/>
    <x v="0"/>
    <x v="1"/>
    <x v="0"/>
    <n v="7.29"/>
    <n v="14.58"/>
    <x v="0"/>
    <x v="1"/>
    <x v="0"/>
  </r>
  <r>
    <x v="123"/>
    <x v="118"/>
    <x v="118"/>
    <x v="1"/>
    <s v="77421-46059-RY"/>
    <s v="A-D-1"/>
    <n v="5"/>
    <x v="119"/>
    <s v="bdailecu@vistaprint.com"/>
    <x v="0"/>
    <x v="2"/>
    <x v="1"/>
    <x v="2"/>
    <n v="9.9499999999999993"/>
    <n v="49.75"/>
    <x v="2"/>
    <x v="1"/>
    <x v="0"/>
  </r>
  <r>
    <x v="124"/>
    <x v="22"/>
    <x v="22"/>
    <x v="1"/>
    <s v="50924-94200-SQ"/>
    <s v="R-D-2.5"/>
    <n v="2"/>
    <x v="120"/>
    <s v="btartem9@aol.com"/>
    <x v="0"/>
    <x v="1"/>
    <x v="1"/>
    <x v="3"/>
    <n v="20.584999999999997"/>
    <n v="41.169999999999995"/>
    <x v="1"/>
    <x v="1"/>
    <x v="0"/>
  </r>
  <r>
    <x v="125"/>
    <x v="119"/>
    <x v="119"/>
    <x v="1"/>
    <s v="68412-11126-YJ"/>
    <s v="A-L-0.2"/>
    <n v="4"/>
    <x v="121"/>
    <s v="bbett3x@google.de"/>
    <x v="0"/>
    <x v="2"/>
    <x v="0"/>
    <x v="1"/>
    <n v="3.8849999999999998"/>
    <n v="15.54"/>
    <x v="2"/>
    <x v="0"/>
    <x v="0"/>
  </r>
  <r>
    <x v="126"/>
    <x v="120"/>
    <x v="120"/>
    <x v="3"/>
    <s v="87049-37901-FU"/>
    <s v="R-M-0.2"/>
    <n v="4"/>
    <x v="122"/>
    <s v="brevel2v@fastcompany.com"/>
    <x v="0"/>
    <x v="1"/>
    <x v="2"/>
    <x v="1"/>
    <n v="2.9849999999999999"/>
    <n v="11.94"/>
    <x v="1"/>
    <x v="2"/>
    <x v="1"/>
  </r>
  <r>
    <x v="127"/>
    <x v="121"/>
    <x v="121"/>
    <x v="0"/>
    <s v="26314-66792-VP"/>
    <s v="E-M-1"/>
    <n v="2"/>
    <x v="123"/>
    <s v="bsterkekw@biblegateway.com"/>
    <x v="0"/>
    <x v="0"/>
    <x v="2"/>
    <x v="2"/>
    <n v="13.75"/>
    <n v="27.5"/>
    <x v="0"/>
    <x v="2"/>
    <x v="0"/>
  </r>
  <r>
    <x v="128"/>
    <x v="122"/>
    <x v="122"/>
    <x v="0"/>
    <s v="18366-65239-WF"/>
    <s v="L-L-0.2"/>
    <n v="6"/>
    <x v="124"/>
    <s v="bgrecefm@naver.com"/>
    <x v="1"/>
    <x v="3"/>
    <x v="0"/>
    <x v="1"/>
    <n v="4.7549999999999999"/>
    <n v="28.53"/>
    <x v="3"/>
    <x v="0"/>
    <x v="1"/>
  </r>
  <r>
    <x v="129"/>
    <x v="123"/>
    <x v="123"/>
    <x v="3"/>
    <s v="86579-92122-OC"/>
    <s v="E-D-2.5"/>
    <n v="1"/>
    <x v="125"/>
    <s v=""/>
    <x v="0"/>
    <x v="0"/>
    <x v="1"/>
    <x v="3"/>
    <n v="27.945"/>
    <n v="27.945"/>
    <x v="0"/>
    <x v="1"/>
    <x v="0"/>
  </r>
  <r>
    <x v="130"/>
    <x v="124"/>
    <x v="124"/>
    <x v="3"/>
    <s v="86579-92122-OC"/>
    <s v="A-L-0.2"/>
    <n v="1"/>
    <x v="125"/>
    <s v=""/>
    <x v="0"/>
    <x v="2"/>
    <x v="0"/>
    <x v="1"/>
    <n v="3.8849999999999998"/>
    <n v="3.8849999999999998"/>
    <x v="2"/>
    <x v="0"/>
    <x v="0"/>
  </r>
  <r>
    <x v="131"/>
    <x v="125"/>
    <x v="125"/>
    <x v="2"/>
    <s v="86579-92122-OC"/>
    <s v="R-D-1"/>
    <n v="3"/>
    <x v="125"/>
    <s v=""/>
    <x v="0"/>
    <x v="1"/>
    <x v="1"/>
    <x v="2"/>
    <n v="8.9499999999999993"/>
    <n v="26.849999999999998"/>
    <x v="1"/>
    <x v="1"/>
    <x v="0"/>
  </r>
  <r>
    <x v="132"/>
    <x v="126"/>
    <x v="126"/>
    <x v="0"/>
    <s v="86579-92122-OC"/>
    <s v="E-L-2.5"/>
    <n v="5"/>
    <x v="125"/>
    <s v=""/>
    <x v="0"/>
    <x v="0"/>
    <x v="0"/>
    <x v="3"/>
    <n v="34.154999999999994"/>
    <n v="170.77499999999998"/>
    <x v="0"/>
    <x v="0"/>
    <x v="0"/>
  </r>
  <r>
    <x v="132"/>
    <x v="126"/>
    <x v="126"/>
    <x v="0"/>
    <s v="86579-92122-OC"/>
    <s v="R-L-2.5"/>
    <n v="2"/>
    <x v="125"/>
    <s v=""/>
    <x v="0"/>
    <x v="1"/>
    <x v="0"/>
    <x v="3"/>
    <n v="27.484999999999996"/>
    <n v="54.969999999999992"/>
    <x v="1"/>
    <x v="0"/>
    <x v="0"/>
  </r>
  <r>
    <x v="132"/>
    <x v="126"/>
    <x v="126"/>
    <x v="0"/>
    <s v="86579-92122-OC"/>
    <s v="E-L-1"/>
    <n v="1"/>
    <x v="125"/>
    <s v=""/>
    <x v="0"/>
    <x v="0"/>
    <x v="0"/>
    <x v="2"/>
    <n v="14.85"/>
    <n v="14.85"/>
    <x v="0"/>
    <x v="0"/>
    <x v="0"/>
  </r>
  <r>
    <x v="132"/>
    <x v="126"/>
    <x v="126"/>
    <x v="0"/>
    <s v="86579-92122-OC"/>
    <s v="A-L-0.2"/>
    <n v="2"/>
    <x v="125"/>
    <s v=""/>
    <x v="0"/>
    <x v="2"/>
    <x v="0"/>
    <x v="1"/>
    <n v="3.8849999999999998"/>
    <n v="7.77"/>
    <x v="2"/>
    <x v="0"/>
    <x v="0"/>
  </r>
  <r>
    <x v="133"/>
    <x v="127"/>
    <x v="127"/>
    <x v="1"/>
    <s v="01603-43789-TN"/>
    <s v="A-M-1"/>
    <n v="6"/>
    <x v="126"/>
    <s v="bromeramj@list-manage.com"/>
    <x v="2"/>
    <x v="2"/>
    <x v="2"/>
    <x v="2"/>
    <n v="11.25"/>
    <n v="67.5"/>
    <x v="2"/>
    <x v="2"/>
    <x v="0"/>
  </r>
  <r>
    <x v="133"/>
    <x v="127"/>
    <x v="127"/>
    <x v="1"/>
    <s v="01603-43789-TN"/>
    <s v="L-D-2.5"/>
    <n v="6"/>
    <x v="126"/>
    <s v="bromeramj@list-manage.com"/>
    <x v="2"/>
    <x v="3"/>
    <x v="1"/>
    <x v="3"/>
    <n v="29.784999999999997"/>
    <n v="178.70999999999998"/>
    <x v="3"/>
    <x v="1"/>
    <x v="0"/>
  </r>
  <r>
    <x v="134"/>
    <x v="128"/>
    <x v="128"/>
    <x v="0"/>
    <s v="20256-54689-LO"/>
    <s v="E-D-0.2"/>
    <n v="3"/>
    <x v="127"/>
    <s v=""/>
    <x v="0"/>
    <x v="0"/>
    <x v="1"/>
    <x v="1"/>
    <n v="3.645"/>
    <n v="10.935"/>
    <x v="0"/>
    <x v="1"/>
    <x v="1"/>
  </r>
  <r>
    <x v="135"/>
    <x v="129"/>
    <x v="129"/>
    <x v="1"/>
    <s v="44220-00348-MB"/>
    <s v="A-L-2.5"/>
    <n v="5"/>
    <x v="128"/>
    <s v="bmcgilvrabm@so-net.ne.jp"/>
    <x v="0"/>
    <x v="2"/>
    <x v="0"/>
    <x v="3"/>
    <n v="29.784999999999997"/>
    <n v="148.92499999999998"/>
    <x v="2"/>
    <x v="0"/>
    <x v="0"/>
  </r>
  <r>
    <x v="136"/>
    <x v="19"/>
    <x v="19"/>
    <x v="3"/>
    <s v="83895-90735-XH"/>
    <s v="L-L-0.5"/>
    <n v="4"/>
    <x v="129"/>
    <s v="bdrage39@youku.com"/>
    <x v="0"/>
    <x v="3"/>
    <x v="0"/>
    <x v="0"/>
    <n v="9.51"/>
    <n v="38.04"/>
    <x v="3"/>
    <x v="0"/>
    <x v="1"/>
  </r>
  <r>
    <x v="137"/>
    <x v="130"/>
    <x v="130"/>
    <x v="0"/>
    <s v="81744-27332-RR"/>
    <s v="L-M-2.5"/>
    <n v="3"/>
    <x v="130"/>
    <s v="bnaulls2a@tiny.cc"/>
    <x v="2"/>
    <x v="3"/>
    <x v="2"/>
    <x v="3"/>
    <n v="33.464999999999996"/>
    <n v="100.39499999999998"/>
    <x v="3"/>
    <x v="2"/>
    <x v="0"/>
  </r>
  <r>
    <x v="138"/>
    <x v="131"/>
    <x v="131"/>
    <x v="0"/>
    <s v="32638-38620-AX"/>
    <s v="L-M-1"/>
    <n v="3"/>
    <x v="131"/>
    <s v="bbartholin59@xinhuanet.com"/>
    <x v="0"/>
    <x v="3"/>
    <x v="2"/>
    <x v="2"/>
    <n v="14.55"/>
    <n v="43.650000000000006"/>
    <x v="3"/>
    <x v="2"/>
    <x v="0"/>
  </r>
  <r>
    <x v="139"/>
    <x v="132"/>
    <x v="132"/>
    <x v="0"/>
    <s v="53035-99701-WG"/>
    <s v="A-M-0.2"/>
    <n v="4"/>
    <x v="132"/>
    <s v="bmergue7y@umn.edu"/>
    <x v="0"/>
    <x v="2"/>
    <x v="2"/>
    <x v="1"/>
    <n v="3.375"/>
    <n v="13.5"/>
    <x v="2"/>
    <x v="2"/>
    <x v="0"/>
  </r>
  <r>
    <x v="140"/>
    <x v="133"/>
    <x v="133"/>
    <x v="3"/>
    <s v="71034-49694-CS"/>
    <s v="E-M-2.5"/>
    <n v="2"/>
    <x v="133"/>
    <s v="bacarsonhf@cnn.com"/>
    <x v="0"/>
    <x v="0"/>
    <x v="2"/>
    <x v="3"/>
    <n v="31.624999999999996"/>
    <n v="63.249999999999993"/>
    <x v="0"/>
    <x v="2"/>
    <x v="0"/>
  </r>
  <r>
    <x v="141"/>
    <x v="134"/>
    <x v="134"/>
    <x v="1"/>
    <s v="12747-63766-EU"/>
    <s v="L-L-0.2"/>
    <n v="1"/>
    <x v="134"/>
    <s v="catchesonmr@xinhuanet.com"/>
    <x v="0"/>
    <x v="3"/>
    <x v="0"/>
    <x v="1"/>
    <n v="4.7549999999999999"/>
    <n v="4.7549999999999999"/>
    <x v="3"/>
    <x v="0"/>
    <x v="0"/>
  </r>
  <r>
    <x v="142"/>
    <x v="135"/>
    <x v="135"/>
    <x v="1"/>
    <s v="15673-18812-IU"/>
    <s v="R-D-0.2"/>
    <n v="4"/>
    <x v="135"/>
    <s v="ckrzysztofiakma@skyrock.com"/>
    <x v="0"/>
    <x v="1"/>
    <x v="1"/>
    <x v="1"/>
    <n v="2.6849999999999996"/>
    <n v="10.739999999999998"/>
    <x v="1"/>
    <x v="1"/>
    <x v="1"/>
  </r>
  <r>
    <x v="143"/>
    <x v="95"/>
    <x v="95"/>
    <x v="1"/>
    <s v="01841-48191-NL"/>
    <s v="L-L-0.5"/>
    <n v="2"/>
    <x v="136"/>
    <s v="cjewsterlu@moonfruit.com"/>
    <x v="0"/>
    <x v="3"/>
    <x v="0"/>
    <x v="0"/>
    <n v="9.51"/>
    <n v="19.02"/>
    <x v="3"/>
    <x v="0"/>
    <x v="0"/>
  </r>
  <r>
    <x v="144"/>
    <x v="136"/>
    <x v="136"/>
    <x v="1"/>
    <s v="01841-48191-NL"/>
    <s v="E-D-2.5"/>
    <n v="1"/>
    <x v="136"/>
    <s v="cjewsterlu@moonfruit.com"/>
    <x v="0"/>
    <x v="0"/>
    <x v="1"/>
    <x v="3"/>
    <n v="27.945"/>
    <n v="27.945"/>
    <x v="0"/>
    <x v="1"/>
    <x v="0"/>
  </r>
  <r>
    <x v="145"/>
    <x v="137"/>
    <x v="137"/>
    <x v="0"/>
    <s v="64439-27325-LG"/>
    <s v="R-L-0.2"/>
    <n v="3"/>
    <x v="137"/>
    <s v="ckide6@narod.ru"/>
    <x v="2"/>
    <x v="1"/>
    <x v="0"/>
    <x v="1"/>
    <n v="3.5849999999999995"/>
    <n v="10.754999999999999"/>
    <x v="1"/>
    <x v="0"/>
    <x v="0"/>
  </r>
  <r>
    <x v="146"/>
    <x v="138"/>
    <x v="138"/>
    <x v="1"/>
    <s v="48873-84433-PN"/>
    <s v="L-D-2.5"/>
    <n v="3"/>
    <x v="138"/>
    <s v="charce6k@cafepress.com"/>
    <x v="2"/>
    <x v="3"/>
    <x v="1"/>
    <x v="3"/>
    <n v="29.784999999999997"/>
    <n v="89.35499999999999"/>
    <x v="3"/>
    <x v="1"/>
    <x v="1"/>
  </r>
  <r>
    <x v="147"/>
    <x v="139"/>
    <x v="139"/>
    <x v="2"/>
    <s v="17775-77072-PP"/>
    <s v="A-M-1"/>
    <n v="5"/>
    <x v="139"/>
    <s v="clinskillkh@sphinn.com"/>
    <x v="0"/>
    <x v="2"/>
    <x v="2"/>
    <x v="2"/>
    <n v="11.25"/>
    <n v="56.25"/>
    <x v="2"/>
    <x v="2"/>
    <x v="1"/>
  </r>
  <r>
    <x v="148"/>
    <x v="140"/>
    <x v="140"/>
    <x v="0"/>
    <s v="23446-47798-ID"/>
    <s v="L-L-0.5"/>
    <n v="5"/>
    <x v="140"/>
    <s v="cthowescp@craigslist.org"/>
    <x v="0"/>
    <x v="3"/>
    <x v="0"/>
    <x v="0"/>
    <n v="9.51"/>
    <n v="47.55"/>
    <x v="3"/>
    <x v="0"/>
    <x v="1"/>
  </r>
  <r>
    <x v="149"/>
    <x v="141"/>
    <x v="141"/>
    <x v="2"/>
    <s v="49530-25460-RW"/>
    <s v="R-L-0.2"/>
    <n v="4"/>
    <x v="141"/>
    <s v=""/>
    <x v="0"/>
    <x v="1"/>
    <x v="0"/>
    <x v="1"/>
    <n v="3.5849999999999995"/>
    <n v="14.339999999999998"/>
    <x v="1"/>
    <x v="0"/>
    <x v="1"/>
  </r>
  <r>
    <x v="150"/>
    <x v="142"/>
    <x v="142"/>
    <x v="1"/>
    <s v="38972-89678-ZM"/>
    <s v="E-L-0.5"/>
    <n v="5"/>
    <x v="142"/>
    <s v="cclemencetg5@weather.com"/>
    <x v="1"/>
    <x v="0"/>
    <x v="0"/>
    <x v="0"/>
    <n v="8.91"/>
    <n v="44.55"/>
    <x v="0"/>
    <x v="0"/>
    <x v="0"/>
  </r>
  <r>
    <x v="151"/>
    <x v="143"/>
    <x v="143"/>
    <x v="1"/>
    <s v="78570-76770-LB"/>
    <s v="A-M-0.2"/>
    <n v="4"/>
    <x v="143"/>
    <s v="cbeinee7@xinhuanet.com"/>
    <x v="0"/>
    <x v="2"/>
    <x v="2"/>
    <x v="1"/>
    <n v="3.375"/>
    <n v="13.5"/>
    <x v="2"/>
    <x v="2"/>
    <x v="0"/>
  </r>
  <r>
    <x v="152"/>
    <x v="144"/>
    <x v="144"/>
    <x v="0"/>
    <s v="46431-09298-OU"/>
    <s v="L-L-1"/>
    <n v="6"/>
    <x v="144"/>
    <s v="cwinchcombeho@jiathis.com"/>
    <x v="0"/>
    <x v="3"/>
    <x v="0"/>
    <x v="2"/>
    <n v="15.85"/>
    <n v="95.1"/>
    <x v="3"/>
    <x v="0"/>
    <x v="0"/>
  </r>
  <r>
    <x v="153"/>
    <x v="11"/>
    <x v="11"/>
    <x v="2"/>
    <s v="31587-92570-HL"/>
    <s v="L-D-0.5"/>
    <n v="1"/>
    <x v="145"/>
    <s v="cgwinnetta5@behance.net"/>
    <x v="0"/>
    <x v="3"/>
    <x v="1"/>
    <x v="0"/>
    <n v="7.77"/>
    <n v="7.77"/>
    <x v="3"/>
    <x v="1"/>
    <x v="1"/>
  </r>
  <r>
    <x v="154"/>
    <x v="145"/>
    <x v="145"/>
    <x v="2"/>
    <s v="62863-81239-DT"/>
    <s v="A-D-0.5"/>
    <n v="5"/>
    <x v="146"/>
    <s v="cpinkerton85@upenn.edu"/>
    <x v="0"/>
    <x v="2"/>
    <x v="1"/>
    <x v="0"/>
    <n v="5.97"/>
    <n v="29.849999999999998"/>
    <x v="2"/>
    <x v="1"/>
    <x v="1"/>
  </r>
  <r>
    <x v="155"/>
    <x v="146"/>
    <x v="146"/>
    <x v="2"/>
    <s v="35442-75769-PL"/>
    <s v="R-M-1"/>
    <n v="2"/>
    <x v="147"/>
    <s v=""/>
    <x v="2"/>
    <x v="1"/>
    <x v="2"/>
    <x v="2"/>
    <n v="9.9499999999999993"/>
    <n v="19.899999999999999"/>
    <x v="1"/>
    <x v="2"/>
    <x v="0"/>
  </r>
  <r>
    <x v="156"/>
    <x v="147"/>
    <x v="147"/>
    <x v="2"/>
    <s v="38536-98293-JZ"/>
    <s v="A-D-0.2"/>
    <n v="3"/>
    <x v="148"/>
    <s v=""/>
    <x v="2"/>
    <x v="2"/>
    <x v="1"/>
    <x v="1"/>
    <n v="2.9849999999999999"/>
    <n v="8.9550000000000001"/>
    <x v="2"/>
    <x v="1"/>
    <x v="1"/>
  </r>
  <r>
    <x v="157"/>
    <x v="148"/>
    <x v="148"/>
    <x v="3"/>
    <s v="15764-22559-ZT"/>
    <s v="A-M-2.5"/>
    <n v="1"/>
    <x v="149"/>
    <s v=""/>
    <x v="0"/>
    <x v="2"/>
    <x v="2"/>
    <x v="3"/>
    <n v="25.874999999999996"/>
    <n v="25.874999999999996"/>
    <x v="2"/>
    <x v="2"/>
    <x v="1"/>
  </r>
  <r>
    <x v="158"/>
    <x v="149"/>
    <x v="149"/>
    <x v="0"/>
    <s v="55864-37682-GQ"/>
    <s v="L-M-0.2"/>
    <n v="3"/>
    <x v="150"/>
    <s v="cweatherallim@toplist.cz"/>
    <x v="0"/>
    <x v="3"/>
    <x v="2"/>
    <x v="1"/>
    <n v="4.3650000000000002"/>
    <n v="13.095000000000001"/>
    <x v="3"/>
    <x v="2"/>
    <x v="0"/>
  </r>
  <r>
    <x v="159"/>
    <x v="150"/>
    <x v="150"/>
    <x v="0"/>
    <s v="71891-51101-VQ"/>
    <s v="R-D-0.5"/>
    <n v="1"/>
    <x v="151"/>
    <s v="cstebbingsi2@drupal.org"/>
    <x v="0"/>
    <x v="1"/>
    <x v="1"/>
    <x v="0"/>
    <n v="5.3699999999999992"/>
    <n v="5.3699999999999992"/>
    <x v="1"/>
    <x v="1"/>
    <x v="0"/>
  </r>
  <r>
    <x v="160"/>
    <x v="151"/>
    <x v="151"/>
    <x v="2"/>
    <s v="93676-95250-XJ"/>
    <s v="A-D-2.5"/>
    <n v="5"/>
    <x v="152"/>
    <s v="cdolohuntyor@dailymail.co.uk"/>
    <x v="0"/>
    <x v="2"/>
    <x v="1"/>
    <x v="3"/>
    <n v="22.884999999999998"/>
    <n v="114.42499999999998"/>
    <x v="2"/>
    <x v="1"/>
    <x v="0"/>
  </r>
  <r>
    <x v="161"/>
    <x v="152"/>
    <x v="152"/>
    <x v="0"/>
    <s v="98661-69719-VI"/>
    <s v="L-L-1"/>
    <n v="3"/>
    <x v="153"/>
    <s v="cbakeupe8@globo.com"/>
    <x v="0"/>
    <x v="3"/>
    <x v="0"/>
    <x v="2"/>
    <n v="15.85"/>
    <n v="47.55"/>
    <x v="3"/>
    <x v="0"/>
    <x v="1"/>
  </r>
  <r>
    <x v="162"/>
    <x v="153"/>
    <x v="153"/>
    <x v="2"/>
    <s v="13404-39127-WQ"/>
    <s v="A-L-2.5"/>
    <n v="3"/>
    <x v="154"/>
    <s v="cmaccourtpo@amazon.com"/>
    <x v="0"/>
    <x v="2"/>
    <x v="0"/>
    <x v="3"/>
    <n v="29.784999999999997"/>
    <n v="89.35499999999999"/>
    <x v="2"/>
    <x v="0"/>
    <x v="1"/>
  </r>
  <r>
    <x v="163"/>
    <x v="154"/>
    <x v="154"/>
    <x v="3"/>
    <s v="77746-08153-PM"/>
    <s v="L-L-1"/>
    <n v="5"/>
    <x v="155"/>
    <s v="cmiguelqo@exblog.jp"/>
    <x v="0"/>
    <x v="3"/>
    <x v="0"/>
    <x v="2"/>
    <n v="15.85"/>
    <n v="79.25"/>
    <x v="3"/>
    <x v="0"/>
    <x v="0"/>
  </r>
  <r>
    <x v="164"/>
    <x v="155"/>
    <x v="155"/>
    <x v="2"/>
    <s v="40560-18556-YE"/>
    <s v="R-D-0.2"/>
    <n v="3"/>
    <x v="156"/>
    <s v=""/>
    <x v="0"/>
    <x v="1"/>
    <x v="1"/>
    <x v="1"/>
    <n v="2.6849999999999996"/>
    <n v="8.0549999999999997"/>
    <x v="1"/>
    <x v="1"/>
    <x v="0"/>
  </r>
  <r>
    <x v="165"/>
    <x v="156"/>
    <x v="156"/>
    <x v="2"/>
    <s v="03677-09134-BC"/>
    <s v="E-M-0.5"/>
    <n v="1"/>
    <x v="157"/>
    <s v="crowthornc3@msn.com"/>
    <x v="0"/>
    <x v="0"/>
    <x v="2"/>
    <x v="0"/>
    <n v="8.25"/>
    <n v="8.25"/>
    <x v="0"/>
    <x v="2"/>
    <x v="1"/>
  </r>
  <r>
    <x v="166"/>
    <x v="157"/>
    <x v="157"/>
    <x v="3"/>
    <s v="43606-83072-OA"/>
    <s v="L-D-0.2"/>
    <n v="2"/>
    <x v="158"/>
    <s v=""/>
    <x v="0"/>
    <x v="3"/>
    <x v="1"/>
    <x v="1"/>
    <n v="3.8849999999999998"/>
    <n v="7.77"/>
    <x v="3"/>
    <x v="1"/>
    <x v="1"/>
  </r>
  <r>
    <x v="167"/>
    <x v="158"/>
    <x v="158"/>
    <x v="2"/>
    <s v="06899-54551-EH"/>
    <s v="A-D-1"/>
    <n v="4"/>
    <x v="159"/>
    <s v="cmershdt@drupal.org"/>
    <x v="2"/>
    <x v="2"/>
    <x v="1"/>
    <x v="2"/>
    <n v="9.9499999999999993"/>
    <n v="39.799999999999997"/>
    <x v="2"/>
    <x v="1"/>
    <x v="1"/>
  </r>
  <r>
    <x v="168"/>
    <x v="159"/>
    <x v="159"/>
    <x v="3"/>
    <s v="46242-54946-ZW"/>
    <s v="A-M-1"/>
    <n v="6"/>
    <x v="160"/>
    <s v=""/>
    <x v="0"/>
    <x v="2"/>
    <x v="2"/>
    <x v="2"/>
    <n v="11.25"/>
    <n v="67.5"/>
    <x v="2"/>
    <x v="2"/>
    <x v="0"/>
  </r>
  <r>
    <x v="169"/>
    <x v="160"/>
    <x v="160"/>
    <x v="2"/>
    <s v="18293-78136-MN"/>
    <s v="L-M-0.5"/>
    <n v="5"/>
    <x v="161"/>
    <s v="cpenwardenit@mlb.com"/>
    <x v="2"/>
    <x v="3"/>
    <x v="2"/>
    <x v="0"/>
    <n v="8.73"/>
    <n v="43.650000000000006"/>
    <x v="3"/>
    <x v="2"/>
    <x v="1"/>
  </r>
  <r>
    <x v="170"/>
    <x v="161"/>
    <x v="161"/>
    <x v="3"/>
    <s v="72463-75685-MV"/>
    <s v="R-L-0.2"/>
    <n v="3"/>
    <x v="162"/>
    <s v="ccrosier63@xrea.com"/>
    <x v="0"/>
    <x v="1"/>
    <x v="0"/>
    <x v="1"/>
    <n v="3.5849999999999995"/>
    <n v="10.754999999999999"/>
    <x v="1"/>
    <x v="0"/>
    <x v="1"/>
  </r>
  <r>
    <x v="170"/>
    <x v="161"/>
    <x v="161"/>
    <x v="3"/>
    <s v="72463-75685-MV"/>
    <s v="R-M-0.2"/>
    <n v="5"/>
    <x v="162"/>
    <s v="ccrosier63@xrea.com"/>
    <x v="0"/>
    <x v="1"/>
    <x v="2"/>
    <x v="1"/>
    <n v="2.9849999999999999"/>
    <n v="14.924999999999999"/>
    <x v="1"/>
    <x v="2"/>
    <x v="1"/>
  </r>
  <r>
    <x v="171"/>
    <x v="162"/>
    <x v="162"/>
    <x v="2"/>
    <s v="84045-66771-SL"/>
    <s v="L-M-1"/>
    <n v="6"/>
    <x v="163"/>
    <s v="ckeaver1@ucoz.com"/>
    <x v="0"/>
    <x v="3"/>
    <x v="2"/>
    <x v="2"/>
    <n v="14.55"/>
    <n v="87.300000000000011"/>
    <x v="3"/>
    <x v="2"/>
    <x v="1"/>
  </r>
  <r>
    <x v="172"/>
    <x v="163"/>
    <x v="163"/>
    <x v="1"/>
    <s v="84045-66771-SL"/>
    <s v="A-L-0.5"/>
    <n v="3"/>
    <x v="163"/>
    <s v="ckeaver1@ucoz.com"/>
    <x v="0"/>
    <x v="2"/>
    <x v="0"/>
    <x v="0"/>
    <n v="7.77"/>
    <n v="23.31"/>
    <x v="2"/>
    <x v="0"/>
    <x v="1"/>
  </r>
  <r>
    <x v="173"/>
    <x v="164"/>
    <x v="164"/>
    <x v="1"/>
    <s v="24689-69376-XX"/>
    <s v="L-L-1"/>
    <n v="6"/>
    <x v="164"/>
    <s v="cdenysi1@is.gd"/>
    <x v="1"/>
    <x v="3"/>
    <x v="0"/>
    <x v="2"/>
    <n v="15.85"/>
    <n v="95.1"/>
    <x v="3"/>
    <x v="0"/>
    <x v="1"/>
  </r>
  <r>
    <x v="174"/>
    <x v="165"/>
    <x v="165"/>
    <x v="3"/>
    <s v="98185-92775-KT"/>
    <s v="R-M-0.5"/>
    <n v="1"/>
    <x v="165"/>
    <s v=""/>
    <x v="0"/>
    <x v="1"/>
    <x v="2"/>
    <x v="0"/>
    <n v="5.97"/>
    <n v="5.97"/>
    <x v="1"/>
    <x v="2"/>
    <x v="1"/>
  </r>
  <r>
    <x v="175"/>
    <x v="166"/>
    <x v="166"/>
    <x v="0"/>
    <s v="48544-90737-AZ"/>
    <s v="L-D-1"/>
    <n v="1"/>
    <x v="166"/>
    <s v="cshaldersqx@cisco.com"/>
    <x v="0"/>
    <x v="3"/>
    <x v="1"/>
    <x v="2"/>
    <n v="12.95"/>
    <n v="12.95"/>
    <x v="3"/>
    <x v="1"/>
    <x v="0"/>
  </r>
  <r>
    <x v="176"/>
    <x v="167"/>
    <x v="167"/>
    <x v="0"/>
    <s v="70624-19112-AO"/>
    <s v="E-L-0.5"/>
    <n v="4"/>
    <x v="167"/>
    <s v="craglessc7@webmd.com"/>
    <x v="2"/>
    <x v="0"/>
    <x v="0"/>
    <x v="0"/>
    <n v="8.91"/>
    <n v="35.64"/>
    <x v="0"/>
    <x v="0"/>
    <x v="1"/>
  </r>
  <r>
    <x v="177"/>
    <x v="168"/>
    <x v="168"/>
    <x v="2"/>
    <s v="55409-07759-YG"/>
    <s v="E-D-0.2"/>
    <n v="6"/>
    <x v="168"/>
    <s v="cbernardotr9@wix.com"/>
    <x v="0"/>
    <x v="0"/>
    <x v="1"/>
    <x v="1"/>
    <n v="3.645"/>
    <n v="21.87"/>
    <x v="0"/>
    <x v="1"/>
    <x v="0"/>
  </r>
  <r>
    <x v="178"/>
    <x v="169"/>
    <x v="169"/>
    <x v="3"/>
    <s v="46859-14212-FI"/>
    <s v="A-M-0.5"/>
    <n v="1"/>
    <x v="169"/>
    <s v="csorrellph@amazon.com"/>
    <x v="1"/>
    <x v="2"/>
    <x v="2"/>
    <x v="0"/>
    <n v="6.75"/>
    <n v="6.75"/>
    <x v="2"/>
    <x v="2"/>
    <x v="1"/>
  </r>
  <r>
    <x v="178"/>
    <x v="169"/>
    <x v="169"/>
    <x v="3"/>
    <s v="46859-14212-FI"/>
    <s v="E-D-0.5"/>
    <n v="3"/>
    <x v="169"/>
    <s v="csorrellph@amazon.com"/>
    <x v="1"/>
    <x v="0"/>
    <x v="1"/>
    <x v="0"/>
    <n v="7.29"/>
    <n v="21.87"/>
    <x v="0"/>
    <x v="1"/>
    <x v="1"/>
  </r>
  <r>
    <x v="179"/>
    <x v="170"/>
    <x v="170"/>
    <x v="2"/>
    <s v="31613-41626-KX"/>
    <s v="L-M-0.5"/>
    <n v="5"/>
    <x v="170"/>
    <s v="ccrosterlr@gov.uk"/>
    <x v="0"/>
    <x v="3"/>
    <x v="2"/>
    <x v="0"/>
    <n v="8.73"/>
    <n v="43.650000000000006"/>
    <x v="3"/>
    <x v="2"/>
    <x v="0"/>
  </r>
  <r>
    <x v="180"/>
    <x v="171"/>
    <x v="171"/>
    <x v="1"/>
    <s v="12743-00952-KO"/>
    <s v="R-M-2.5"/>
    <n v="2"/>
    <x v="171"/>
    <s v=""/>
    <x v="0"/>
    <x v="1"/>
    <x v="2"/>
    <x v="3"/>
    <n v="22.884999999999998"/>
    <n v="45.769999999999996"/>
    <x v="1"/>
    <x v="2"/>
    <x v="1"/>
  </r>
  <r>
    <x v="181"/>
    <x v="172"/>
    <x v="172"/>
    <x v="2"/>
    <s v="23806-46781-OU"/>
    <s v="E-M-1"/>
    <n v="2"/>
    <x v="172"/>
    <s v=""/>
    <x v="2"/>
    <x v="0"/>
    <x v="2"/>
    <x v="2"/>
    <n v="13.75"/>
    <n v="27.5"/>
    <x v="0"/>
    <x v="2"/>
    <x v="1"/>
  </r>
  <r>
    <x v="181"/>
    <x v="172"/>
    <x v="172"/>
    <x v="2"/>
    <s v="23806-46781-OU"/>
    <s v="R-L-2.5"/>
    <n v="2"/>
    <x v="172"/>
    <s v=""/>
    <x v="2"/>
    <x v="1"/>
    <x v="0"/>
    <x v="3"/>
    <n v="27.484999999999996"/>
    <n v="54.969999999999992"/>
    <x v="1"/>
    <x v="0"/>
    <x v="1"/>
  </r>
  <r>
    <x v="182"/>
    <x v="173"/>
    <x v="173"/>
    <x v="2"/>
    <s v="53751-57560-CN"/>
    <s v="E-M-0.5"/>
    <n v="5"/>
    <x v="173"/>
    <s v=""/>
    <x v="0"/>
    <x v="0"/>
    <x v="2"/>
    <x v="0"/>
    <n v="8.25"/>
    <n v="41.25"/>
    <x v="0"/>
    <x v="2"/>
    <x v="0"/>
  </r>
  <r>
    <x v="183"/>
    <x v="174"/>
    <x v="174"/>
    <x v="2"/>
    <s v="24010-66714-HW"/>
    <s v="A-M-1"/>
    <n v="1"/>
    <x v="174"/>
    <s v="cblofeldo@amazon.co.uk"/>
    <x v="0"/>
    <x v="2"/>
    <x v="2"/>
    <x v="2"/>
    <n v="11.25"/>
    <n v="11.25"/>
    <x v="2"/>
    <x v="2"/>
    <x v="1"/>
  </r>
  <r>
    <x v="184"/>
    <x v="175"/>
    <x v="175"/>
    <x v="0"/>
    <s v="56450-21890-HK"/>
    <s v="E-L-1"/>
    <n v="6"/>
    <x v="175"/>
    <s v="ckendrickl5@webnode.com"/>
    <x v="0"/>
    <x v="0"/>
    <x v="0"/>
    <x v="2"/>
    <n v="14.85"/>
    <n v="89.1"/>
    <x v="0"/>
    <x v="0"/>
    <x v="0"/>
  </r>
  <r>
    <x v="185"/>
    <x v="176"/>
    <x v="176"/>
    <x v="3"/>
    <s v="53414-73391-CR"/>
    <s v="R-D-2.5"/>
    <n v="5"/>
    <x v="176"/>
    <s v=""/>
    <x v="0"/>
    <x v="1"/>
    <x v="1"/>
    <x v="3"/>
    <n v="20.584999999999997"/>
    <n v="102.92499999999998"/>
    <x v="1"/>
    <x v="1"/>
    <x v="0"/>
  </r>
  <r>
    <x v="186"/>
    <x v="177"/>
    <x v="177"/>
    <x v="2"/>
    <s v="24845-36117-TI"/>
    <s v="L-M-0.2"/>
    <n v="2"/>
    <x v="177"/>
    <s v="craisbeckfg@webnode.com"/>
    <x v="0"/>
    <x v="3"/>
    <x v="2"/>
    <x v="1"/>
    <n v="4.3650000000000002"/>
    <n v="8.73"/>
    <x v="3"/>
    <x v="2"/>
    <x v="0"/>
  </r>
  <r>
    <x v="187"/>
    <x v="178"/>
    <x v="178"/>
    <x v="1"/>
    <s v="51971-70393-QM"/>
    <s v="E-D-0.5"/>
    <n v="4"/>
    <x v="178"/>
    <s v="cfeye4k@google.co.jp"/>
    <x v="2"/>
    <x v="0"/>
    <x v="1"/>
    <x v="0"/>
    <n v="7.29"/>
    <n v="29.16"/>
    <x v="0"/>
    <x v="1"/>
    <x v="1"/>
  </r>
  <r>
    <x v="188"/>
    <x v="179"/>
    <x v="179"/>
    <x v="2"/>
    <s v="27536-28463-NJ"/>
    <s v="L-L-0.2"/>
    <n v="4"/>
    <x v="179"/>
    <s v="cmottramfs@harvard.edu"/>
    <x v="0"/>
    <x v="3"/>
    <x v="0"/>
    <x v="1"/>
    <n v="4.7549999999999999"/>
    <n v="19.02"/>
    <x v="3"/>
    <x v="0"/>
    <x v="0"/>
  </r>
  <r>
    <x v="189"/>
    <x v="180"/>
    <x v="180"/>
    <x v="1"/>
    <s v="51277-93873-RP"/>
    <s v="L-M-2.5"/>
    <n v="1"/>
    <x v="180"/>
    <s v="cayrere@symantec.com"/>
    <x v="0"/>
    <x v="3"/>
    <x v="2"/>
    <x v="3"/>
    <n v="33.464999999999996"/>
    <n v="33.464999999999996"/>
    <x v="3"/>
    <x v="2"/>
    <x v="1"/>
  </r>
  <r>
    <x v="190"/>
    <x v="181"/>
    <x v="181"/>
    <x v="1"/>
    <s v="74330-29286-RO"/>
    <s v="E-M-2.5"/>
    <n v="6"/>
    <x v="181"/>
    <s v="crushe8n@about.me"/>
    <x v="0"/>
    <x v="0"/>
    <x v="2"/>
    <x v="3"/>
    <n v="31.624999999999996"/>
    <n v="189.74999999999997"/>
    <x v="0"/>
    <x v="2"/>
    <x v="0"/>
  </r>
  <r>
    <x v="191"/>
    <x v="182"/>
    <x v="182"/>
    <x v="0"/>
    <s v="74330-29286-RO"/>
    <s v="A-L-0.2"/>
    <n v="1"/>
    <x v="181"/>
    <s v="crushe8n@about.me"/>
    <x v="0"/>
    <x v="2"/>
    <x v="0"/>
    <x v="1"/>
    <n v="3.8849999999999998"/>
    <n v="3.8849999999999998"/>
    <x v="2"/>
    <x v="0"/>
    <x v="0"/>
  </r>
  <r>
    <x v="192"/>
    <x v="183"/>
    <x v="183"/>
    <x v="0"/>
    <s v="32900-82606-BO"/>
    <s v="A-M-1"/>
    <n v="2"/>
    <x v="182"/>
    <s v="cweondo8@theglobeandmail.com"/>
    <x v="0"/>
    <x v="2"/>
    <x v="2"/>
    <x v="2"/>
    <n v="11.25"/>
    <n v="22.5"/>
    <x v="2"/>
    <x v="2"/>
    <x v="1"/>
  </r>
  <r>
    <x v="193"/>
    <x v="184"/>
    <x v="184"/>
    <x v="2"/>
    <s v="96446-62142-EN"/>
    <s v="A-D-0.2"/>
    <n v="3"/>
    <x v="183"/>
    <s v="ckingwellr3@squarespace.com"/>
    <x v="2"/>
    <x v="2"/>
    <x v="1"/>
    <x v="1"/>
    <n v="2.9849999999999999"/>
    <n v="8.9550000000000001"/>
    <x v="2"/>
    <x v="1"/>
    <x v="0"/>
  </r>
  <r>
    <x v="194"/>
    <x v="185"/>
    <x v="185"/>
    <x v="1"/>
    <s v="12839-56537-TQ"/>
    <s v="L-L-0.2"/>
    <n v="6"/>
    <x v="184"/>
    <s v="cvasiliev9b@discuz.net"/>
    <x v="0"/>
    <x v="3"/>
    <x v="0"/>
    <x v="1"/>
    <n v="4.7549999999999999"/>
    <n v="28.53"/>
    <x v="3"/>
    <x v="0"/>
    <x v="0"/>
  </r>
  <r>
    <x v="195"/>
    <x v="186"/>
    <x v="186"/>
    <x v="1"/>
    <s v="69374-08133-RI"/>
    <s v="E-L-0.2"/>
    <n v="5"/>
    <x v="185"/>
    <s v="cgoodrumqs@goodreads.com"/>
    <x v="0"/>
    <x v="0"/>
    <x v="0"/>
    <x v="1"/>
    <n v="4.4550000000000001"/>
    <n v="22.274999999999999"/>
    <x v="0"/>
    <x v="0"/>
    <x v="1"/>
  </r>
  <r>
    <x v="196"/>
    <x v="187"/>
    <x v="187"/>
    <x v="3"/>
    <s v="54810-81899-HL"/>
    <s v="R-L-1"/>
    <n v="4"/>
    <x v="186"/>
    <s v="cgiacomazzo27@jigsy.com"/>
    <x v="0"/>
    <x v="1"/>
    <x v="0"/>
    <x v="2"/>
    <n v="11.95"/>
    <n v="47.8"/>
    <x v="1"/>
    <x v="0"/>
    <x v="1"/>
  </r>
  <r>
    <x v="197"/>
    <x v="188"/>
    <x v="188"/>
    <x v="2"/>
    <s v="80179-44620-WN"/>
    <s v="R-L-0.5"/>
    <n v="3"/>
    <x v="187"/>
    <s v="cblowfelde73@ustream.tv"/>
    <x v="0"/>
    <x v="1"/>
    <x v="0"/>
    <x v="0"/>
    <n v="7.169999999999999"/>
    <n v="21.509999999999998"/>
    <x v="1"/>
    <x v="0"/>
    <x v="1"/>
  </r>
  <r>
    <x v="198"/>
    <x v="189"/>
    <x v="189"/>
    <x v="2"/>
    <s v="07878-45872-CC"/>
    <s v="E-D-2.5"/>
    <n v="5"/>
    <x v="188"/>
    <s v="ccromwell76@desdev.cn"/>
    <x v="0"/>
    <x v="0"/>
    <x v="1"/>
    <x v="3"/>
    <n v="27.945"/>
    <n v="139.72499999999999"/>
    <x v="0"/>
    <x v="1"/>
    <x v="1"/>
  </r>
  <r>
    <x v="199"/>
    <x v="190"/>
    <x v="190"/>
    <x v="1"/>
    <s v="84033-80762-EQ"/>
    <s v="A-M-2.5"/>
    <n v="6"/>
    <x v="189"/>
    <s v=""/>
    <x v="0"/>
    <x v="2"/>
    <x v="2"/>
    <x v="3"/>
    <n v="25.874999999999996"/>
    <n v="155.24999999999997"/>
    <x v="2"/>
    <x v="2"/>
    <x v="0"/>
  </r>
  <r>
    <x v="200"/>
    <x v="10"/>
    <x v="10"/>
    <x v="2"/>
    <s v="05325-97750-WP"/>
    <s v="E-M-0.5"/>
    <n v="2"/>
    <x v="190"/>
    <s v="cverissimogh@theglobeandmail.com"/>
    <x v="1"/>
    <x v="0"/>
    <x v="2"/>
    <x v="0"/>
    <n v="8.25"/>
    <n v="16.5"/>
    <x v="0"/>
    <x v="2"/>
    <x v="0"/>
  </r>
  <r>
    <x v="201"/>
    <x v="191"/>
    <x v="191"/>
    <x v="1"/>
    <s v="05325-97750-WP"/>
    <s v="L-L-2.5"/>
    <n v="3"/>
    <x v="190"/>
    <s v="cverissimogh@theglobeandmail.com"/>
    <x v="1"/>
    <x v="3"/>
    <x v="0"/>
    <x v="3"/>
    <n v="36.454999999999998"/>
    <n v="109.36499999999999"/>
    <x v="3"/>
    <x v="0"/>
    <x v="0"/>
  </r>
  <r>
    <x v="202"/>
    <x v="192"/>
    <x v="192"/>
    <x v="1"/>
    <s v="05325-97750-WP"/>
    <s v="R-M-0.5"/>
    <n v="5"/>
    <x v="190"/>
    <s v="cverissimogh@theglobeandmail.com"/>
    <x v="1"/>
    <x v="1"/>
    <x v="2"/>
    <x v="0"/>
    <n v="5.97"/>
    <n v="29.849999999999998"/>
    <x v="1"/>
    <x v="2"/>
    <x v="0"/>
  </r>
  <r>
    <x v="203"/>
    <x v="193"/>
    <x v="193"/>
    <x v="1"/>
    <s v="05325-97750-WP"/>
    <s v="E-D-2.5"/>
    <n v="1"/>
    <x v="190"/>
    <s v="cverissimogh@theglobeandmail.com"/>
    <x v="1"/>
    <x v="0"/>
    <x v="1"/>
    <x v="3"/>
    <n v="27.945"/>
    <n v="27.945"/>
    <x v="0"/>
    <x v="1"/>
    <x v="0"/>
  </r>
  <r>
    <x v="204"/>
    <x v="194"/>
    <x v="194"/>
    <x v="0"/>
    <s v="86437-17399-FK"/>
    <s v="E-D-0.2"/>
    <n v="2"/>
    <x v="191"/>
    <s v="celgey25@webs.com"/>
    <x v="0"/>
    <x v="0"/>
    <x v="1"/>
    <x v="1"/>
    <n v="3.645"/>
    <n v="7.29"/>
    <x v="0"/>
    <x v="1"/>
    <x v="1"/>
  </r>
  <r>
    <x v="205"/>
    <x v="195"/>
    <x v="195"/>
    <x v="1"/>
    <s v="75419-92838-TI"/>
    <s v="E-M-2.5"/>
    <n v="1"/>
    <x v="192"/>
    <s v="cbrydeml@tuttocitta.it"/>
    <x v="0"/>
    <x v="0"/>
    <x v="2"/>
    <x v="3"/>
    <n v="31.624999999999996"/>
    <n v="31.624999999999996"/>
    <x v="0"/>
    <x v="2"/>
    <x v="0"/>
  </r>
  <r>
    <x v="206"/>
    <x v="196"/>
    <x v="196"/>
    <x v="2"/>
    <s v="84340-73931-VV"/>
    <s v="E-M-1"/>
    <n v="5"/>
    <x v="193"/>
    <s v="cheaviside6z@rediff.com"/>
    <x v="0"/>
    <x v="0"/>
    <x v="2"/>
    <x v="2"/>
    <n v="13.75"/>
    <n v="68.75"/>
    <x v="0"/>
    <x v="2"/>
    <x v="0"/>
  </r>
  <r>
    <x v="207"/>
    <x v="197"/>
    <x v="197"/>
    <x v="1"/>
    <s v="79058-02767-CP"/>
    <s v="L-L-0.2"/>
    <n v="5"/>
    <x v="194"/>
    <s v="cgheraldi6g@opera.com"/>
    <x v="1"/>
    <x v="3"/>
    <x v="0"/>
    <x v="1"/>
    <n v="4.7549999999999999"/>
    <n v="23.774999999999999"/>
    <x v="3"/>
    <x v="0"/>
    <x v="1"/>
  </r>
  <r>
    <x v="208"/>
    <x v="159"/>
    <x v="159"/>
    <x v="3"/>
    <s v="85425-33494-HQ"/>
    <s v="E-D-0.5"/>
    <n v="4"/>
    <x v="195"/>
    <s v="chalfhide5s@google.ru"/>
    <x v="2"/>
    <x v="0"/>
    <x v="1"/>
    <x v="0"/>
    <n v="7.29"/>
    <n v="29.16"/>
    <x v="0"/>
    <x v="1"/>
    <x v="0"/>
  </r>
  <r>
    <x v="209"/>
    <x v="54"/>
    <x v="54"/>
    <x v="0"/>
    <s v="17572-27091-AA"/>
    <s v="R-L-0.2"/>
    <n v="2"/>
    <x v="196"/>
    <s v="chatfullog@ebay.com"/>
    <x v="0"/>
    <x v="1"/>
    <x v="0"/>
    <x v="1"/>
    <n v="3.5849999999999995"/>
    <n v="7.169999999999999"/>
    <x v="1"/>
    <x v="0"/>
    <x v="1"/>
  </r>
  <r>
    <x v="210"/>
    <x v="198"/>
    <x v="198"/>
    <x v="2"/>
    <s v="47939-53158-LS"/>
    <s v="E-M-0.2"/>
    <n v="1"/>
    <x v="197"/>
    <s v="cswitsur3b@chronoengine.com"/>
    <x v="0"/>
    <x v="0"/>
    <x v="2"/>
    <x v="1"/>
    <n v="4.125"/>
    <n v="4.125"/>
    <x v="0"/>
    <x v="2"/>
    <x v="1"/>
  </r>
  <r>
    <x v="210"/>
    <x v="198"/>
    <x v="198"/>
    <x v="2"/>
    <s v="47939-53158-LS"/>
    <s v="A-L-0.2"/>
    <n v="1"/>
    <x v="197"/>
    <s v="cswitsur3b@chronoengine.com"/>
    <x v="0"/>
    <x v="2"/>
    <x v="0"/>
    <x v="1"/>
    <n v="3.8849999999999998"/>
    <n v="3.8849999999999998"/>
    <x v="2"/>
    <x v="0"/>
    <x v="1"/>
  </r>
  <r>
    <x v="210"/>
    <x v="198"/>
    <x v="198"/>
    <x v="2"/>
    <s v="47939-53158-LS"/>
    <s v="E-M-1"/>
    <n v="5"/>
    <x v="197"/>
    <s v="cswitsur3b@chronoengine.com"/>
    <x v="0"/>
    <x v="0"/>
    <x v="2"/>
    <x v="2"/>
    <n v="13.75"/>
    <n v="68.75"/>
    <x v="0"/>
    <x v="2"/>
    <x v="1"/>
  </r>
  <r>
    <x v="211"/>
    <x v="199"/>
    <x v="199"/>
    <x v="1"/>
    <s v="13324-78688-MI"/>
    <s v="A-L-1"/>
    <n v="6"/>
    <x v="198"/>
    <s v="codgaardh9@nsw.gov.au"/>
    <x v="0"/>
    <x v="2"/>
    <x v="0"/>
    <x v="2"/>
    <n v="12.95"/>
    <n v="77.699999999999989"/>
    <x v="2"/>
    <x v="0"/>
    <x v="1"/>
  </r>
  <r>
    <x v="212"/>
    <x v="51"/>
    <x v="51"/>
    <x v="1"/>
    <s v="69529-07533-CV"/>
    <s v="R-M-2.5"/>
    <n v="1"/>
    <x v="199"/>
    <s v="cdrewett97@wikipedia.org"/>
    <x v="0"/>
    <x v="1"/>
    <x v="2"/>
    <x v="3"/>
    <n v="22.884999999999998"/>
    <n v="22.884999999999998"/>
    <x v="1"/>
    <x v="2"/>
    <x v="0"/>
  </r>
  <r>
    <x v="213"/>
    <x v="200"/>
    <x v="200"/>
    <x v="0"/>
    <s v="61600-55136-UM"/>
    <s v="E-D-1"/>
    <n v="2"/>
    <x v="200"/>
    <s v="ccatchesideaa@macromedia.com"/>
    <x v="0"/>
    <x v="0"/>
    <x v="1"/>
    <x v="2"/>
    <n v="12.15"/>
    <n v="24.3"/>
    <x v="0"/>
    <x v="1"/>
    <x v="0"/>
  </r>
  <r>
    <x v="214"/>
    <x v="201"/>
    <x v="201"/>
    <x v="3"/>
    <s v="74415-50873-FC"/>
    <s v="A-D-0.5"/>
    <n v="3"/>
    <x v="201"/>
    <s v=""/>
    <x v="2"/>
    <x v="2"/>
    <x v="1"/>
    <x v="0"/>
    <n v="5.97"/>
    <n v="17.91"/>
    <x v="2"/>
    <x v="1"/>
    <x v="0"/>
  </r>
  <r>
    <x v="215"/>
    <x v="202"/>
    <x v="202"/>
    <x v="0"/>
    <s v="32038-81174-JF"/>
    <s v="A-M-1"/>
    <n v="6"/>
    <x v="202"/>
    <s v="cvenourfx@ask.com"/>
    <x v="0"/>
    <x v="2"/>
    <x v="2"/>
    <x v="2"/>
    <n v="11.25"/>
    <n v="67.5"/>
    <x v="2"/>
    <x v="2"/>
    <x v="1"/>
  </r>
  <r>
    <x v="216"/>
    <x v="202"/>
    <x v="202"/>
    <x v="0"/>
    <s v="70631-33225-MZ"/>
    <s v="A-M-0.2"/>
    <n v="5"/>
    <x v="203"/>
    <s v="cbournermw@chronoengine.com"/>
    <x v="0"/>
    <x v="2"/>
    <x v="2"/>
    <x v="1"/>
    <n v="3.375"/>
    <n v="16.875"/>
    <x v="2"/>
    <x v="2"/>
    <x v="0"/>
  </r>
  <r>
    <x v="217"/>
    <x v="203"/>
    <x v="203"/>
    <x v="2"/>
    <s v="58689-55264-VK"/>
    <s v="A-D-2.5"/>
    <n v="5"/>
    <x v="204"/>
    <s v="ccottingham1o@wikipedia.org"/>
    <x v="0"/>
    <x v="2"/>
    <x v="1"/>
    <x v="3"/>
    <n v="22.884999999999998"/>
    <n v="114.42499999999998"/>
    <x v="2"/>
    <x v="1"/>
    <x v="1"/>
  </r>
  <r>
    <x v="218"/>
    <x v="204"/>
    <x v="204"/>
    <x v="0"/>
    <s v="46818-20198-GB"/>
    <s v="A-M-1"/>
    <n v="6"/>
    <x v="205"/>
    <s v="cwassif@prweb.com"/>
    <x v="0"/>
    <x v="2"/>
    <x v="2"/>
    <x v="2"/>
    <n v="11.25"/>
    <n v="67.5"/>
    <x v="2"/>
    <x v="2"/>
    <x v="1"/>
  </r>
  <r>
    <x v="219"/>
    <x v="205"/>
    <x v="205"/>
    <x v="3"/>
    <s v="59771-90302-OF"/>
    <s v="A-L-0.5"/>
    <n v="6"/>
    <x v="206"/>
    <s v="cgibbonsonab@accuweather.com"/>
    <x v="0"/>
    <x v="2"/>
    <x v="0"/>
    <x v="0"/>
    <n v="7.77"/>
    <n v="46.62"/>
    <x v="2"/>
    <x v="0"/>
    <x v="0"/>
  </r>
  <r>
    <x v="220"/>
    <x v="206"/>
    <x v="206"/>
    <x v="3"/>
    <s v="62588-82624-II"/>
    <s v="A-M-1"/>
    <n v="3"/>
    <x v="207"/>
    <s v="cfluin8k@flickr.com"/>
    <x v="1"/>
    <x v="2"/>
    <x v="2"/>
    <x v="2"/>
    <n v="11.25"/>
    <n v="33.75"/>
    <x v="2"/>
    <x v="2"/>
    <x v="1"/>
  </r>
  <r>
    <x v="221"/>
    <x v="207"/>
    <x v="207"/>
    <x v="1"/>
    <s v="40180-22940-QB"/>
    <s v="E-L-2.5"/>
    <n v="3"/>
    <x v="208"/>
    <s v="cpallanthv@typepad.com"/>
    <x v="0"/>
    <x v="0"/>
    <x v="0"/>
    <x v="3"/>
    <n v="34.154999999999994"/>
    <n v="102.46499999999997"/>
    <x v="0"/>
    <x v="0"/>
    <x v="0"/>
  </r>
  <r>
    <x v="222"/>
    <x v="208"/>
    <x v="208"/>
    <x v="3"/>
    <s v="32928-18158-OW"/>
    <s v="R-L-0.2"/>
    <n v="1"/>
    <x v="209"/>
    <s v=""/>
    <x v="0"/>
    <x v="1"/>
    <x v="0"/>
    <x v="1"/>
    <n v="3.5849999999999995"/>
    <n v="3.5849999999999995"/>
    <x v="1"/>
    <x v="0"/>
    <x v="0"/>
  </r>
  <r>
    <x v="223"/>
    <x v="143"/>
    <x v="143"/>
    <x v="1"/>
    <s v="50705-17295-NK"/>
    <s v="A-L-0.2"/>
    <n v="6"/>
    <x v="210"/>
    <s v="caleixok5@globo.com"/>
    <x v="0"/>
    <x v="2"/>
    <x v="0"/>
    <x v="1"/>
    <n v="3.8849999999999998"/>
    <n v="23.31"/>
    <x v="2"/>
    <x v="0"/>
    <x v="1"/>
  </r>
  <r>
    <x v="224"/>
    <x v="209"/>
    <x v="209"/>
    <x v="1"/>
    <s v="07591-92789-UA"/>
    <s v="E-M-0.2"/>
    <n v="3"/>
    <x v="211"/>
    <s v=""/>
    <x v="0"/>
    <x v="0"/>
    <x v="2"/>
    <x v="1"/>
    <n v="4.125"/>
    <n v="12.375"/>
    <x v="0"/>
    <x v="2"/>
    <x v="0"/>
  </r>
  <r>
    <x v="225"/>
    <x v="210"/>
    <x v="210"/>
    <x v="0"/>
    <s v="50238-24377-ZS"/>
    <s v="L-L-1"/>
    <n v="5"/>
    <x v="212"/>
    <s v=""/>
    <x v="0"/>
    <x v="3"/>
    <x v="0"/>
    <x v="2"/>
    <n v="15.85"/>
    <n v="79.25"/>
    <x v="3"/>
    <x v="0"/>
    <x v="0"/>
  </r>
  <r>
    <x v="226"/>
    <x v="211"/>
    <x v="211"/>
    <x v="1"/>
    <s v="99421-80253-UI"/>
    <s v="E-M-1"/>
    <n v="2"/>
    <x v="213"/>
    <s v=""/>
    <x v="0"/>
    <x v="0"/>
    <x v="2"/>
    <x v="2"/>
    <n v="13.75"/>
    <n v="27.5"/>
    <x v="0"/>
    <x v="2"/>
    <x v="1"/>
  </r>
  <r>
    <x v="227"/>
    <x v="212"/>
    <x v="212"/>
    <x v="1"/>
    <s v="69779-40609-RS"/>
    <s v="E-D-0.2"/>
    <n v="4"/>
    <x v="214"/>
    <s v="dcamilletti5w@businesswire.com"/>
    <x v="0"/>
    <x v="0"/>
    <x v="1"/>
    <x v="1"/>
    <n v="3.645"/>
    <n v="14.58"/>
    <x v="0"/>
    <x v="1"/>
    <x v="0"/>
  </r>
  <r>
    <x v="228"/>
    <x v="213"/>
    <x v="213"/>
    <x v="1"/>
    <s v="71769-10219-IM"/>
    <s v="A-D-0.2"/>
    <n v="3"/>
    <x v="215"/>
    <s v="dkornelcy@cyberchimps.com"/>
    <x v="0"/>
    <x v="2"/>
    <x v="1"/>
    <x v="1"/>
    <n v="2.9849999999999999"/>
    <n v="8.9550000000000001"/>
    <x v="2"/>
    <x v="1"/>
    <x v="0"/>
  </r>
  <r>
    <x v="229"/>
    <x v="214"/>
    <x v="214"/>
    <x v="1"/>
    <s v="91509-62250-GN"/>
    <s v="R-M-2.5"/>
    <n v="6"/>
    <x v="216"/>
    <s v="deburahld@google.co.jp"/>
    <x v="1"/>
    <x v="1"/>
    <x v="2"/>
    <x v="3"/>
    <n v="22.884999999999998"/>
    <n v="137.31"/>
    <x v="1"/>
    <x v="2"/>
    <x v="1"/>
  </r>
  <r>
    <x v="230"/>
    <x v="215"/>
    <x v="215"/>
    <x v="1"/>
    <s v="76319-80715-II"/>
    <s v="L-D-2.5"/>
    <n v="1"/>
    <x v="217"/>
    <s v="dyarhaml3@moonfruit.com"/>
    <x v="0"/>
    <x v="3"/>
    <x v="1"/>
    <x v="3"/>
    <n v="29.784999999999997"/>
    <n v="29.784999999999997"/>
    <x v="3"/>
    <x v="1"/>
    <x v="0"/>
  </r>
  <r>
    <x v="231"/>
    <x v="140"/>
    <x v="140"/>
    <x v="0"/>
    <s v="53971-49906-PZ"/>
    <s v="E-L-2.5"/>
    <n v="6"/>
    <x v="218"/>
    <s v="dheinonengd@printfriendly.com"/>
    <x v="0"/>
    <x v="0"/>
    <x v="0"/>
    <x v="3"/>
    <n v="34.154999999999994"/>
    <n v="204.92999999999995"/>
    <x v="0"/>
    <x v="0"/>
    <x v="1"/>
  </r>
  <r>
    <x v="232"/>
    <x v="86"/>
    <x v="86"/>
    <x v="2"/>
    <s v="62483-50867-OM"/>
    <s v="E-L-1"/>
    <n v="1"/>
    <x v="219"/>
    <s v=""/>
    <x v="1"/>
    <x v="0"/>
    <x v="0"/>
    <x v="2"/>
    <n v="14.85"/>
    <n v="14.85"/>
    <x v="0"/>
    <x v="0"/>
    <x v="1"/>
  </r>
  <r>
    <x v="233"/>
    <x v="216"/>
    <x v="216"/>
    <x v="0"/>
    <s v="97201-58870-WB"/>
    <s v="A-M-0.5"/>
    <n v="6"/>
    <x v="220"/>
    <s v=""/>
    <x v="0"/>
    <x v="2"/>
    <x v="2"/>
    <x v="0"/>
    <n v="6.75"/>
    <n v="40.5"/>
    <x v="2"/>
    <x v="2"/>
    <x v="0"/>
  </r>
  <r>
    <x v="234"/>
    <x v="217"/>
    <x v="217"/>
    <x v="2"/>
    <s v="79857-78167-KO"/>
    <s v="L-D-1"/>
    <n v="3"/>
    <x v="221"/>
    <s v="dheafordjy@twitpic.com"/>
    <x v="0"/>
    <x v="3"/>
    <x v="1"/>
    <x v="2"/>
    <n v="12.95"/>
    <n v="38.849999999999994"/>
    <x v="3"/>
    <x v="1"/>
    <x v="1"/>
  </r>
  <r>
    <x v="235"/>
    <x v="180"/>
    <x v="180"/>
    <x v="1"/>
    <s v="52151-75971-YY"/>
    <s v="E-M-2.5"/>
    <n v="4"/>
    <x v="222"/>
    <s v="dpenquetmb@diigo.com"/>
    <x v="0"/>
    <x v="0"/>
    <x v="2"/>
    <x v="3"/>
    <n v="31.624999999999996"/>
    <n v="126.49999999999999"/>
    <x v="0"/>
    <x v="2"/>
    <x v="1"/>
  </r>
  <r>
    <x v="236"/>
    <x v="101"/>
    <x v="101"/>
    <x v="2"/>
    <s v="16545-76328-JY"/>
    <s v="E-D-2.5"/>
    <n v="4"/>
    <x v="223"/>
    <s v="dtingly8f@goo.ne.jp"/>
    <x v="0"/>
    <x v="0"/>
    <x v="1"/>
    <x v="3"/>
    <n v="27.945"/>
    <n v="111.78"/>
    <x v="0"/>
    <x v="1"/>
    <x v="0"/>
  </r>
  <r>
    <x v="237"/>
    <x v="218"/>
    <x v="218"/>
    <x v="1"/>
    <s v="96042-27290-EQ"/>
    <s v="R-L-0.5"/>
    <n v="5"/>
    <x v="224"/>
    <s v=""/>
    <x v="0"/>
    <x v="1"/>
    <x v="0"/>
    <x v="0"/>
    <n v="7.169999999999999"/>
    <n v="35.849999999999994"/>
    <x v="1"/>
    <x v="0"/>
    <x v="1"/>
  </r>
  <r>
    <x v="238"/>
    <x v="219"/>
    <x v="219"/>
    <x v="3"/>
    <s v="79825-17822-UH"/>
    <s v="L-M-0.2"/>
    <n v="2"/>
    <x v="225"/>
    <s v="ddibleyd7@feedburner.com"/>
    <x v="0"/>
    <x v="3"/>
    <x v="2"/>
    <x v="1"/>
    <n v="4.3650000000000002"/>
    <n v="8.73"/>
    <x v="3"/>
    <x v="2"/>
    <x v="1"/>
  </r>
  <r>
    <x v="239"/>
    <x v="220"/>
    <x v="220"/>
    <x v="2"/>
    <s v="03010-30348-UA"/>
    <s v="L-L-2.5"/>
    <n v="5"/>
    <x v="226"/>
    <s v="dcarojb@twitter.com"/>
    <x v="0"/>
    <x v="3"/>
    <x v="0"/>
    <x v="3"/>
    <n v="36.454999999999998"/>
    <n v="182.27499999999998"/>
    <x v="3"/>
    <x v="0"/>
    <x v="0"/>
  </r>
  <r>
    <x v="240"/>
    <x v="221"/>
    <x v="221"/>
    <x v="2"/>
    <s v="00852-54571-WP"/>
    <s v="E-M-0.2"/>
    <n v="2"/>
    <x v="227"/>
    <s v="ddrewittnf@mapquest.com"/>
    <x v="0"/>
    <x v="0"/>
    <x v="2"/>
    <x v="1"/>
    <n v="4.125"/>
    <n v="8.25"/>
    <x v="0"/>
    <x v="2"/>
    <x v="0"/>
  </r>
  <r>
    <x v="241"/>
    <x v="222"/>
    <x v="222"/>
    <x v="1"/>
    <s v="01297-94364-XH"/>
    <s v="L-M-0.5"/>
    <n v="2"/>
    <x v="228"/>
    <s v="dstaite3z@scientificamerican.com"/>
    <x v="0"/>
    <x v="3"/>
    <x v="2"/>
    <x v="0"/>
    <n v="8.73"/>
    <n v="17.46"/>
    <x v="3"/>
    <x v="2"/>
    <x v="1"/>
  </r>
  <r>
    <x v="242"/>
    <x v="223"/>
    <x v="223"/>
    <x v="1"/>
    <s v="07237-32539-NB"/>
    <s v="R-D-0.5"/>
    <n v="1"/>
    <x v="229"/>
    <s v="dkiddyok@fda.gov"/>
    <x v="0"/>
    <x v="1"/>
    <x v="1"/>
    <x v="0"/>
    <n v="5.3699999999999992"/>
    <n v="5.3699999999999992"/>
    <x v="1"/>
    <x v="1"/>
    <x v="0"/>
  </r>
  <r>
    <x v="243"/>
    <x v="224"/>
    <x v="224"/>
    <x v="3"/>
    <s v="83105-86631-IU"/>
    <s v="R-L-0.2"/>
    <n v="4"/>
    <x v="230"/>
    <s v="ddaveridge9p@arstechnica.com"/>
    <x v="0"/>
    <x v="1"/>
    <x v="0"/>
    <x v="1"/>
    <n v="3.5849999999999995"/>
    <n v="14.339999999999998"/>
    <x v="1"/>
    <x v="0"/>
    <x v="1"/>
  </r>
  <r>
    <x v="244"/>
    <x v="225"/>
    <x v="225"/>
    <x v="0"/>
    <s v="52374-27313-IV"/>
    <s v="E-L-1"/>
    <n v="5"/>
    <x v="231"/>
    <s v="dgutq2@umich.edu"/>
    <x v="0"/>
    <x v="0"/>
    <x v="0"/>
    <x v="2"/>
    <n v="14.85"/>
    <n v="74.25"/>
    <x v="0"/>
    <x v="0"/>
    <x v="0"/>
  </r>
  <r>
    <x v="245"/>
    <x v="75"/>
    <x v="75"/>
    <x v="1"/>
    <s v="79216-73157-TE"/>
    <s v="R-L-0.2"/>
    <n v="6"/>
    <x v="232"/>
    <s v=""/>
    <x v="2"/>
    <x v="1"/>
    <x v="0"/>
    <x v="1"/>
    <n v="3.5849999999999995"/>
    <n v="21.509999999999998"/>
    <x v="1"/>
    <x v="0"/>
    <x v="0"/>
  </r>
  <r>
    <x v="246"/>
    <x v="226"/>
    <x v="226"/>
    <x v="1"/>
    <s v="98476-63654-CG"/>
    <s v="E-D-2.5"/>
    <n v="6"/>
    <x v="233"/>
    <s v=""/>
    <x v="0"/>
    <x v="0"/>
    <x v="1"/>
    <x v="3"/>
    <n v="27.945"/>
    <n v="167.67000000000002"/>
    <x v="0"/>
    <x v="1"/>
    <x v="0"/>
  </r>
  <r>
    <x v="247"/>
    <x v="227"/>
    <x v="227"/>
    <x v="1"/>
    <s v="98536-88616-FF"/>
    <s v="A-D-2.5"/>
    <n v="3"/>
    <x v="234"/>
    <s v="dohx@redcross.org"/>
    <x v="0"/>
    <x v="2"/>
    <x v="1"/>
    <x v="3"/>
    <n v="22.884999999999998"/>
    <n v="68.655000000000001"/>
    <x v="2"/>
    <x v="1"/>
    <x v="0"/>
  </r>
  <r>
    <x v="248"/>
    <x v="228"/>
    <x v="228"/>
    <x v="3"/>
    <s v="59081-87231-VP"/>
    <s v="E-D-2.5"/>
    <n v="1"/>
    <x v="235"/>
    <s v="docalleran75@ucla.edu"/>
    <x v="0"/>
    <x v="0"/>
    <x v="1"/>
    <x v="3"/>
    <n v="27.945"/>
    <n v="27.945"/>
    <x v="0"/>
    <x v="1"/>
    <x v="0"/>
  </r>
  <r>
    <x v="249"/>
    <x v="229"/>
    <x v="229"/>
    <x v="2"/>
    <s v="98430-37820-UV"/>
    <s v="R-D-0.2"/>
    <n v="3"/>
    <x v="236"/>
    <s v="dshortallj2@wikipedia.org"/>
    <x v="0"/>
    <x v="1"/>
    <x v="1"/>
    <x v="1"/>
    <n v="2.6849999999999996"/>
    <n v="8.0549999999999997"/>
    <x v="1"/>
    <x v="1"/>
    <x v="0"/>
  </r>
  <r>
    <x v="250"/>
    <x v="230"/>
    <x v="230"/>
    <x v="3"/>
    <s v="57808-90533-UE"/>
    <s v="A-M-0.5"/>
    <n v="3"/>
    <x v="237"/>
    <s v=""/>
    <x v="0"/>
    <x v="2"/>
    <x v="2"/>
    <x v="0"/>
    <n v="6.75"/>
    <n v="20.25"/>
    <x v="2"/>
    <x v="2"/>
    <x v="1"/>
  </r>
  <r>
    <x v="251"/>
    <x v="177"/>
    <x v="177"/>
    <x v="2"/>
    <s v="57808-90533-UE"/>
    <s v="L-M-1"/>
    <n v="5"/>
    <x v="237"/>
    <s v=""/>
    <x v="0"/>
    <x v="3"/>
    <x v="2"/>
    <x v="2"/>
    <n v="14.55"/>
    <n v="72.75"/>
    <x v="3"/>
    <x v="2"/>
    <x v="1"/>
  </r>
  <r>
    <x v="252"/>
    <x v="231"/>
    <x v="231"/>
    <x v="2"/>
    <s v="57808-90533-UE"/>
    <s v="E-M-2.5"/>
    <n v="5"/>
    <x v="237"/>
    <s v=""/>
    <x v="0"/>
    <x v="0"/>
    <x v="2"/>
    <x v="3"/>
    <n v="31.624999999999996"/>
    <n v="158.12499999999997"/>
    <x v="0"/>
    <x v="2"/>
    <x v="1"/>
  </r>
  <r>
    <x v="253"/>
    <x v="232"/>
    <x v="232"/>
    <x v="3"/>
    <s v="77657-61366-FY"/>
    <s v="L-L-2.5"/>
    <n v="4"/>
    <x v="238"/>
    <s v=""/>
    <x v="0"/>
    <x v="3"/>
    <x v="0"/>
    <x v="3"/>
    <n v="36.454999999999998"/>
    <n v="145.82"/>
    <x v="3"/>
    <x v="0"/>
    <x v="1"/>
  </r>
  <r>
    <x v="254"/>
    <x v="233"/>
    <x v="233"/>
    <x v="2"/>
    <s v="70567-65133-CN"/>
    <s v="L-L-2.5"/>
    <n v="3"/>
    <x v="239"/>
    <s v=""/>
    <x v="2"/>
    <x v="3"/>
    <x v="0"/>
    <x v="3"/>
    <n v="36.454999999999998"/>
    <n v="109.36499999999999"/>
    <x v="3"/>
    <x v="0"/>
    <x v="1"/>
  </r>
  <r>
    <x v="255"/>
    <x v="234"/>
    <x v="234"/>
    <x v="0"/>
    <s v="32058-76765-ZL"/>
    <s v="L-D-2.5"/>
    <n v="3"/>
    <x v="240"/>
    <s v="dcrownshawnr@photobucket.com"/>
    <x v="0"/>
    <x v="3"/>
    <x v="1"/>
    <x v="3"/>
    <n v="29.784999999999997"/>
    <n v="89.35499999999999"/>
    <x v="3"/>
    <x v="1"/>
    <x v="1"/>
  </r>
  <r>
    <x v="256"/>
    <x v="162"/>
    <x v="162"/>
    <x v="2"/>
    <s v="48553-69225-VX"/>
    <s v="L-D-0.5"/>
    <n v="3"/>
    <x v="241"/>
    <s v="dgrittonq0@nydailynews.com"/>
    <x v="0"/>
    <x v="3"/>
    <x v="1"/>
    <x v="0"/>
    <n v="7.77"/>
    <n v="23.31"/>
    <x v="3"/>
    <x v="1"/>
    <x v="0"/>
  </r>
  <r>
    <x v="256"/>
    <x v="162"/>
    <x v="162"/>
    <x v="2"/>
    <s v="48553-69225-VX"/>
    <s v="R-M-2.5"/>
    <n v="4"/>
    <x v="241"/>
    <s v="dgrittonq0@nydailynews.com"/>
    <x v="0"/>
    <x v="1"/>
    <x v="2"/>
    <x v="3"/>
    <n v="22.884999999999998"/>
    <n v="91.539999999999992"/>
    <x v="1"/>
    <x v="2"/>
    <x v="0"/>
  </r>
  <r>
    <x v="257"/>
    <x v="235"/>
    <x v="235"/>
    <x v="1"/>
    <s v="48389-71976-JB"/>
    <s v="E-L-1"/>
    <n v="4"/>
    <x v="242"/>
    <s v="dmagowan6n@fc2.com"/>
    <x v="0"/>
    <x v="0"/>
    <x v="0"/>
    <x v="2"/>
    <n v="14.85"/>
    <n v="59.4"/>
    <x v="0"/>
    <x v="0"/>
    <x v="1"/>
  </r>
  <r>
    <x v="258"/>
    <x v="236"/>
    <x v="236"/>
    <x v="3"/>
    <s v="04609-95151-XH"/>
    <s v="A-D-1"/>
    <n v="3"/>
    <x v="243"/>
    <s v=""/>
    <x v="0"/>
    <x v="2"/>
    <x v="1"/>
    <x v="2"/>
    <n v="9.9499999999999993"/>
    <n v="29.849999999999998"/>
    <x v="2"/>
    <x v="1"/>
    <x v="1"/>
  </r>
  <r>
    <x v="259"/>
    <x v="237"/>
    <x v="237"/>
    <x v="1"/>
    <s v="25598-77476-CB"/>
    <s v="A-L-1"/>
    <n v="2"/>
    <x v="244"/>
    <s v="dwincere2@marriott.com"/>
    <x v="0"/>
    <x v="2"/>
    <x v="0"/>
    <x v="2"/>
    <n v="12.95"/>
    <n v="25.9"/>
    <x v="2"/>
    <x v="0"/>
    <x v="0"/>
  </r>
  <r>
    <x v="260"/>
    <x v="197"/>
    <x v="197"/>
    <x v="1"/>
    <s v="80467-17137-TO"/>
    <s v="E-M-2.5"/>
    <n v="2"/>
    <x v="245"/>
    <s v="dchardinhc@nhs.uk"/>
    <x v="2"/>
    <x v="0"/>
    <x v="2"/>
    <x v="3"/>
    <n v="31.624999999999996"/>
    <n v="63.249999999999993"/>
    <x v="0"/>
    <x v="2"/>
    <x v="0"/>
  </r>
  <r>
    <x v="261"/>
    <x v="238"/>
    <x v="238"/>
    <x v="0"/>
    <s v="10074-20104-NN"/>
    <s v="R-D-2.5"/>
    <n v="1"/>
    <x v="246"/>
    <s v="ddrinkallcx@psu.edu"/>
    <x v="0"/>
    <x v="1"/>
    <x v="1"/>
    <x v="3"/>
    <n v="20.584999999999997"/>
    <n v="20.584999999999997"/>
    <x v="1"/>
    <x v="1"/>
    <x v="0"/>
  </r>
  <r>
    <x v="262"/>
    <x v="239"/>
    <x v="239"/>
    <x v="0"/>
    <s v="19597-91185-CM"/>
    <s v="E-M-1"/>
    <n v="1"/>
    <x v="247"/>
    <s v=""/>
    <x v="0"/>
    <x v="0"/>
    <x v="2"/>
    <x v="2"/>
    <n v="13.75"/>
    <n v="13.75"/>
    <x v="0"/>
    <x v="2"/>
    <x v="1"/>
  </r>
  <r>
    <x v="263"/>
    <x v="240"/>
    <x v="240"/>
    <x v="2"/>
    <s v="57360-46846-NS"/>
    <s v="A-L-2.5"/>
    <n v="3"/>
    <x v="248"/>
    <s v=""/>
    <x v="2"/>
    <x v="2"/>
    <x v="0"/>
    <x v="3"/>
    <n v="29.784999999999997"/>
    <n v="89.35499999999999"/>
    <x v="2"/>
    <x v="0"/>
    <x v="0"/>
  </r>
  <r>
    <x v="264"/>
    <x v="241"/>
    <x v="241"/>
    <x v="2"/>
    <s v="46478-42970-EM"/>
    <s v="A-M-0.5"/>
    <n v="5"/>
    <x v="249"/>
    <s v="dskynerj5@hubpages.com"/>
    <x v="0"/>
    <x v="2"/>
    <x v="2"/>
    <x v="0"/>
    <n v="6.75"/>
    <n v="33.75"/>
    <x v="2"/>
    <x v="2"/>
    <x v="1"/>
  </r>
  <r>
    <x v="265"/>
    <x v="242"/>
    <x v="242"/>
    <x v="3"/>
    <s v="89714-19856-WX"/>
    <s v="L-L-2.5"/>
    <n v="4"/>
    <x v="250"/>
    <s v="dbeauchamp3f@usda.gov"/>
    <x v="0"/>
    <x v="3"/>
    <x v="0"/>
    <x v="3"/>
    <n v="36.454999999999998"/>
    <n v="145.82"/>
    <x v="3"/>
    <x v="0"/>
    <x v="1"/>
  </r>
  <r>
    <x v="266"/>
    <x v="243"/>
    <x v="243"/>
    <x v="3"/>
    <s v="93417-12322-YB"/>
    <s v="A-D-2.5"/>
    <n v="2"/>
    <x v="251"/>
    <s v="dgadsdenib@google.com.hk"/>
    <x v="2"/>
    <x v="2"/>
    <x v="1"/>
    <x v="3"/>
    <n v="22.884999999999998"/>
    <n v="45.769999999999996"/>
    <x v="2"/>
    <x v="1"/>
    <x v="0"/>
  </r>
  <r>
    <x v="267"/>
    <x v="244"/>
    <x v="244"/>
    <x v="0"/>
    <s v="34419-18068-AG"/>
    <s v="E-D-2.5"/>
    <n v="4"/>
    <x v="252"/>
    <s v="dduffiepr@time.com"/>
    <x v="0"/>
    <x v="0"/>
    <x v="1"/>
    <x v="3"/>
    <n v="27.945"/>
    <n v="111.78"/>
    <x v="0"/>
    <x v="1"/>
    <x v="1"/>
  </r>
  <r>
    <x v="268"/>
    <x v="245"/>
    <x v="245"/>
    <x v="1"/>
    <s v="57837-15577-YK"/>
    <s v="E-D-2.5"/>
    <n v="3"/>
    <x v="253"/>
    <s v=""/>
    <x v="2"/>
    <x v="0"/>
    <x v="1"/>
    <x v="3"/>
    <n v="27.945"/>
    <n v="83.835000000000008"/>
    <x v="0"/>
    <x v="1"/>
    <x v="1"/>
  </r>
  <r>
    <x v="269"/>
    <x v="15"/>
    <x v="15"/>
    <x v="2"/>
    <s v="66976-43829-YG"/>
    <s v="A-D-1"/>
    <n v="5"/>
    <x v="254"/>
    <s v="dduke82@vkontakte.ru"/>
    <x v="0"/>
    <x v="2"/>
    <x v="1"/>
    <x v="2"/>
    <n v="9.9499999999999993"/>
    <n v="49.75"/>
    <x v="2"/>
    <x v="1"/>
    <x v="1"/>
  </r>
  <r>
    <x v="270"/>
    <x v="246"/>
    <x v="246"/>
    <x v="2"/>
    <s v="19485-98072-PS"/>
    <s v="L-M-1"/>
    <n v="4"/>
    <x v="255"/>
    <s v="dflintiffg1@e-recht24.de"/>
    <x v="1"/>
    <x v="3"/>
    <x v="2"/>
    <x v="2"/>
    <n v="14.55"/>
    <n v="58.2"/>
    <x v="3"/>
    <x v="2"/>
    <x v="1"/>
  </r>
  <r>
    <x v="271"/>
    <x v="247"/>
    <x v="247"/>
    <x v="1"/>
    <s v="19485-98072-PS"/>
    <s v="E-M-1"/>
    <n v="6"/>
    <x v="255"/>
    <s v="dflintiffg1@e-recht24.de"/>
    <x v="1"/>
    <x v="0"/>
    <x v="2"/>
    <x v="2"/>
    <n v="13.75"/>
    <n v="82.5"/>
    <x v="0"/>
    <x v="2"/>
    <x v="1"/>
  </r>
  <r>
    <x v="272"/>
    <x v="248"/>
    <x v="248"/>
    <x v="1"/>
    <s v="19485-98072-PS"/>
    <s v="A-D-2.5"/>
    <n v="6"/>
    <x v="255"/>
    <s v="dflintiffg1@e-recht24.de"/>
    <x v="1"/>
    <x v="2"/>
    <x v="1"/>
    <x v="3"/>
    <n v="22.884999999999998"/>
    <n v="137.31"/>
    <x v="2"/>
    <x v="1"/>
    <x v="1"/>
  </r>
  <r>
    <x v="273"/>
    <x v="249"/>
    <x v="249"/>
    <x v="1"/>
    <s v="70140-82812-KD"/>
    <s v="A-M-0.5"/>
    <n v="4"/>
    <x v="256"/>
    <s v="dsangwinfu@weebly.com"/>
    <x v="0"/>
    <x v="2"/>
    <x v="2"/>
    <x v="0"/>
    <n v="6.75"/>
    <n v="27"/>
    <x v="2"/>
    <x v="2"/>
    <x v="1"/>
  </r>
  <r>
    <x v="274"/>
    <x v="250"/>
    <x v="250"/>
    <x v="0"/>
    <s v="09668-23340-IC"/>
    <s v="R-M-0.2"/>
    <n v="3"/>
    <x v="257"/>
    <s v="dfowlegr@epa.gov"/>
    <x v="0"/>
    <x v="1"/>
    <x v="2"/>
    <x v="1"/>
    <n v="2.9849999999999999"/>
    <n v="8.9550000000000001"/>
    <x v="1"/>
    <x v="2"/>
    <x v="1"/>
  </r>
  <r>
    <x v="275"/>
    <x v="251"/>
    <x v="251"/>
    <x v="2"/>
    <s v="63985-64148-MG"/>
    <s v="E-D-0.2"/>
    <n v="5"/>
    <x v="258"/>
    <s v="dbonhome8z@shinystat.com"/>
    <x v="0"/>
    <x v="0"/>
    <x v="1"/>
    <x v="1"/>
    <n v="3.645"/>
    <n v="18.225000000000001"/>
    <x v="0"/>
    <x v="1"/>
    <x v="0"/>
  </r>
  <r>
    <x v="276"/>
    <x v="252"/>
    <x v="252"/>
    <x v="0"/>
    <s v="85589-17020-CX"/>
    <s v="E-M-2.5"/>
    <n v="2"/>
    <x v="259"/>
    <s v=""/>
    <x v="0"/>
    <x v="0"/>
    <x v="2"/>
    <x v="3"/>
    <n v="31.624999999999996"/>
    <n v="63.249999999999993"/>
    <x v="0"/>
    <x v="2"/>
    <x v="0"/>
  </r>
  <r>
    <x v="277"/>
    <x v="253"/>
    <x v="253"/>
    <x v="1"/>
    <s v="30585-48726-BK"/>
    <s v="A-M-2.5"/>
    <n v="1"/>
    <x v="260"/>
    <s v="dhedlestone7m@craigslist.org"/>
    <x v="0"/>
    <x v="2"/>
    <x v="2"/>
    <x v="3"/>
    <n v="25.874999999999996"/>
    <n v="25.874999999999996"/>
    <x v="2"/>
    <x v="2"/>
    <x v="1"/>
  </r>
  <r>
    <x v="278"/>
    <x v="254"/>
    <x v="254"/>
    <x v="3"/>
    <s v="22725-79522-GP"/>
    <s v="R-M-1"/>
    <n v="6"/>
    <x v="261"/>
    <s v="dfrieseq@cargocollective.com"/>
    <x v="0"/>
    <x v="1"/>
    <x v="2"/>
    <x v="2"/>
    <n v="9.9499999999999993"/>
    <n v="59.699999999999996"/>
    <x v="1"/>
    <x v="2"/>
    <x v="1"/>
  </r>
  <r>
    <x v="279"/>
    <x v="255"/>
    <x v="255"/>
    <x v="0"/>
    <s v="34317-87258-HQ"/>
    <s v="L-D-2.5"/>
    <n v="4"/>
    <x v="262"/>
    <s v=""/>
    <x v="2"/>
    <x v="3"/>
    <x v="1"/>
    <x v="3"/>
    <n v="29.784999999999997"/>
    <n v="119.13999999999999"/>
    <x v="3"/>
    <x v="1"/>
    <x v="0"/>
  </r>
  <r>
    <x v="280"/>
    <x v="256"/>
    <x v="256"/>
    <x v="1"/>
    <s v="27723-45097-MH"/>
    <s v="R-L-2.5"/>
    <n v="4"/>
    <x v="263"/>
    <s v="dbury7o@tinyurl.com"/>
    <x v="2"/>
    <x v="1"/>
    <x v="0"/>
    <x v="3"/>
    <n v="27.484999999999996"/>
    <n v="109.93999999999998"/>
    <x v="1"/>
    <x v="0"/>
    <x v="0"/>
  </r>
  <r>
    <x v="281"/>
    <x v="257"/>
    <x v="257"/>
    <x v="3"/>
    <s v="88060-50676-MV"/>
    <s v="R-M-1"/>
    <n v="2"/>
    <x v="264"/>
    <s v=""/>
    <x v="0"/>
    <x v="1"/>
    <x v="2"/>
    <x v="2"/>
    <n v="9.9499999999999993"/>
    <n v="19.899999999999999"/>
    <x v="1"/>
    <x v="2"/>
    <x v="0"/>
  </r>
  <r>
    <x v="282"/>
    <x v="258"/>
    <x v="258"/>
    <x v="2"/>
    <s v="44601-51441-BH"/>
    <s v="A-L-2.5"/>
    <n v="5"/>
    <x v="265"/>
    <s v="dsopperp4@eventbrite.com"/>
    <x v="0"/>
    <x v="2"/>
    <x v="0"/>
    <x v="3"/>
    <n v="29.784999999999997"/>
    <n v="148.92499999999998"/>
    <x v="2"/>
    <x v="0"/>
    <x v="1"/>
  </r>
  <r>
    <x v="283"/>
    <x v="259"/>
    <x v="259"/>
    <x v="0"/>
    <s v="45315-50206-DK"/>
    <s v="R-M-0.5"/>
    <n v="6"/>
    <x v="266"/>
    <s v="dvizor88@furl.net"/>
    <x v="0"/>
    <x v="1"/>
    <x v="2"/>
    <x v="0"/>
    <n v="5.97"/>
    <n v="35.82"/>
    <x v="1"/>
    <x v="2"/>
    <x v="0"/>
  </r>
  <r>
    <x v="284"/>
    <x v="260"/>
    <x v="260"/>
    <x v="1"/>
    <s v="08523-01791-TI"/>
    <s v="R-M-2.5"/>
    <n v="5"/>
    <x v="267"/>
    <s v="dde12@unesco.org"/>
    <x v="0"/>
    <x v="1"/>
    <x v="2"/>
    <x v="3"/>
    <n v="22.884999999999998"/>
    <n v="114.42499999999998"/>
    <x v="1"/>
    <x v="2"/>
    <x v="1"/>
  </r>
  <r>
    <x v="285"/>
    <x v="261"/>
    <x v="261"/>
    <x v="1"/>
    <s v="44494-89923-UW"/>
    <s v="A-D-0.5"/>
    <n v="3"/>
    <x v="268"/>
    <s v="dhollymanl1@ibm.com"/>
    <x v="0"/>
    <x v="2"/>
    <x v="1"/>
    <x v="0"/>
    <n v="5.97"/>
    <n v="17.91"/>
    <x v="2"/>
    <x v="1"/>
    <x v="0"/>
  </r>
  <r>
    <x v="286"/>
    <x v="111"/>
    <x v="111"/>
    <x v="2"/>
    <s v="55621-06130-SA"/>
    <s v="A-D-1"/>
    <n v="1"/>
    <x v="269"/>
    <s v="drallinhy@howstuffworks.com"/>
    <x v="0"/>
    <x v="2"/>
    <x v="1"/>
    <x v="2"/>
    <n v="9.9499999999999993"/>
    <n v="9.9499999999999993"/>
    <x v="2"/>
    <x v="1"/>
    <x v="0"/>
  </r>
  <r>
    <x v="287"/>
    <x v="262"/>
    <x v="262"/>
    <x v="2"/>
    <s v="97855-54761-IS"/>
    <s v="E-D-0.5"/>
    <n v="3"/>
    <x v="270"/>
    <s v="dtift4i@netvibes.com"/>
    <x v="0"/>
    <x v="0"/>
    <x v="1"/>
    <x v="0"/>
    <n v="7.29"/>
    <n v="21.87"/>
    <x v="0"/>
    <x v="1"/>
    <x v="0"/>
  </r>
  <r>
    <x v="288"/>
    <x v="263"/>
    <x v="263"/>
    <x v="2"/>
    <s v="99144-98314-GN"/>
    <s v="R-L-0.2"/>
    <n v="1"/>
    <x v="271"/>
    <s v="djevonp1@ibm.com"/>
    <x v="0"/>
    <x v="1"/>
    <x v="0"/>
    <x v="1"/>
    <n v="3.5849999999999995"/>
    <n v="3.5849999999999995"/>
    <x v="1"/>
    <x v="0"/>
    <x v="0"/>
  </r>
  <r>
    <x v="289"/>
    <x v="264"/>
    <x v="264"/>
    <x v="1"/>
    <s v="49315-21985-BB"/>
    <s v="E-L-2.5"/>
    <n v="5"/>
    <x v="272"/>
    <s v="dphizackerlyb@utexas.edu"/>
    <x v="0"/>
    <x v="0"/>
    <x v="0"/>
    <x v="3"/>
    <n v="34.154999999999994"/>
    <n v="170.77499999999998"/>
    <x v="0"/>
    <x v="0"/>
    <x v="0"/>
  </r>
  <r>
    <x v="290"/>
    <x v="34"/>
    <x v="34"/>
    <x v="2"/>
    <s v="45190-08727-NV"/>
    <s v="L-D-1"/>
    <n v="3"/>
    <x v="273"/>
    <s v="daizikovitz2u@answers.com"/>
    <x v="2"/>
    <x v="3"/>
    <x v="1"/>
    <x v="2"/>
    <n v="12.95"/>
    <n v="38.849999999999994"/>
    <x v="3"/>
    <x v="1"/>
    <x v="0"/>
  </r>
  <r>
    <x v="291"/>
    <x v="265"/>
    <x v="265"/>
    <x v="3"/>
    <s v="17488-65879-XL"/>
    <s v="E-L-0.5"/>
    <n v="4"/>
    <x v="274"/>
    <s v="edambrogiohn@techcrunch.com"/>
    <x v="0"/>
    <x v="0"/>
    <x v="0"/>
    <x v="0"/>
    <n v="8.91"/>
    <n v="35.64"/>
    <x v="0"/>
    <x v="0"/>
    <x v="0"/>
  </r>
  <r>
    <x v="292"/>
    <x v="266"/>
    <x v="266"/>
    <x v="2"/>
    <s v="09595-95726-OV"/>
    <s v="R-D-0.5"/>
    <n v="3"/>
    <x v="275"/>
    <s v="esedgebeer89@oaic.gov.au"/>
    <x v="0"/>
    <x v="1"/>
    <x v="1"/>
    <x v="0"/>
    <n v="5.3699999999999992"/>
    <n v="16.11"/>
    <x v="1"/>
    <x v="1"/>
    <x v="0"/>
  </r>
  <r>
    <x v="293"/>
    <x v="267"/>
    <x v="267"/>
    <x v="0"/>
    <s v="00886-35803-FG"/>
    <s v="L-D-0.5"/>
    <n v="3"/>
    <x v="276"/>
    <s v=""/>
    <x v="0"/>
    <x v="3"/>
    <x v="1"/>
    <x v="0"/>
    <n v="7.77"/>
    <n v="23.31"/>
    <x v="3"/>
    <x v="1"/>
    <x v="1"/>
  </r>
  <r>
    <x v="294"/>
    <x v="268"/>
    <x v="268"/>
    <x v="3"/>
    <s v="52098-80103-FD"/>
    <s v="A-M-2.5"/>
    <n v="2"/>
    <x v="277"/>
    <s v=""/>
    <x v="0"/>
    <x v="2"/>
    <x v="2"/>
    <x v="3"/>
    <n v="25.874999999999996"/>
    <n v="51.749999999999993"/>
    <x v="2"/>
    <x v="2"/>
    <x v="0"/>
  </r>
  <r>
    <x v="295"/>
    <x v="269"/>
    <x v="269"/>
    <x v="1"/>
    <s v="92599-58687-CS"/>
    <s v="R-D-0.2"/>
    <n v="5"/>
    <x v="278"/>
    <s v=""/>
    <x v="0"/>
    <x v="1"/>
    <x v="1"/>
    <x v="1"/>
    <n v="2.6849999999999996"/>
    <n v="13.424999999999997"/>
    <x v="1"/>
    <x v="1"/>
    <x v="0"/>
  </r>
  <r>
    <x v="296"/>
    <x v="270"/>
    <x v="270"/>
    <x v="3"/>
    <s v="08360-19442-GB"/>
    <s v="L-M-2.5"/>
    <n v="4"/>
    <x v="279"/>
    <s v="eyurkov6s@hud.gov"/>
    <x v="0"/>
    <x v="3"/>
    <x v="2"/>
    <x v="3"/>
    <n v="33.464999999999996"/>
    <n v="133.85999999999999"/>
    <x v="3"/>
    <x v="2"/>
    <x v="1"/>
  </r>
  <r>
    <x v="297"/>
    <x v="271"/>
    <x v="271"/>
    <x v="1"/>
    <s v="95351-96177-QV"/>
    <s v="A-M-2.5"/>
    <n v="2"/>
    <x v="280"/>
    <s v="eandriessenj9@europa.eu"/>
    <x v="0"/>
    <x v="2"/>
    <x v="2"/>
    <x v="3"/>
    <n v="25.874999999999996"/>
    <n v="51.749999999999993"/>
    <x v="2"/>
    <x v="2"/>
    <x v="0"/>
  </r>
  <r>
    <x v="298"/>
    <x v="272"/>
    <x v="272"/>
    <x v="3"/>
    <s v="91895-55605-LS"/>
    <s v="E-L-0.5"/>
    <n v="4"/>
    <x v="281"/>
    <s v="eaizikowitzfv@virginia.edu"/>
    <x v="1"/>
    <x v="0"/>
    <x v="0"/>
    <x v="0"/>
    <n v="8.91"/>
    <n v="35.64"/>
    <x v="0"/>
    <x v="0"/>
    <x v="1"/>
  </r>
  <r>
    <x v="299"/>
    <x v="35"/>
    <x v="35"/>
    <x v="1"/>
    <s v="43605-12616-YH"/>
    <s v="E-D-0.5"/>
    <n v="3"/>
    <x v="282"/>
    <s v="ewindressam@marketwatch.com"/>
    <x v="0"/>
    <x v="0"/>
    <x v="1"/>
    <x v="0"/>
    <n v="7.29"/>
    <n v="21.87"/>
    <x v="0"/>
    <x v="1"/>
    <x v="1"/>
  </r>
  <r>
    <x v="300"/>
    <x v="53"/>
    <x v="53"/>
    <x v="2"/>
    <s v="68894-91205-MP"/>
    <s v="R-L-1"/>
    <n v="3"/>
    <x v="283"/>
    <s v="egrise2g@cargocollective.com"/>
    <x v="0"/>
    <x v="1"/>
    <x v="0"/>
    <x v="2"/>
    <n v="11.95"/>
    <n v="35.849999999999994"/>
    <x v="1"/>
    <x v="0"/>
    <x v="1"/>
  </r>
  <r>
    <x v="301"/>
    <x v="273"/>
    <x v="273"/>
    <x v="0"/>
    <s v="76930-61689-CH"/>
    <s v="R-L-1"/>
    <n v="5"/>
    <x v="284"/>
    <s v=""/>
    <x v="0"/>
    <x v="1"/>
    <x v="0"/>
    <x v="2"/>
    <n v="11.95"/>
    <n v="59.75"/>
    <x v="1"/>
    <x v="0"/>
    <x v="1"/>
  </r>
  <r>
    <x v="302"/>
    <x v="274"/>
    <x v="274"/>
    <x v="3"/>
    <s v="68239-74809-TF"/>
    <s v="E-L-2.5"/>
    <n v="3"/>
    <x v="285"/>
    <s v=""/>
    <x v="2"/>
    <x v="0"/>
    <x v="0"/>
    <x v="3"/>
    <n v="34.154999999999994"/>
    <n v="102.46499999999997"/>
    <x v="0"/>
    <x v="0"/>
    <x v="1"/>
  </r>
  <r>
    <x v="303"/>
    <x v="275"/>
    <x v="275"/>
    <x v="2"/>
    <s v="11550-78378-GE"/>
    <s v="R-L-0.2"/>
    <n v="4"/>
    <x v="286"/>
    <s v="ewesterman69@si.edu"/>
    <x v="2"/>
    <x v="1"/>
    <x v="0"/>
    <x v="1"/>
    <n v="3.5849999999999995"/>
    <n v="14.339999999999998"/>
    <x v="1"/>
    <x v="0"/>
    <x v="1"/>
  </r>
  <r>
    <x v="304"/>
    <x v="276"/>
    <x v="276"/>
    <x v="0"/>
    <s v="89442-35633-HJ"/>
    <s v="E-L-0.5"/>
    <n v="4"/>
    <x v="287"/>
    <s v="elangcaster2l@spotify.com"/>
    <x v="1"/>
    <x v="0"/>
    <x v="0"/>
    <x v="0"/>
    <n v="8.91"/>
    <n v="35.64"/>
    <x v="0"/>
    <x v="0"/>
    <x v="0"/>
  </r>
  <r>
    <x v="305"/>
    <x v="277"/>
    <x v="277"/>
    <x v="2"/>
    <s v="64481-42546-II"/>
    <s v="R-L-2.5"/>
    <n v="6"/>
    <x v="288"/>
    <s v=""/>
    <x v="2"/>
    <x v="1"/>
    <x v="0"/>
    <x v="3"/>
    <n v="27.484999999999996"/>
    <n v="164.90999999999997"/>
    <x v="1"/>
    <x v="0"/>
    <x v="1"/>
  </r>
  <r>
    <x v="306"/>
    <x v="131"/>
    <x v="131"/>
    <x v="0"/>
    <s v="04739-85772-QT"/>
    <s v="E-L-2.5"/>
    <n v="6"/>
    <x v="289"/>
    <s v=""/>
    <x v="0"/>
    <x v="0"/>
    <x v="0"/>
    <x v="3"/>
    <n v="34.154999999999994"/>
    <n v="204.92999999999995"/>
    <x v="0"/>
    <x v="0"/>
    <x v="0"/>
  </r>
  <r>
    <x v="307"/>
    <x v="278"/>
    <x v="278"/>
    <x v="0"/>
    <s v="99978-56910-BN"/>
    <s v="E-L-0.2"/>
    <n v="5"/>
    <x v="290"/>
    <s v="erolingq@google.fr"/>
    <x v="0"/>
    <x v="0"/>
    <x v="0"/>
    <x v="1"/>
    <n v="4.4550000000000001"/>
    <n v="22.274999999999999"/>
    <x v="0"/>
    <x v="0"/>
    <x v="0"/>
  </r>
  <r>
    <x v="308"/>
    <x v="64"/>
    <x v="64"/>
    <x v="3"/>
    <s v="80247-70000-HT"/>
    <s v="R-D-2.5"/>
    <n v="1"/>
    <x v="291"/>
    <s v="egalgey5x@wufoo.com"/>
    <x v="0"/>
    <x v="1"/>
    <x v="1"/>
    <x v="3"/>
    <n v="20.584999999999997"/>
    <n v="20.584999999999997"/>
    <x v="1"/>
    <x v="1"/>
    <x v="1"/>
  </r>
  <r>
    <x v="309"/>
    <x v="279"/>
    <x v="279"/>
    <x v="0"/>
    <s v="34015-31593-JC"/>
    <s v="L-M-1"/>
    <n v="6"/>
    <x v="292"/>
    <s v="epriddis2w@nationalgeographic.com"/>
    <x v="0"/>
    <x v="3"/>
    <x v="2"/>
    <x v="2"/>
    <n v="14.55"/>
    <n v="87.300000000000011"/>
    <x v="3"/>
    <x v="2"/>
    <x v="1"/>
  </r>
  <r>
    <x v="310"/>
    <x v="280"/>
    <x v="280"/>
    <x v="1"/>
    <s v="38978-59582-JP"/>
    <s v="R-L-2.5"/>
    <n v="4"/>
    <x v="293"/>
    <s v="eheining4x@flickr.com"/>
    <x v="0"/>
    <x v="1"/>
    <x v="0"/>
    <x v="3"/>
    <n v="27.484999999999996"/>
    <n v="109.93999999999998"/>
    <x v="1"/>
    <x v="0"/>
    <x v="0"/>
  </r>
  <r>
    <x v="311"/>
    <x v="281"/>
    <x v="281"/>
    <x v="2"/>
    <s v="66806-41795-MX"/>
    <s v="E-D-0.5"/>
    <n v="5"/>
    <x v="294"/>
    <s v="elaird5e@bing.com"/>
    <x v="0"/>
    <x v="0"/>
    <x v="1"/>
    <x v="0"/>
    <n v="7.29"/>
    <n v="36.450000000000003"/>
    <x v="0"/>
    <x v="1"/>
    <x v="1"/>
  </r>
  <r>
    <x v="312"/>
    <x v="282"/>
    <x v="282"/>
    <x v="0"/>
    <s v="79420-11075-MY"/>
    <s v="A-L-0.2"/>
    <n v="2"/>
    <x v="295"/>
    <s v="epalfrey7q@devhub.com"/>
    <x v="0"/>
    <x v="2"/>
    <x v="0"/>
    <x v="1"/>
    <n v="3.8849999999999998"/>
    <n v="7.77"/>
    <x v="2"/>
    <x v="0"/>
    <x v="0"/>
  </r>
  <r>
    <x v="313"/>
    <x v="283"/>
    <x v="283"/>
    <x v="2"/>
    <s v="91181-19412-RQ"/>
    <s v="E-D-0.2"/>
    <n v="2"/>
    <x v="296"/>
    <s v="erasmus9f@techcrunch.com"/>
    <x v="0"/>
    <x v="0"/>
    <x v="1"/>
    <x v="1"/>
    <n v="3.645"/>
    <n v="7.29"/>
    <x v="0"/>
    <x v="1"/>
    <x v="0"/>
  </r>
  <r>
    <x v="314"/>
    <x v="284"/>
    <x v="284"/>
    <x v="2"/>
    <s v="86100-33488-WP"/>
    <s v="A-M-2.5"/>
    <n v="6"/>
    <x v="297"/>
    <s v=""/>
    <x v="0"/>
    <x v="2"/>
    <x v="2"/>
    <x v="3"/>
    <n v="25.874999999999996"/>
    <n v="155.24999999999997"/>
    <x v="2"/>
    <x v="2"/>
    <x v="1"/>
  </r>
  <r>
    <x v="315"/>
    <x v="285"/>
    <x v="285"/>
    <x v="1"/>
    <s v="53729-30320-XZ"/>
    <s v="R-D-0.5"/>
    <n v="5"/>
    <x v="298"/>
    <s v="etrippmt@wp.com"/>
    <x v="0"/>
    <x v="1"/>
    <x v="1"/>
    <x v="0"/>
    <n v="5.3699999999999992"/>
    <n v="26.849999999999994"/>
    <x v="1"/>
    <x v="1"/>
    <x v="1"/>
  </r>
  <r>
    <x v="316"/>
    <x v="286"/>
    <x v="286"/>
    <x v="2"/>
    <s v="18741-72071-PP"/>
    <s v="A-M-1"/>
    <n v="3"/>
    <x v="299"/>
    <s v="ebeeble8j@soundcloud.com"/>
    <x v="0"/>
    <x v="2"/>
    <x v="2"/>
    <x v="2"/>
    <n v="11.25"/>
    <n v="33.75"/>
    <x v="2"/>
    <x v="2"/>
    <x v="0"/>
  </r>
  <r>
    <x v="317"/>
    <x v="287"/>
    <x v="287"/>
    <x v="2"/>
    <s v="10637-45522-ID"/>
    <s v="L-L-2.5"/>
    <n v="2"/>
    <x v="300"/>
    <s v=""/>
    <x v="0"/>
    <x v="3"/>
    <x v="0"/>
    <x v="3"/>
    <n v="36.454999999999998"/>
    <n v="72.91"/>
    <x v="3"/>
    <x v="0"/>
    <x v="1"/>
  </r>
  <r>
    <x v="318"/>
    <x v="288"/>
    <x v="288"/>
    <x v="1"/>
    <s v="94525-76037-JP"/>
    <s v="A-M-1"/>
    <n v="2"/>
    <x v="301"/>
    <s v="eryles9r@fastcompany.com"/>
    <x v="0"/>
    <x v="2"/>
    <x v="2"/>
    <x v="2"/>
    <n v="11.25"/>
    <n v="22.5"/>
    <x v="2"/>
    <x v="2"/>
    <x v="1"/>
  </r>
  <r>
    <x v="319"/>
    <x v="289"/>
    <x v="289"/>
    <x v="2"/>
    <s v="28279-78469-YW"/>
    <s v="E-M-2.5"/>
    <n v="2"/>
    <x v="302"/>
    <s v="ehobbing4v@nsw.gov.au"/>
    <x v="0"/>
    <x v="0"/>
    <x v="2"/>
    <x v="3"/>
    <n v="31.624999999999996"/>
    <n v="63.249999999999993"/>
    <x v="0"/>
    <x v="2"/>
    <x v="0"/>
  </r>
  <r>
    <x v="320"/>
    <x v="290"/>
    <x v="290"/>
    <x v="0"/>
    <s v="83490-88357-LJ"/>
    <s v="E-M-1"/>
    <n v="4"/>
    <x v="303"/>
    <s v="estentonms@google.it"/>
    <x v="0"/>
    <x v="0"/>
    <x v="2"/>
    <x v="2"/>
    <n v="13.75"/>
    <n v="55"/>
    <x v="0"/>
    <x v="2"/>
    <x v="0"/>
  </r>
  <r>
    <x v="321"/>
    <x v="291"/>
    <x v="291"/>
    <x v="1"/>
    <s v="37430-29579-HD"/>
    <s v="L-M-0.2"/>
    <n v="6"/>
    <x v="304"/>
    <s v="ebletsor8l@vinaora.com"/>
    <x v="0"/>
    <x v="3"/>
    <x v="2"/>
    <x v="1"/>
    <n v="4.3650000000000002"/>
    <n v="26.19"/>
    <x v="3"/>
    <x v="2"/>
    <x v="0"/>
  </r>
  <r>
    <x v="322"/>
    <x v="292"/>
    <x v="292"/>
    <x v="0"/>
    <s v="88593-59934-VU"/>
    <s v="E-D-1"/>
    <n v="1"/>
    <x v="305"/>
    <s v="edacca3l@google.pl"/>
    <x v="0"/>
    <x v="0"/>
    <x v="1"/>
    <x v="2"/>
    <n v="12.15"/>
    <n v="12.15"/>
    <x v="0"/>
    <x v="1"/>
    <x v="0"/>
  </r>
  <r>
    <x v="323"/>
    <x v="271"/>
    <x v="271"/>
    <x v="1"/>
    <s v="40226-52317-IO"/>
    <s v="A-M-0.5"/>
    <n v="5"/>
    <x v="306"/>
    <s v="ewilsonepq@eepurl.com"/>
    <x v="0"/>
    <x v="2"/>
    <x v="2"/>
    <x v="0"/>
    <n v="6.75"/>
    <n v="33.75"/>
    <x v="2"/>
    <x v="2"/>
    <x v="0"/>
  </r>
  <r>
    <x v="324"/>
    <x v="293"/>
    <x v="293"/>
    <x v="3"/>
    <s v="02536-18494-AQ"/>
    <s v="E-M-2.5"/>
    <n v="3"/>
    <x v="307"/>
    <s v=""/>
    <x v="0"/>
    <x v="0"/>
    <x v="2"/>
    <x v="3"/>
    <n v="31.624999999999996"/>
    <n v="94.874999999999986"/>
    <x v="0"/>
    <x v="2"/>
    <x v="0"/>
  </r>
  <r>
    <x v="325"/>
    <x v="217"/>
    <x v="217"/>
    <x v="2"/>
    <s v="24825-51803-CQ"/>
    <s v="A-D-0.5"/>
    <n v="6"/>
    <x v="308"/>
    <s v="feilhartz@who.int"/>
    <x v="0"/>
    <x v="2"/>
    <x v="1"/>
    <x v="0"/>
    <n v="5.97"/>
    <n v="35.82"/>
    <x v="2"/>
    <x v="1"/>
    <x v="1"/>
  </r>
  <r>
    <x v="326"/>
    <x v="294"/>
    <x v="294"/>
    <x v="1"/>
    <s v="08405-33165-BS"/>
    <s v="A-M-0.2"/>
    <n v="2"/>
    <x v="309"/>
    <s v="fparlotrb@forbes.com"/>
    <x v="0"/>
    <x v="2"/>
    <x v="2"/>
    <x v="1"/>
    <n v="3.375"/>
    <n v="6.75"/>
    <x v="2"/>
    <x v="2"/>
    <x v="0"/>
  </r>
  <r>
    <x v="327"/>
    <x v="18"/>
    <x v="18"/>
    <x v="1"/>
    <s v="34786-30419-XY"/>
    <s v="R-L-0.5"/>
    <n v="5"/>
    <x v="310"/>
    <s v="fhaughianq8@1688.com"/>
    <x v="0"/>
    <x v="1"/>
    <x v="0"/>
    <x v="0"/>
    <n v="7.169999999999999"/>
    <n v="35.849999999999994"/>
    <x v="1"/>
    <x v="0"/>
    <x v="1"/>
  </r>
  <r>
    <x v="328"/>
    <x v="295"/>
    <x v="295"/>
    <x v="1"/>
    <s v="27493-46921-TZ"/>
    <s v="L-M-0.2"/>
    <n v="6"/>
    <x v="311"/>
    <s v="fflanagand9@woothemes.com"/>
    <x v="0"/>
    <x v="3"/>
    <x v="2"/>
    <x v="1"/>
    <n v="4.3650000000000002"/>
    <n v="26.19"/>
    <x v="3"/>
    <x v="2"/>
    <x v="1"/>
  </r>
  <r>
    <x v="329"/>
    <x v="296"/>
    <x v="296"/>
    <x v="3"/>
    <s v="00445-42781-KX"/>
    <s v="E-L-0.2"/>
    <n v="6"/>
    <x v="312"/>
    <s v="fbrighamhg@blog.com"/>
    <x v="2"/>
    <x v="0"/>
    <x v="0"/>
    <x v="1"/>
    <n v="4.4550000000000001"/>
    <n v="26.73"/>
    <x v="0"/>
    <x v="0"/>
    <x v="0"/>
  </r>
  <r>
    <x v="329"/>
    <x v="296"/>
    <x v="296"/>
    <x v="3"/>
    <s v="00445-42781-KX"/>
    <s v="L-D-0.5"/>
    <n v="4"/>
    <x v="312"/>
    <s v="fbrighamhg@blog.com"/>
    <x v="2"/>
    <x v="3"/>
    <x v="1"/>
    <x v="0"/>
    <n v="7.77"/>
    <n v="31.08"/>
    <x v="3"/>
    <x v="1"/>
    <x v="0"/>
  </r>
  <r>
    <x v="329"/>
    <x v="296"/>
    <x v="296"/>
    <x v="3"/>
    <s v="00445-42781-KX"/>
    <s v="A-D-0.2"/>
    <n v="1"/>
    <x v="312"/>
    <s v="fbrighamhg@blog.com"/>
    <x v="2"/>
    <x v="2"/>
    <x v="1"/>
    <x v="1"/>
    <n v="2.9849999999999999"/>
    <n v="2.9849999999999999"/>
    <x v="2"/>
    <x v="1"/>
    <x v="0"/>
  </r>
  <r>
    <x v="329"/>
    <x v="296"/>
    <x v="296"/>
    <x v="3"/>
    <s v="00445-42781-KX"/>
    <s v="R-D-2.5"/>
    <n v="5"/>
    <x v="312"/>
    <s v="fbrighamhg@blog.com"/>
    <x v="2"/>
    <x v="1"/>
    <x v="1"/>
    <x v="3"/>
    <n v="20.584999999999997"/>
    <n v="102.92499999999998"/>
    <x v="1"/>
    <x v="1"/>
    <x v="0"/>
  </r>
  <r>
    <x v="330"/>
    <x v="163"/>
    <x v="163"/>
    <x v="1"/>
    <s v="01433-04270-AX"/>
    <s v="R-M-0.5"/>
    <n v="6"/>
    <x v="313"/>
    <s v=""/>
    <x v="0"/>
    <x v="1"/>
    <x v="2"/>
    <x v="0"/>
    <n v="5.97"/>
    <n v="35.82"/>
    <x v="1"/>
    <x v="2"/>
    <x v="0"/>
  </r>
  <r>
    <x v="331"/>
    <x v="159"/>
    <x v="159"/>
    <x v="3"/>
    <s v="73699-93557-FZ"/>
    <s v="A-M-2.5"/>
    <n v="2"/>
    <x v="314"/>
    <s v="fmiellbc@spiegel.de"/>
    <x v="0"/>
    <x v="2"/>
    <x v="2"/>
    <x v="3"/>
    <n v="25.874999999999996"/>
    <n v="51.749999999999993"/>
    <x v="2"/>
    <x v="2"/>
    <x v="0"/>
  </r>
  <r>
    <x v="332"/>
    <x v="264"/>
    <x v="264"/>
    <x v="1"/>
    <s v="54597-57004-QM"/>
    <s v="L-L-1"/>
    <n v="2"/>
    <x v="315"/>
    <s v="fjecockdq@unicef.org"/>
    <x v="0"/>
    <x v="3"/>
    <x v="0"/>
    <x v="2"/>
    <n v="15.85"/>
    <n v="31.7"/>
    <x v="3"/>
    <x v="0"/>
    <x v="1"/>
  </r>
  <r>
    <x v="333"/>
    <x v="297"/>
    <x v="297"/>
    <x v="3"/>
    <s v="64815-54078-HH"/>
    <s v="E-L-1"/>
    <n v="5"/>
    <x v="316"/>
    <s v="fbabbera2@stanford.edu"/>
    <x v="0"/>
    <x v="0"/>
    <x v="0"/>
    <x v="2"/>
    <n v="14.85"/>
    <n v="74.25"/>
    <x v="0"/>
    <x v="0"/>
    <x v="0"/>
  </r>
  <r>
    <x v="334"/>
    <x v="298"/>
    <x v="298"/>
    <x v="3"/>
    <s v="38890-22576-UI"/>
    <s v="R-D-1"/>
    <n v="2"/>
    <x v="317"/>
    <s v="fdauney4p@sphinn.com"/>
    <x v="2"/>
    <x v="1"/>
    <x v="1"/>
    <x v="2"/>
    <n v="8.9499999999999993"/>
    <n v="17.899999999999999"/>
    <x v="1"/>
    <x v="1"/>
    <x v="1"/>
  </r>
  <r>
    <x v="335"/>
    <x v="299"/>
    <x v="299"/>
    <x v="1"/>
    <s v="90767-92589-LV"/>
    <s v="E-D-0.5"/>
    <n v="2"/>
    <x v="318"/>
    <s v="feshmadeks@umn.edu"/>
    <x v="0"/>
    <x v="0"/>
    <x v="1"/>
    <x v="0"/>
    <n v="7.29"/>
    <n v="14.58"/>
    <x v="0"/>
    <x v="1"/>
    <x v="1"/>
  </r>
  <r>
    <x v="336"/>
    <x v="300"/>
    <x v="300"/>
    <x v="2"/>
    <s v="25331-13794-SB"/>
    <s v="L-M-2.5"/>
    <n v="2"/>
    <x v="319"/>
    <s v="ftourryil@google.de"/>
    <x v="0"/>
    <x v="3"/>
    <x v="2"/>
    <x v="3"/>
    <n v="33.464999999999996"/>
    <n v="66.929999999999993"/>
    <x v="3"/>
    <x v="2"/>
    <x v="1"/>
  </r>
  <r>
    <x v="337"/>
    <x v="301"/>
    <x v="301"/>
    <x v="3"/>
    <s v="46296-42617-OQ"/>
    <s v="R-D-1"/>
    <n v="4"/>
    <x v="320"/>
    <s v="fsulmanl0@washington.edu"/>
    <x v="0"/>
    <x v="1"/>
    <x v="1"/>
    <x v="2"/>
    <n v="8.9499999999999993"/>
    <n v="35.799999999999997"/>
    <x v="1"/>
    <x v="1"/>
    <x v="0"/>
  </r>
  <r>
    <x v="338"/>
    <x v="302"/>
    <x v="302"/>
    <x v="2"/>
    <s v="76239-90137-UQ"/>
    <s v="A-D-1"/>
    <n v="4"/>
    <x v="321"/>
    <s v="fferbera@businesswire.com"/>
    <x v="0"/>
    <x v="2"/>
    <x v="1"/>
    <x v="2"/>
    <n v="9.9499999999999993"/>
    <n v="39.799999999999997"/>
    <x v="2"/>
    <x v="1"/>
    <x v="1"/>
  </r>
  <r>
    <x v="339"/>
    <x v="112"/>
    <x v="112"/>
    <x v="0"/>
    <s v="59971-35626-YJ"/>
    <s v="A-M-2.5"/>
    <n v="3"/>
    <x v="322"/>
    <s v="fkeinrat4c@dailymail.co.uk"/>
    <x v="0"/>
    <x v="2"/>
    <x v="2"/>
    <x v="3"/>
    <n v="25.874999999999996"/>
    <n v="77.624999999999986"/>
    <x v="2"/>
    <x v="2"/>
    <x v="0"/>
  </r>
  <r>
    <x v="340"/>
    <x v="303"/>
    <x v="303"/>
    <x v="2"/>
    <s v="96849-52854-CR"/>
    <s v="E-D-0.5"/>
    <n v="1"/>
    <x v="323"/>
    <s v="fantcliffeo6@amazon.co.jp"/>
    <x v="2"/>
    <x v="0"/>
    <x v="1"/>
    <x v="0"/>
    <n v="7.29"/>
    <n v="7.29"/>
    <x v="0"/>
    <x v="1"/>
    <x v="0"/>
  </r>
  <r>
    <x v="341"/>
    <x v="36"/>
    <x v="36"/>
    <x v="0"/>
    <s v="61302-06948-EH"/>
    <s v="L-D-0.5"/>
    <n v="4"/>
    <x v="324"/>
    <s v="fparresb1@imageshack.us"/>
    <x v="0"/>
    <x v="3"/>
    <x v="1"/>
    <x v="0"/>
    <n v="7.77"/>
    <n v="31.08"/>
    <x v="3"/>
    <x v="1"/>
    <x v="0"/>
  </r>
  <r>
    <x v="342"/>
    <x v="304"/>
    <x v="304"/>
    <x v="1"/>
    <s v="49667-96708-JL"/>
    <s v="A-D-2.5"/>
    <n v="2"/>
    <x v="325"/>
    <s v=""/>
    <x v="0"/>
    <x v="2"/>
    <x v="1"/>
    <x v="3"/>
    <n v="22.884999999999998"/>
    <n v="45.769999999999996"/>
    <x v="2"/>
    <x v="1"/>
    <x v="0"/>
  </r>
  <r>
    <x v="343"/>
    <x v="305"/>
    <x v="305"/>
    <x v="0"/>
    <s v="03157-23165-UB"/>
    <s v="A-L-0.5"/>
    <n v="1"/>
    <x v="326"/>
    <s v="fcrumpe7u@ftc.gov"/>
    <x v="1"/>
    <x v="2"/>
    <x v="0"/>
    <x v="0"/>
    <n v="7.77"/>
    <n v="7.77"/>
    <x v="2"/>
    <x v="0"/>
    <x v="1"/>
  </r>
  <r>
    <x v="344"/>
    <x v="306"/>
    <x v="306"/>
    <x v="2"/>
    <s v="43439-94003-DW"/>
    <s v="E-D-2.5"/>
    <n v="2"/>
    <x v="327"/>
    <s v=""/>
    <x v="0"/>
    <x v="0"/>
    <x v="1"/>
    <x v="3"/>
    <n v="27.945"/>
    <n v="55.89"/>
    <x v="0"/>
    <x v="1"/>
    <x v="1"/>
  </r>
  <r>
    <x v="345"/>
    <x v="307"/>
    <x v="307"/>
    <x v="2"/>
    <s v="43439-94003-DW"/>
    <s v="L-D-0.5"/>
    <n v="3"/>
    <x v="327"/>
    <s v=""/>
    <x v="0"/>
    <x v="3"/>
    <x v="1"/>
    <x v="0"/>
    <n v="7.77"/>
    <n v="23.31"/>
    <x v="3"/>
    <x v="1"/>
    <x v="1"/>
  </r>
  <r>
    <x v="346"/>
    <x v="211"/>
    <x v="211"/>
    <x v="1"/>
    <s v="43439-94003-DW"/>
    <s v="R-D-1"/>
    <n v="5"/>
    <x v="327"/>
    <s v=""/>
    <x v="0"/>
    <x v="1"/>
    <x v="1"/>
    <x v="2"/>
    <n v="8.9499999999999993"/>
    <n v="44.75"/>
    <x v="1"/>
    <x v="1"/>
    <x v="1"/>
  </r>
  <r>
    <x v="347"/>
    <x v="308"/>
    <x v="308"/>
    <x v="1"/>
    <s v="43439-94003-DW"/>
    <s v="E-D-0.5"/>
    <n v="5"/>
    <x v="327"/>
    <s v=""/>
    <x v="0"/>
    <x v="0"/>
    <x v="1"/>
    <x v="0"/>
    <n v="7.29"/>
    <n v="36.450000000000003"/>
    <x v="0"/>
    <x v="1"/>
    <x v="1"/>
  </r>
  <r>
    <x v="348"/>
    <x v="309"/>
    <x v="309"/>
    <x v="3"/>
    <s v="24972-55878-KX"/>
    <s v="R-L-1"/>
    <n v="2"/>
    <x v="328"/>
    <s v="fconstancekz@ifeng.com"/>
    <x v="0"/>
    <x v="1"/>
    <x v="0"/>
    <x v="2"/>
    <n v="11.95"/>
    <n v="23.9"/>
    <x v="1"/>
    <x v="0"/>
    <x v="1"/>
  </r>
  <r>
    <x v="349"/>
    <x v="168"/>
    <x v="168"/>
    <x v="2"/>
    <s v="24972-55878-KX"/>
    <s v="L-L-0.2"/>
    <n v="6"/>
    <x v="328"/>
    <s v="fconstancekz@ifeng.com"/>
    <x v="0"/>
    <x v="3"/>
    <x v="0"/>
    <x v="1"/>
    <n v="4.7549999999999999"/>
    <n v="28.53"/>
    <x v="3"/>
    <x v="0"/>
    <x v="1"/>
  </r>
  <r>
    <x v="350"/>
    <x v="77"/>
    <x v="77"/>
    <x v="2"/>
    <s v="24972-55878-KX"/>
    <s v="A-L-2.5"/>
    <n v="3"/>
    <x v="328"/>
    <s v="fconstancekz@ifeng.com"/>
    <x v="0"/>
    <x v="2"/>
    <x v="0"/>
    <x v="3"/>
    <n v="29.784999999999997"/>
    <n v="89.35499999999999"/>
    <x v="2"/>
    <x v="0"/>
    <x v="1"/>
  </r>
  <r>
    <x v="351"/>
    <x v="310"/>
    <x v="310"/>
    <x v="3"/>
    <s v="00246-15080-LE"/>
    <s v="L-D-2.5"/>
    <n v="6"/>
    <x v="329"/>
    <s v=""/>
    <x v="0"/>
    <x v="3"/>
    <x v="1"/>
    <x v="3"/>
    <n v="29.784999999999997"/>
    <n v="178.70999999999998"/>
    <x v="3"/>
    <x v="1"/>
    <x v="1"/>
  </r>
  <r>
    <x v="352"/>
    <x v="143"/>
    <x v="143"/>
    <x v="1"/>
    <s v="38387-64959-WW"/>
    <s v="L-M-0.5"/>
    <n v="6"/>
    <x v="330"/>
    <s v="fkienleindi@trellian.com"/>
    <x v="2"/>
    <x v="3"/>
    <x v="2"/>
    <x v="0"/>
    <n v="8.73"/>
    <n v="52.38"/>
    <x v="3"/>
    <x v="2"/>
    <x v="0"/>
  </r>
  <r>
    <x v="353"/>
    <x v="311"/>
    <x v="311"/>
    <x v="2"/>
    <s v="88116-12604-TE"/>
    <s v="A-D-0.2"/>
    <n v="4"/>
    <x v="331"/>
    <s v="fhabberghamn8@discovery.com"/>
    <x v="0"/>
    <x v="2"/>
    <x v="1"/>
    <x v="1"/>
    <n v="2.9849999999999999"/>
    <n v="11.94"/>
    <x v="2"/>
    <x v="1"/>
    <x v="1"/>
  </r>
  <r>
    <x v="354"/>
    <x v="312"/>
    <x v="312"/>
    <x v="1"/>
    <s v="54387-64897-XC"/>
    <s v="A-M-0.5"/>
    <n v="1"/>
    <x v="332"/>
    <s v="fmalecky5t@list-manage.com"/>
    <x v="1"/>
    <x v="2"/>
    <x v="2"/>
    <x v="0"/>
    <n v="6.75"/>
    <n v="6.75"/>
    <x v="2"/>
    <x v="2"/>
    <x v="1"/>
  </r>
  <r>
    <x v="355"/>
    <x v="313"/>
    <x v="313"/>
    <x v="2"/>
    <s v="58916-61837-QH"/>
    <s v="A-M-2.5"/>
    <n v="4"/>
    <x v="333"/>
    <s v="fhollowsc8@blogtalkradio.com"/>
    <x v="0"/>
    <x v="2"/>
    <x v="2"/>
    <x v="3"/>
    <n v="25.874999999999996"/>
    <n v="103.49999999999999"/>
    <x v="2"/>
    <x v="2"/>
    <x v="0"/>
  </r>
  <r>
    <x v="356"/>
    <x v="246"/>
    <x v="246"/>
    <x v="2"/>
    <s v="18551-80943-YQ"/>
    <s v="A-M-1"/>
    <n v="5"/>
    <x v="334"/>
    <s v=""/>
    <x v="0"/>
    <x v="2"/>
    <x v="2"/>
    <x v="2"/>
    <n v="11.25"/>
    <n v="56.25"/>
    <x v="2"/>
    <x v="2"/>
    <x v="0"/>
  </r>
  <r>
    <x v="357"/>
    <x v="314"/>
    <x v="314"/>
    <x v="1"/>
    <s v="89711-56688-GG"/>
    <s v="R-M-2.5"/>
    <n v="2"/>
    <x v="335"/>
    <s v="fdrysdale6m@symantec.com"/>
    <x v="0"/>
    <x v="1"/>
    <x v="2"/>
    <x v="3"/>
    <n v="22.884999999999998"/>
    <n v="45.769999999999996"/>
    <x v="1"/>
    <x v="2"/>
    <x v="0"/>
  </r>
  <r>
    <x v="358"/>
    <x v="315"/>
    <x v="315"/>
    <x v="2"/>
    <s v="49480-85909-DG"/>
    <s v="L-L-0.5"/>
    <n v="5"/>
    <x v="336"/>
    <s v=""/>
    <x v="0"/>
    <x v="3"/>
    <x v="0"/>
    <x v="0"/>
    <n v="9.51"/>
    <n v="47.55"/>
    <x v="3"/>
    <x v="0"/>
    <x v="1"/>
  </r>
  <r>
    <x v="359"/>
    <x v="316"/>
    <x v="316"/>
    <x v="0"/>
    <s v="26822-19510-SD"/>
    <s v="E-M-0.2"/>
    <n v="2"/>
    <x v="337"/>
    <s v="gtweed8v@yolasite.com"/>
    <x v="0"/>
    <x v="0"/>
    <x v="2"/>
    <x v="1"/>
    <n v="4.125"/>
    <n v="8.25"/>
    <x v="0"/>
    <x v="2"/>
    <x v="0"/>
  </r>
  <r>
    <x v="359"/>
    <x v="316"/>
    <x v="316"/>
    <x v="0"/>
    <s v="26822-19510-SD"/>
    <s v="A-L-0.2"/>
    <n v="5"/>
    <x v="337"/>
    <s v="gtweed8v@yolasite.com"/>
    <x v="0"/>
    <x v="2"/>
    <x v="0"/>
    <x v="1"/>
    <n v="3.8849999999999998"/>
    <n v="19.424999999999997"/>
    <x v="2"/>
    <x v="0"/>
    <x v="0"/>
  </r>
  <r>
    <x v="360"/>
    <x v="317"/>
    <x v="317"/>
    <x v="0"/>
    <s v="51901-35210-UI"/>
    <s v="A-L-2.5"/>
    <n v="2"/>
    <x v="338"/>
    <s v="gstarcksgi@abc.net.au"/>
    <x v="0"/>
    <x v="2"/>
    <x v="0"/>
    <x v="3"/>
    <n v="29.784999999999997"/>
    <n v="59.569999999999993"/>
    <x v="2"/>
    <x v="0"/>
    <x v="1"/>
  </r>
  <r>
    <x v="361"/>
    <x v="318"/>
    <x v="318"/>
    <x v="1"/>
    <s v="06432-73165-ML"/>
    <s v="A-M-0.2"/>
    <n v="6"/>
    <x v="339"/>
    <s v="ggoggin8x@wix.com"/>
    <x v="2"/>
    <x v="2"/>
    <x v="2"/>
    <x v="1"/>
    <n v="3.375"/>
    <n v="20.25"/>
    <x v="2"/>
    <x v="2"/>
    <x v="0"/>
  </r>
  <r>
    <x v="362"/>
    <x v="319"/>
    <x v="319"/>
    <x v="0"/>
    <s v="75716-12782-SS"/>
    <s v="R-D-1"/>
    <n v="3"/>
    <x v="340"/>
    <s v="gcroysdaleb6@nih.gov"/>
    <x v="0"/>
    <x v="1"/>
    <x v="1"/>
    <x v="2"/>
    <n v="8.9499999999999993"/>
    <n v="26.849999999999998"/>
    <x v="1"/>
    <x v="1"/>
    <x v="0"/>
  </r>
  <r>
    <x v="363"/>
    <x v="320"/>
    <x v="320"/>
    <x v="2"/>
    <s v="97005-25609-CQ"/>
    <s v="R-L-1"/>
    <n v="5"/>
    <x v="341"/>
    <s v="gheindrickin@usda.gov"/>
    <x v="0"/>
    <x v="1"/>
    <x v="0"/>
    <x v="2"/>
    <n v="11.95"/>
    <n v="59.75"/>
    <x v="1"/>
    <x v="0"/>
    <x v="1"/>
  </r>
  <r>
    <x v="364"/>
    <x v="321"/>
    <x v="321"/>
    <x v="2"/>
    <s v="39123-12846-YJ"/>
    <s v="L-L-0.2"/>
    <n v="5"/>
    <x v="342"/>
    <s v="ggatheralx@123-reg.co.uk"/>
    <x v="0"/>
    <x v="3"/>
    <x v="0"/>
    <x v="1"/>
    <n v="4.7549999999999999"/>
    <n v="23.774999999999999"/>
    <x v="3"/>
    <x v="0"/>
    <x v="1"/>
  </r>
  <r>
    <x v="365"/>
    <x v="322"/>
    <x v="322"/>
    <x v="2"/>
    <s v="03990-21586-MQ"/>
    <s v="E-L-0.2"/>
    <n v="6"/>
    <x v="343"/>
    <s v="gdimitrioud8@chronoengine.com"/>
    <x v="0"/>
    <x v="0"/>
    <x v="0"/>
    <x v="1"/>
    <n v="4.4550000000000001"/>
    <n v="26.73"/>
    <x v="0"/>
    <x v="0"/>
    <x v="0"/>
  </r>
  <r>
    <x v="366"/>
    <x v="323"/>
    <x v="323"/>
    <x v="0"/>
    <s v="18684-73088-YL"/>
    <s v="R-L-1"/>
    <n v="4"/>
    <x v="344"/>
    <s v="gmcgavinhl@histats.com"/>
    <x v="0"/>
    <x v="1"/>
    <x v="0"/>
    <x v="2"/>
    <n v="11.95"/>
    <n v="47.8"/>
    <x v="1"/>
    <x v="0"/>
    <x v="1"/>
  </r>
  <r>
    <x v="367"/>
    <x v="23"/>
    <x v="23"/>
    <x v="2"/>
    <s v="35099-13971-JI"/>
    <s v="E-M-2.5"/>
    <n v="2"/>
    <x v="345"/>
    <s v="geilhersenk3@networksolutions.com"/>
    <x v="0"/>
    <x v="0"/>
    <x v="2"/>
    <x v="3"/>
    <n v="31.624999999999996"/>
    <n v="63.249999999999993"/>
    <x v="0"/>
    <x v="2"/>
    <x v="1"/>
  </r>
  <r>
    <x v="368"/>
    <x v="324"/>
    <x v="324"/>
    <x v="0"/>
    <s v="14103-58987-ZU"/>
    <s v="R-M-1"/>
    <n v="6"/>
    <x v="346"/>
    <s v="grizzello1x@symantec.com"/>
    <x v="1"/>
    <x v="1"/>
    <x v="2"/>
    <x v="2"/>
    <n v="9.9499999999999993"/>
    <n v="59.699999999999996"/>
    <x v="1"/>
    <x v="2"/>
    <x v="0"/>
  </r>
  <r>
    <x v="369"/>
    <x v="18"/>
    <x v="18"/>
    <x v="1"/>
    <s v="20203-03950-FY"/>
    <s v="L-L-0.2"/>
    <n v="4"/>
    <x v="347"/>
    <s v="gstandley38@dion.ne.jp"/>
    <x v="2"/>
    <x v="3"/>
    <x v="0"/>
    <x v="1"/>
    <n v="4.7549999999999999"/>
    <n v="19.02"/>
    <x v="3"/>
    <x v="0"/>
    <x v="0"/>
  </r>
  <r>
    <x v="370"/>
    <x v="325"/>
    <x v="325"/>
    <x v="2"/>
    <s v="35367-50483-AR"/>
    <s v="R-L-0.5"/>
    <n v="2"/>
    <x v="348"/>
    <s v="gsiudaq4@nytimes.com"/>
    <x v="0"/>
    <x v="1"/>
    <x v="0"/>
    <x v="0"/>
    <n v="7.169999999999999"/>
    <n v="14.339999999999998"/>
    <x v="1"/>
    <x v="0"/>
    <x v="0"/>
  </r>
  <r>
    <x v="371"/>
    <x v="326"/>
    <x v="326"/>
    <x v="2"/>
    <s v="97152-03355-IW"/>
    <s v="L-D-1"/>
    <n v="3"/>
    <x v="349"/>
    <s v="gbentjens6u@netlog.com"/>
    <x v="1"/>
    <x v="3"/>
    <x v="1"/>
    <x v="2"/>
    <n v="12.95"/>
    <n v="38.849999999999994"/>
    <x v="3"/>
    <x v="1"/>
    <x v="1"/>
  </r>
  <r>
    <x v="372"/>
    <x v="327"/>
    <x v="327"/>
    <x v="1"/>
    <s v="12715-05198-QU"/>
    <s v="A-M-2.5"/>
    <n v="2"/>
    <x v="350"/>
    <s v=""/>
    <x v="0"/>
    <x v="2"/>
    <x v="2"/>
    <x v="3"/>
    <n v="25.874999999999996"/>
    <n v="51.749999999999993"/>
    <x v="2"/>
    <x v="2"/>
    <x v="0"/>
  </r>
  <r>
    <x v="373"/>
    <x v="328"/>
    <x v="328"/>
    <x v="0"/>
    <s v="96544-91644-IT"/>
    <s v="R-D-0.2"/>
    <n v="6"/>
    <x v="351"/>
    <s v="gschonfeld4j@oracle.com"/>
    <x v="0"/>
    <x v="1"/>
    <x v="1"/>
    <x v="1"/>
    <n v="2.6849999999999996"/>
    <n v="16.11"/>
    <x v="1"/>
    <x v="1"/>
    <x v="1"/>
  </r>
  <r>
    <x v="374"/>
    <x v="300"/>
    <x v="300"/>
    <x v="2"/>
    <s v="39019-13649-CL"/>
    <s v="E-D-0.2"/>
    <n v="5"/>
    <x v="352"/>
    <s v="gskingle44@clickbank.net"/>
    <x v="0"/>
    <x v="0"/>
    <x v="1"/>
    <x v="1"/>
    <n v="3.645"/>
    <n v="18.225000000000001"/>
    <x v="0"/>
    <x v="1"/>
    <x v="0"/>
  </r>
  <r>
    <x v="375"/>
    <x v="329"/>
    <x v="329"/>
    <x v="1"/>
    <s v="71749-05400-CN"/>
    <s v="R-L-1"/>
    <n v="4"/>
    <x v="353"/>
    <s v=""/>
    <x v="0"/>
    <x v="1"/>
    <x v="0"/>
    <x v="2"/>
    <n v="11.95"/>
    <n v="47.8"/>
    <x v="1"/>
    <x v="0"/>
    <x v="1"/>
  </r>
  <r>
    <x v="376"/>
    <x v="330"/>
    <x v="330"/>
    <x v="2"/>
    <s v="69411-48470-ID"/>
    <s v="E-L-1"/>
    <n v="6"/>
    <x v="354"/>
    <s v="gcornierjv@techcrunch.com"/>
    <x v="0"/>
    <x v="0"/>
    <x v="0"/>
    <x v="2"/>
    <n v="14.85"/>
    <n v="89.1"/>
    <x v="0"/>
    <x v="0"/>
    <x v="1"/>
  </r>
  <r>
    <x v="377"/>
    <x v="331"/>
    <x v="331"/>
    <x v="2"/>
    <s v="14298-02150-KH"/>
    <s v="A-L-0.2"/>
    <n v="4"/>
    <x v="355"/>
    <s v=""/>
    <x v="0"/>
    <x v="2"/>
    <x v="0"/>
    <x v="1"/>
    <n v="3.8849999999999998"/>
    <n v="15.54"/>
    <x v="2"/>
    <x v="0"/>
    <x v="1"/>
  </r>
  <r>
    <x v="378"/>
    <x v="332"/>
    <x v="332"/>
    <x v="0"/>
    <s v="22721-63196-UJ"/>
    <s v="R-M-0.2"/>
    <n v="4"/>
    <x v="356"/>
    <s v="gduckerdx@patch.com"/>
    <x v="1"/>
    <x v="1"/>
    <x v="2"/>
    <x v="1"/>
    <n v="2.9849999999999999"/>
    <n v="11.94"/>
    <x v="1"/>
    <x v="2"/>
    <x v="1"/>
  </r>
  <r>
    <x v="378"/>
    <x v="332"/>
    <x v="332"/>
    <x v="0"/>
    <s v="22721-63196-UJ"/>
    <s v="E-M-0.2"/>
    <n v="4"/>
    <x v="356"/>
    <s v="gduckerdx@patch.com"/>
    <x v="1"/>
    <x v="0"/>
    <x v="2"/>
    <x v="1"/>
    <n v="4.125"/>
    <n v="16.5"/>
    <x v="0"/>
    <x v="2"/>
    <x v="1"/>
  </r>
  <r>
    <x v="378"/>
    <x v="332"/>
    <x v="332"/>
    <x v="0"/>
    <s v="22721-63196-UJ"/>
    <s v="L-D-1"/>
    <n v="4"/>
    <x v="356"/>
    <s v="gduckerdx@patch.com"/>
    <x v="1"/>
    <x v="3"/>
    <x v="1"/>
    <x v="2"/>
    <n v="12.95"/>
    <n v="51.8"/>
    <x v="3"/>
    <x v="1"/>
    <x v="1"/>
  </r>
  <r>
    <x v="378"/>
    <x v="332"/>
    <x v="332"/>
    <x v="0"/>
    <s v="22721-63196-UJ"/>
    <s v="L-L-0.2"/>
    <n v="3"/>
    <x v="356"/>
    <s v="gduckerdx@patch.com"/>
    <x v="1"/>
    <x v="3"/>
    <x v="0"/>
    <x v="1"/>
    <n v="4.7549999999999999"/>
    <n v="14.265000000000001"/>
    <x v="3"/>
    <x v="0"/>
    <x v="1"/>
  </r>
  <r>
    <x v="379"/>
    <x v="333"/>
    <x v="333"/>
    <x v="3"/>
    <s v="57976-33535-WK"/>
    <s v="L-M-2.5"/>
    <n v="3"/>
    <x v="357"/>
    <s v="gclemonkd@networksolutions.com"/>
    <x v="0"/>
    <x v="3"/>
    <x v="2"/>
    <x v="3"/>
    <n v="33.464999999999996"/>
    <n v="100.39499999999998"/>
    <x v="3"/>
    <x v="2"/>
    <x v="0"/>
  </r>
  <r>
    <x v="380"/>
    <x v="56"/>
    <x v="56"/>
    <x v="2"/>
    <s v="76209-39601-ZR"/>
    <s v="E-D-2.5"/>
    <n v="3"/>
    <x v="358"/>
    <s v="gcheekeqc@sitemeter.com"/>
    <x v="1"/>
    <x v="0"/>
    <x v="1"/>
    <x v="3"/>
    <n v="27.945"/>
    <n v="83.835000000000008"/>
    <x v="0"/>
    <x v="1"/>
    <x v="0"/>
  </r>
  <r>
    <x v="381"/>
    <x v="334"/>
    <x v="334"/>
    <x v="1"/>
    <s v="38487-01549-MV"/>
    <s v="E-L-0.5"/>
    <n v="4"/>
    <x v="359"/>
    <s v="gpoinsett61@berkeley.edu"/>
    <x v="0"/>
    <x v="0"/>
    <x v="0"/>
    <x v="0"/>
    <n v="8.91"/>
    <n v="35.64"/>
    <x v="0"/>
    <x v="0"/>
    <x v="1"/>
  </r>
  <r>
    <x v="382"/>
    <x v="335"/>
    <x v="335"/>
    <x v="0"/>
    <s v="95152-82155-VQ"/>
    <s v="E-D-2.5"/>
    <n v="1"/>
    <x v="360"/>
    <s v="gwynespn@dagondesign.com"/>
    <x v="0"/>
    <x v="0"/>
    <x v="1"/>
    <x v="3"/>
    <n v="27.945"/>
    <n v="27.945"/>
    <x v="0"/>
    <x v="1"/>
    <x v="1"/>
  </r>
  <r>
    <x v="383"/>
    <x v="336"/>
    <x v="336"/>
    <x v="3"/>
    <s v="63025-62939-AN"/>
    <s v="E-D-1"/>
    <n v="3"/>
    <x v="361"/>
    <s v=""/>
    <x v="0"/>
    <x v="0"/>
    <x v="1"/>
    <x v="2"/>
    <n v="12.15"/>
    <n v="36.450000000000003"/>
    <x v="0"/>
    <x v="1"/>
    <x v="0"/>
  </r>
  <r>
    <x v="384"/>
    <x v="337"/>
    <x v="337"/>
    <x v="1"/>
    <s v="31798-95707-NR"/>
    <s v="L-L-0.5"/>
    <n v="4"/>
    <x v="362"/>
    <s v="gbamfieldae@yellowpages.com"/>
    <x v="0"/>
    <x v="3"/>
    <x v="0"/>
    <x v="0"/>
    <n v="9.51"/>
    <n v="38.04"/>
    <x v="3"/>
    <x v="0"/>
    <x v="0"/>
  </r>
  <r>
    <x v="385"/>
    <x v="338"/>
    <x v="338"/>
    <x v="2"/>
    <s v="75961-20170-RD"/>
    <s v="L-L-1"/>
    <n v="2"/>
    <x v="363"/>
    <s v="gwhiteheadls@hp.com"/>
    <x v="0"/>
    <x v="3"/>
    <x v="0"/>
    <x v="2"/>
    <n v="15.85"/>
    <n v="31.7"/>
    <x v="3"/>
    <x v="0"/>
    <x v="1"/>
  </r>
  <r>
    <x v="386"/>
    <x v="339"/>
    <x v="339"/>
    <x v="0"/>
    <s v="06757-96251-UH"/>
    <s v="A-D-0.2"/>
    <n v="6"/>
    <x v="364"/>
    <s v="gsibrayb2@wsj.com"/>
    <x v="0"/>
    <x v="2"/>
    <x v="1"/>
    <x v="1"/>
    <n v="2.9849999999999999"/>
    <n v="17.91"/>
    <x v="2"/>
    <x v="1"/>
    <x v="0"/>
  </r>
  <r>
    <x v="387"/>
    <x v="340"/>
    <x v="340"/>
    <x v="1"/>
    <s v="46963-10322-ZA"/>
    <s v="L-L-1"/>
    <n v="5"/>
    <x v="365"/>
    <s v="gfanthamjz@hexun.com"/>
    <x v="0"/>
    <x v="3"/>
    <x v="0"/>
    <x v="2"/>
    <n v="15.85"/>
    <n v="79.25"/>
    <x v="3"/>
    <x v="0"/>
    <x v="0"/>
  </r>
  <r>
    <x v="388"/>
    <x v="341"/>
    <x v="341"/>
    <x v="1"/>
    <s v="78050-20355-DI"/>
    <s v="E-M-2.5"/>
    <n v="1"/>
    <x v="366"/>
    <s v="gsmallcombed6@ucla.edu"/>
    <x v="2"/>
    <x v="0"/>
    <x v="2"/>
    <x v="3"/>
    <n v="31.624999999999996"/>
    <n v="31.624999999999996"/>
    <x v="0"/>
    <x v="2"/>
    <x v="0"/>
  </r>
  <r>
    <x v="389"/>
    <x v="342"/>
    <x v="342"/>
    <x v="0"/>
    <s v="76192-13390-HZ"/>
    <s v="E-L-0.2"/>
    <n v="4"/>
    <x v="367"/>
    <s v="galbertsfc@etsy.com"/>
    <x v="1"/>
    <x v="0"/>
    <x v="0"/>
    <x v="1"/>
    <n v="4.4550000000000001"/>
    <n v="17.82"/>
    <x v="0"/>
    <x v="0"/>
    <x v="0"/>
  </r>
  <r>
    <x v="390"/>
    <x v="343"/>
    <x v="343"/>
    <x v="0"/>
    <s v="78012-56878-UB"/>
    <s v="R-M-1"/>
    <n v="1"/>
    <x v="368"/>
    <s v="goatsny@live.com"/>
    <x v="0"/>
    <x v="1"/>
    <x v="2"/>
    <x v="2"/>
    <n v="9.9499999999999993"/>
    <n v="9.9499999999999993"/>
    <x v="1"/>
    <x v="2"/>
    <x v="0"/>
  </r>
  <r>
    <x v="391"/>
    <x v="344"/>
    <x v="344"/>
    <x v="0"/>
    <s v="53817-13148-RK"/>
    <s v="R-M-0.2"/>
    <n v="3"/>
    <x v="369"/>
    <s v="ghawkyensbj@census.gov"/>
    <x v="0"/>
    <x v="1"/>
    <x v="2"/>
    <x v="1"/>
    <n v="2.9849999999999999"/>
    <n v="8.9550000000000001"/>
    <x v="1"/>
    <x v="2"/>
    <x v="1"/>
  </r>
  <r>
    <x v="392"/>
    <x v="345"/>
    <x v="345"/>
    <x v="2"/>
    <s v="60004-62976-NI"/>
    <s v="L-D-0.5"/>
    <n v="6"/>
    <x v="370"/>
    <s v="gkislingburyaz@samsung.com"/>
    <x v="0"/>
    <x v="3"/>
    <x v="1"/>
    <x v="0"/>
    <n v="7.77"/>
    <n v="46.62"/>
    <x v="3"/>
    <x v="1"/>
    <x v="0"/>
  </r>
  <r>
    <x v="393"/>
    <x v="346"/>
    <x v="346"/>
    <x v="1"/>
    <s v="21403-49423-PD"/>
    <s v="A-L-2.5"/>
    <n v="5"/>
    <x v="371"/>
    <s v="gtrengrovem2@elpais.com"/>
    <x v="0"/>
    <x v="2"/>
    <x v="0"/>
    <x v="3"/>
    <n v="29.784999999999997"/>
    <n v="148.92499999999998"/>
    <x v="2"/>
    <x v="0"/>
    <x v="1"/>
  </r>
  <r>
    <x v="394"/>
    <x v="347"/>
    <x v="347"/>
    <x v="0"/>
    <s v="12299-30914-NG"/>
    <s v="A-M-2.5"/>
    <n v="6"/>
    <x v="372"/>
    <s v="gholborn4b@ow.ly"/>
    <x v="0"/>
    <x v="2"/>
    <x v="2"/>
    <x v="3"/>
    <n v="25.874999999999996"/>
    <n v="155.24999999999997"/>
    <x v="2"/>
    <x v="2"/>
    <x v="0"/>
  </r>
  <r>
    <x v="395"/>
    <x v="348"/>
    <x v="348"/>
    <x v="1"/>
    <s v="29129-60664-KO"/>
    <s v="R-D-0.2"/>
    <n v="3"/>
    <x v="373"/>
    <s v="gruggenm6@nymag.com"/>
    <x v="0"/>
    <x v="1"/>
    <x v="1"/>
    <x v="1"/>
    <n v="2.6849999999999996"/>
    <n v="8.0549999999999997"/>
    <x v="1"/>
    <x v="1"/>
    <x v="0"/>
  </r>
  <r>
    <x v="396"/>
    <x v="342"/>
    <x v="342"/>
    <x v="0"/>
    <s v="41486-52502-QQ"/>
    <s v="R-M-0.5"/>
    <n v="1"/>
    <x v="374"/>
    <s v=""/>
    <x v="0"/>
    <x v="1"/>
    <x v="2"/>
    <x v="0"/>
    <n v="5.97"/>
    <n v="5.97"/>
    <x v="1"/>
    <x v="2"/>
    <x v="1"/>
  </r>
  <r>
    <x v="397"/>
    <x v="7"/>
    <x v="7"/>
    <x v="1"/>
    <s v="37078-56703-AF"/>
    <s v="E-L-1"/>
    <n v="6"/>
    <x v="375"/>
    <s v="gbroadbear7p@omniture.com"/>
    <x v="0"/>
    <x v="0"/>
    <x v="0"/>
    <x v="2"/>
    <n v="14.85"/>
    <n v="89.1"/>
    <x v="0"/>
    <x v="0"/>
    <x v="1"/>
  </r>
  <r>
    <x v="398"/>
    <x v="349"/>
    <x v="349"/>
    <x v="1"/>
    <s v="74940-09646-MU"/>
    <s v="R-L-1"/>
    <n v="5"/>
    <x v="376"/>
    <s v="gciccottip8@so-net.ne.jp"/>
    <x v="0"/>
    <x v="1"/>
    <x v="0"/>
    <x v="2"/>
    <n v="11.95"/>
    <n v="59.75"/>
    <x v="1"/>
    <x v="0"/>
    <x v="1"/>
  </r>
  <r>
    <x v="399"/>
    <x v="332"/>
    <x v="332"/>
    <x v="0"/>
    <s v="03396-68805-ZC"/>
    <s v="R-M-0.5"/>
    <n v="3"/>
    <x v="377"/>
    <s v="gpetracci8@livejournal.com"/>
    <x v="0"/>
    <x v="1"/>
    <x v="2"/>
    <x v="0"/>
    <n v="5.97"/>
    <n v="17.91"/>
    <x v="1"/>
    <x v="2"/>
    <x v="1"/>
  </r>
  <r>
    <x v="400"/>
    <x v="350"/>
    <x v="350"/>
    <x v="2"/>
    <s v="15064-65241-HB"/>
    <s v="R-L-2.5"/>
    <n v="4"/>
    <x v="378"/>
    <s v="grattqd@phpbb.com"/>
    <x v="2"/>
    <x v="1"/>
    <x v="0"/>
    <x v="3"/>
    <n v="27.484999999999996"/>
    <n v="109.93999999999998"/>
    <x v="1"/>
    <x v="0"/>
    <x v="1"/>
  </r>
  <r>
    <x v="401"/>
    <x v="351"/>
    <x v="351"/>
    <x v="3"/>
    <s v="11932-85629-CU"/>
    <s v="R-D-2.5"/>
    <n v="6"/>
    <x v="379"/>
    <s v="hreuvenpk@whitehouse.gov"/>
    <x v="0"/>
    <x v="1"/>
    <x v="1"/>
    <x v="3"/>
    <n v="20.584999999999997"/>
    <n v="123.50999999999999"/>
    <x v="1"/>
    <x v="1"/>
    <x v="1"/>
  </r>
  <r>
    <x v="402"/>
    <x v="14"/>
    <x v="14"/>
    <x v="1"/>
    <s v="14640-87215-BK"/>
    <s v="R-L-0.5"/>
    <n v="5"/>
    <x v="380"/>
    <s v="hradbonehd@newsvine.com"/>
    <x v="0"/>
    <x v="1"/>
    <x v="0"/>
    <x v="0"/>
    <n v="7.169999999999999"/>
    <n v="35.849999999999994"/>
    <x v="1"/>
    <x v="0"/>
    <x v="1"/>
  </r>
  <r>
    <x v="403"/>
    <x v="347"/>
    <x v="347"/>
    <x v="0"/>
    <s v="16358-63919-CE"/>
    <s v="E-M-2.5"/>
    <n v="5"/>
    <x v="381"/>
    <s v="hrannerp2@omniture.com"/>
    <x v="0"/>
    <x v="0"/>
    <x v="2"/>
    <x v="3"/>
    <n v="31.624999999999996"/>
    <n v="158.12499999999997"/>
    <x v="0"/>
    <x v="2"/>
    <x v="1"/>
  </r>
  <r>
    <x v="404"/>
    <x v="352"/>
    <x v="352"/>
    <x v="1"/>
    <s v="91513-75657-PH"/>
    <s v="R-D-2.5"/>
    <n v="4"/>
    <x v="382"/>
    <s v=""/>
    <x v="0"/>
    <x v="1"/>
    <x v="1"/>
    <x v="3"/>
    <n v="20.584999999999997"/>
    <n v="82.339999999999989"/>
    <x v="1"/>
    <x v="1"/>
    <x v="0"/>
  </r>
  <r>
    <x v="405"/>
    <x v="353"/>
    <x v="353"/>
    <x v="1"/>
    <s v="17503-27693-ZH"/>
    <s v="E-L-1"/>
    <n v="3"/>
    <x v="383"/>
    <s v=""/>
    <x v="0"/>
    <x v="0"/>
    <x v="0"/>
    <x v="2"/>
    <n v="14.85"/>
    <n v="44.55"/>
    <x v="0"/>
    <x v="0"/>
    <x v="0"/>
  </r>
  <r>
    <x v="406"/>
    <x v="354"/>
    <x v="354"/>
    <x v="2"/>
    <s v="86686-37462-CK"/>
    <s v="L-L-1"/>
    <n v="3"/>
    <x v="384"/>
    <s v=""/>
    <x v="2"/>
    <x v="3"/>
    <x v="0"/>
    <x v="2"/>
    <n v="15.85"/>
    <n v="47.55"/>
    <x v="3"/>
    <x v="0"/>
    <x v="0"/>
  </r>
  <r>
    <x v="407"/>
    <x v="355"/>
    <x v="355"/>
    <x v="2"/>
    <s v="60370-41934-IF"/>
    <s v="E-D-0.2"/>
    <n v="3"/>
    <x v="385"/>
    <s v="hpallisterds@ning.com"/>
    <x v="0"/>
    <x v="0"/>
    <x v="1"/>
    <x v="1"/>
    <n v="3.645"/>
    <n v="10.935"/>
    <x v="0"/>
    <x v="1"/>
    <x v="1"/>
  </r>
  <r>
    <x v="408"/>
    <x v="356"/>
    <x v="356"/>
    <x v="2"/>
    <s v="56060-17602-RG"/>
    <s v="E-D-0.2"/>
    <n v="1"/>
    <x v="386"/>
    <s v=""/>
    <x v="2"/>
    <x v="0"/>
    <x v="1"/>
    <x v="1"/>
    <n v="3.645"/>
    <n v="3.645"/>
    <x v="0"/>
    <x v="1"/>
    <x v="0"/>
  </r>
  <r>
    <x v="409"/>
    <x v="267"/>
    <x v="267"/>
    <x v="0"/>
    <s v="26333-67911-OL"/>
    <s v="R-M-0.5"/>
    <n v="5"/>
    <x v="387"/>
    <s v="hmattioli1g@webmd.com"/>
    <x v="1"/>
    <x v="1"/>
    <x v="2"/>
    <x v="0"/>
    <n v="5.97"/>
    <n v="29.849999999999998"/>
    <x v="1"/>
    <x v="2"/>
    <x v="1"/>
  </r>
  <r>
    <x v="409"/>
    <x v="267"/>
    <x v="267"/>
    <x v="0"/>
    <s v="26333-67911-OL"/>
    <s v="L-L-2.5"/>
    <n v="2"/>
    <x v="387"/>
    <s v="hmattioli1g@webmd.com"/>
    <x v="1"/>
    <x v="3"/>
    <x v="0"/>
    <x v="3"/>
    <n v="36.454999999999998"/>
    <n v="72.91"/>
    <x v="3"/>
    <x v="0"/>
    <x v="1"/>
  </r>
  <r>
    <x v="410"/>
    <x v="330"/>
    <x v="330"/>
    <x v="2"/>
    <s v="48675-07824-HJ"/>
    <s v="L-M-1"/>
    <n v="6"/>
    <x v="388"/>
    <s v=""/>
    <x v="0"/>
    <x v="3"/>
    <x v="2"/>
    <x v="2"/>
    <n v="14.55"/>
    <n v="87.300000000000011"/>
    <x v="3"/>
    <x v="2"/>
    <x v="0"/>
  </r>
  <r>
    <x v="411"/>
    <x v="25"/>
    <x v="25"/>
    <x v="2"/>
    <s v="72524-06410-KD"/>
    <s v="A-D-2.5"/>
    <n v="1"/>
    <x v="389"/>
    <s v="hjodrellelt@samsung.com"/>
    <x v="0"/>
    <x v="2"/>
    <x v="1"/>
    <x v="3"/>
    <n v="22.884999999999998"/>
    <n v="22.884999999999998"/>
    <x v="2"/>
    <x v="1"/>
    <x v="1"/>
  </r>
  <r>
    <x v="412"/>
    <x v="357"/>
    <x v="357"/>
    <x v="2"/>
    <s v="61809-87758-LJ"/>
    <s v="E-M-2.5"/>
    <n v="6"/>
    <x v="390"/>
    <s v=""/>
    <x v="0"/>
    <x v="0"/>
    <x v="2"/>
    <x v="3"/>
    <n v="31.624999999999996"/>
    <n v="189.74999999999997"/>
    <x v="0"/>
    <x v="2"/>
    <x v="0"/>
  </r>
  <r>
    <x v="413"/>
    <x v="358"/>
    <x v="358"/>
    <x v="0"/>
    <s v="42770-36274-QA"/>
    <s v="R-M-0.2"/>
    <n v="1"/>
    <x v="391"/>
    <s v="hgoulter1w@abc.net.au"/>
    <x v="0"/>
    <x v="1"/>
    <x v="2"/>
    <x v="1"/>
    <n v="2.9849999999999999"/>
    <n v="2.9849999999999999"/>
    <x v="1"/>
    <x v="2"/>
    <x v="1"/>
  </r>
  <r>
    <x v="414"/>
    <x v="359"/>
    <x v="359"/>
    <x v="2"/>
    <s v="77828-66867-KH"/>
    <s v="R-M-0.5"/>
    <n v="1"/>
    <x v="392"/>
    <s v=""/>
    <x v="0"/>
    <x v="1"/>
    <x v="2"/>
    <x v="0"/>
    <n v="5.97"/>
    <n v="5.97"/>
    <x v="1"/>
    <x v="2"/>
    <x v="0"/>
  </r>
  <r>
    <x v="415"/>
    <x v="360"/>
    <x v="360"/>
    <x v="1"/>
    <s v="40214-03678-GU"/>
    <s v="E-M-1"/>
    <n v="6"/>
    <x v="393"/>
    <s v="hsaillip@odnoklassniki.ru"/>
    <x v="0"/>
    <x v="0"/>
    <x v="2"/>
    <x v="2"/>
    <n v="13.75"/>
    <n v="82.5"/>
    <x v="0"/>
    <x v="2"/>
    <x v="0"/>
  </r>
  <r>
    <x v="416"/>
    <x v="361"/>
    <x v="361"/>
    <x v="2"/>
    <s v="92793-68332-NR"/>
    <s v="L-D-0.5"/>
    <n v="6"/>
    <x v="394"/>
    <s v="hperrise4@studiopress.com"/>
    <x v="2"/>
    <x v="3"/>
    <x v="1"/>
    <x v="0"/>
    <n v="7.77"/>
    <n v="46.62"/>
    <x v="3"/>
    <x v="1"/>
    <x v="1"/>
  </r>
  <r>
    <x v="417"/>
    <x v="362"/>
    <x v="362"/>
    <x v="1"/>
    <s v="07476-13102-NJ"/>
    <s v="A-L-0.5"/>
    <n v="2"/>
    <x v="395"/>
    <s v="hfromantf4@ucsd.edu"/>
    <x v="0"/>
    <x v="2"/>
    <x v="0"/>
    <x v="0"/>
    <n v="7.77"/>
    <n v="15.54"/>
    <x v="2"/>
    <x v="0"/>
    <x v="1"/>
  </r>
  <r>
    <x v="418"/>
    <x v="363"/>
    <x v="363"/>
    <x v="2"/>
    <s v="80541-38332-BP"/>
    <s v="E-M-1"/>
    <n v="2"/>
    <x v="396"/>
    <s v="hrainforthn2@blog.com"/>
    <x v="0"/>
    <x v="0"/>
    <x v="2"/>
    <x v="2"/>
    <n v="13.75"/>
    <n v="27.5"/>
    <x v="0"/>
    <x v="2"/>
    <x v="1"/>
  </r>
  <r>
    <x v="418"/>
    <x v="363"/>
    <x v="363"/>
    <x v="2"/>
    <s v="80541-38332-BP"/>
    <s v="A-D-0.2"/>
    <n v="2"/>
    <x v="396"/>
    <s v="hrainforthn2@blog.com"/>
    <x v="0"/>
    <x v="2"/>
    <x v="1"/>
    <x v="1"/>
    <n v="2.9849999999999999"/>
    <n v="5.97"/>
    <x v="2"/>
    <x v="1"/>
    <x v="1"/>
  </r>
  <r>
    <x v="419"/>
    <x v="364"/>
    <x v="364"/>
    <x v="0"/>
    <s v="54722-76431-EX"/>
    <s v="R-D-2.5"/>
    <n v="6"/>
    <x v="397"/>
    <s v="hpetroulisol@state.tx.us"/>
    <x v="2"/>
    <x v="1"/>
    <x v="1"/>
    <x v="3"/>
    <n v="20.584999999999997"/>
    <n v="123.50999999999999"/>
    <x v="1"/>
    <x v="1"/>
    <x v="1"/>
  </r>
  <r>
    <x v="420"/>
    <x v="365"/>
    <x v="365"/>
    <x v="3"/>
    <s v="24669-76297-SF"/>
    <s v="A-L-1"/>
    <n v="2"/>
    <x v="398"/>
    <s v="hzeald5@google.de"/>
    <x v="0"/>
    <x v="2"/>
    <x v="0"/>
    <x v="2"/>
    <n v="12.95"/>
    <n v="25.9"/>
    <x v="2"/>
    <x v="0"/>
    <x v="1"/>
  </r>
  <r>
    <x v="421"/>
    <x v="366"/>
    <x v="366"/>
    <x v="3"/>
    <s v="69443-77665-QW"/>
    <s v="A-L-0.5"/>
    <n v="2"/>
    <x v="399"/>
    <s v="hcrowneq5@wufoo.com"/>
    <x v="2"/>
    <x v="2"/>
    <x v="0"/>
    <x v="0"/>
    <n v="7.77"/>
    <n v="15.54"/>
    <x v="2"/>
    <x v="0"/>
    <x v="0"/>
  </r>
  <r>
    <x v="422"/>
    <x v="367"/>
    <x v="367"/>
    <x v="0"/>
    <s v="43155-71724-XP"/>
    <s v="A-D-0.2"/>
    <n v="2"/>
    <x v="400"/>
    <s v=""/>
    <x v="0"/>
    <x v="2"/>
    <x v="1"/>
    <x v="1"/>
    <n v="2.9849999999999999"/>
    <n v="5.97"/>
    <x v="2"/>
    <x v="1"/>
    <x v="0"/>
  </r>
  <r>
    <x v="423"/>
    <x v="368"/>
    <x v="368"/>
    <x v="2"/>
    <s v="04921-85445-SL"/>
    <s v="A-L-2.5"/>
    <n v="6"/>
    <x v="401"/>
    <s v="hlarvoriq@last.fm"/>
    <x v="0"/>
    <x v="2"/>
    <x v="0"/>
    <x v="3"/>
    <n v="29.784999999999997"/>
    <n v="178.70999999999998"/>
    <x v="2"/>
    <x v="0"/>
    <x v="0"/>
  </r>
  <r>
    <x v="424"/>
    <x v="216"/>
    <x v="216"/>
    <x v="0"/>
    <s v="03917-13632-KC"/>
    <s v="A-M-2.5"/>
    <n v="6"/>
    <x v="402"/>
    <s v=""/>
    <x v="0"/>
    <x v="2"/>
    <x v="2"/>
    <x v="3"/>
    <n v="25.874999999999996"/>
    <n v="155.24999999999997"/>
    <x v="2"/>
    <x v="2"/>
    <x v="0"/>
  </r>
  <r>
    <x v="425"/>
    <x v="369"/>
    <x v="369"/>
    <x v="3"/>
    <s v="60357-65386-RD"/>
    <s v="E-D-1"/>
    <n v="2"/>
    <x v="403"/>
    <s v=""/>
    <x v="0"/>
    <x v="0"/>
    <x v="1"/>
    <x v="2"/>
    <n v="12.15"/>
    <n v="24.3"/>
    <x v="0"/>
    <x v="1"/>
    <x v="1"/>
  </r>
  <r>
    <x v="426"/>
    <x v="370"/>
    <x v="370"/>
    <x v="2"/>
    <s v="57235-92842-DK"/>
    <s v="R-D-0.2"/>
    <n v="1"/>
    <x v="404"/>
    <s v=""/>
    <x v="0"/>
    <x v="1"/>
    <x v="1"/>
    <x v="1"/>
    <n v="2.6849999999999996"/>
    <n v="2.6849999999999996"/>
    <x v="1"/>
    <x v="1"/>
    <x v="1"/>
  </r>
  <r>
    <x v="427"/>
    <x v="371"/>
    <x v="371"/>
    <x v="1"/>
    <s v="37397-05992-VO"/>
    <s v="A-M-1"/>
    <n v="1"/>
    <x v="405"/>
    <s v="hsynnot3i@about.com"/>
    <x v="0"/>
    <x v="2"/>
    <x v="2"/>
    <x v="2"/>
    <n v="11.25"/>
    <n v="11.25"/>
    <x v="2"/>
    <x v="2"/>
    <x v="1"/>
  </r>
  <r>
    <x v="428"/>
    <x v="372"/>
    <x v="372"/>
    <x v="1"/>
    <s v="67423-10113-LM"/>
    <s v="E-D-2.5"/>
    <n v="4"/>
    <x v="406"/>
    <s v="hbranganex@woothemes.com"/>
    <x v="0"/>
    <x v="0"/>
    <x v="1"/>
    <x v="3"/>
    <n v="27.945"/>
    <n v="111.78"/>
    <x v="0"/>
    <x v="1"/>
    <x v="0"/>
  </r>
  <r>
    <x v="429"/>
    <x v="373"/>
    <x v="373"/>
    <x v="1"/>
    <s v="60255-12579-PZ"/>
    <s v="A-D-0.2"/>
    <n v="1"/>
    <x v="407"/>
    <s v="hmairsn1@so-net.ne.jp"/>
    <x v="0"/>
    <x v="2"/>
    <x v="1"/>
    <x v="1"/>
    <n v="2.9849999999999999"/>
    <n v="2.9849999999999999"/>
    <x v="2"/>
    <x v="1"/>
    <x v="1"/>
  </r>
  <r>
    <x v="430"/>
    <x v="374"/>
    <x v="374"/>
    <x v="0"/>
    <s v="64418-01720-VW"/>
    <s v="L-L-0.5"/>
    <n v="4"/>
    <x v="408"/>
    <s v=""/>
    <x v="0"/>
    <x v="3"/>
    <x v="0"/>
    <x v="0"/>
    <n v="9.51"/>
    <n v="38.04"/>
    <x v="3"/>
    <x v="0"/>
    <x v="0"/>
  </r>
  <r>
    <x v="431"/>
    <x v="375"/>
    <x v="375"/>
    <x v="0"/>
    <s v="24344-88599-PP"/>
    <s v="A-M-1"/>
    <n v="3"/>
    <x v="409"/>
    <s v="holliffkq@sciencedirect.com"/>
    <x v="2"/>
    <x v="2"/>
    <x v="2"/>
    <x v="2"/>
    <n v="11.25"/>
    <n v="33.75"/>
    <x v="2"/>
    <x v="2"/>
    <x v="1"/>
  </r>
  <r>
    <x v="432"/>
    <x v="376"/>
    <x v="376"/>
    <x v="2"/>
    <s v="49860-68865-AB"/>
    <s v="R-M-1"/>
    <n v="6"/>
    <x v="410"/>
    <s v=""/>
    <x v="0"/>
    <x v="1"/>
    <x v="2"/>
    <x v="2"/>
    <n v="9.9499999999999993"/>
    <n v="59.699999999999996"/>
    <x v="1"/>
    <x v="2"/>
    <x v="0"/>
  </r>
  <r>
    <x v="433"/>
    <x v="377"/>
    <x v="377"/>
    <x v="2"/>
    <s v="41899-00283-VK"/>
    <s v="E-M-0.2"/>
    <n v="5"/>
    <x v="411"/>
    <s v="ichartersmz@abc.net.au"/>
    <x v="0"/>
    <x v="0"/>
    <x v="2"/>
    <x v="1"/>
    <n v="4.125"/>
    <n v="20.625"/>
    <x v="0"/>
    <x v="2"/>
    <x v="1"/>
  </r>
  <r>
    <x v="434"/>
    <x v="378"/>
    <x v="378"/>
    <x v="2"/>
    <s v="73346-85564-JB"/>
    <s v="R-L-2.5"/>
    <n v="2"/>
    <x v="412"/>
    <s v="isprakesf3@spiegel.de"/>
    <x v="0"/>
    <x v="1"/>
    <x v="0"/>
    <x v="3"/>
    <n v="27.484999999999996"/>
    <n v="54.969999999999992"/>
    <x v="1"/>
    <x v="0"/>
    <x v="1"/>
  </r>
  <r>
    <x v="435"/>
    <x v="225"/>
    <x v="225"/>
    <x v="0"/>
    <s v="27226-53717-SY"/>
    <s v="L-D-0.2"/>
    <n v="6"/>
    <x v="413"/>
    <s v="igurnee5z@usnews.com"/>
    <x v="0"/>
    <x v="3"/>
    <x v="1"/>
    <x v="1"/>
    <n v="3.8849999999999998"/>
    <n v="23.31"/>
    <x v="3"/>
    <x v="1"/>
    <x v="1"/>
  </r>
  <r>
    <x v="436"/>
    <x v="379"/>
    <x v="379"/>
    <x v="2"/>
    <s v="64395-74865-WF"/>
    <s v="A-M-0.5"/>
    <n v="2"/>
    <x v="414"/>
    <s v="iwhapple2p@com.com"/>
    <x v="0"/>
    <x v="2"/>
    <x v="2"/>
    <x v="0"/>
    <n v="6.75"/>
    <n v="13.5"/>
    <x v="2"/>
    <x v="2"/>
    <x v="1"/>
  </r>
  <r>
    <x v="437"/>
    <x v="380"/>
    <x v="380"/>
    <x v="1"/>
    <s v="04317-46176-TB"/>
    <s v="R-L-0.2"/>
    <n v="6"/>
    <x v="415"/>
    <s v="ieberleinqf@hc360.com"/>
    <x v="0"/>
    <x v="1"/>
    <x v="0"/>
    <x v="1"/>
    <n v="3.5849999999999995"/>
    <n v="21.509999999999998"/>
    <x v="1"/>
    <x v="0"/>
    <x v="1"/>
  </r>
  <r>
    <x v="438"/>
    <x v="381"/>
    <x v="381"/>
    <x v="0"/>
    <s v="66508-21373-OQ"/>
    <s v="L-L-1"/>
    <n v="1"/>
    <x v="416"/>
    <s v="imulliner37@pinterest.com"/>
    <x v="1"/>
    <x v="3"/>
    <x v="0"/>
    <x v="2"/>
    <n v="15.85"/>
    <n v="15.85"/>
    <x v="3"/>
    <x v="0"/>
    <x v="1"/>
  </r>
  <r>
    <x v="439"/>
    <x v="382"/>
    <x v="382"/>
    <x v="0"/>
    <s v="44530-75983-OD"/>
    <s v="E-D-2.5"/>
    <n v="6"/>
    <x v="417"/>
    <s v="ihotchkinb3@mit.edu"/>
    <x v="1"/>
    <x v="0"/>
    <x v="1"/>
    <x v="3"/>
    <n v="27.945"/>
    <n v="167.67000000000002"/>
    <x v="0"/>
    <x v="1"/>
    <x v="1"/>
  </r>
  <r>
    <x v="440"/>
    <x v="90"/>
    <x v="90"/>
    <x v="3"/>
    <s v="45089-52817-WN"/>
    <s v="L-D-0.5"/>
    <n v="2"/>
    <x v="418"/>
    <s v="ibouldon1e@gizmodo.com"/>
    <x v="0"/>
    <x v="3"/>
    <x v="1"/>
    <x v="0"/>
    <n v="7.77"/>
    <n v="15.54"/>
    <x v="3"/>
    <x v="1"/>
    <x v="1"/>
  </r>
  <r>
    <x v="441"/>
    <x v="151"/>
    <x v="151"/>
    <x v="2"/>
    <s v="29060-75856-UI"/>
    <s v="E-D-1"/>
    <n v="6"/>
    <x v="419"/>
    <s v="irenhardh6@i2i.jp"/>
    <x v="0"/>
    <x v="0"/>
    <x v="1"/>
    <x v="2"/>
    <n v="12.15"/>
    <n v="72.900000000000006"/>
    <x v="0"/>
    <x v="1"/>
    <x v="0"/>
  </r>
  <r>
    <x v="442"/>
    <x v="365"/>
    <x v="365"/>
    <x v="3"/>
    <s v="95399-57205-HI"/>
    <s v="A-D-0.2"/>
    <n v="4"/>
    <x v="420"/>
    <s v="ikleinertn@timesonline.co.uk"/>
    <x v="0"/>
    <x v="2"/>
    <x v="1"/>
    <x v="1"/>
    <n v="2.9849999999999999"/>
    <n v="11.94"/>
    <x v="2"/>
    <x v="1"/>
    <x v="0"/>
  </r>
  <r>
    <x v="443"/>
    <x v="383"/>
    <x v="383"/>
    <x v="2"/>
    <s v="29808-89098-XD"/>
    <s v="E-D-1"/>
    <n v="6"/>
    <x v="421"/>
    <s v="isjostromig@pbs.org"/>
    <x v="0"/>
    <x v="0"/>
    <x v="1"/>
    <x v="2"/>
    <n v="12.15"/>
    <n v="72.900000000000006"/>
    <x v="0"/>
    <x v="1"/>
    <x v="1"/>
  </r>
  <r>
    <x v="443"/>
    <x v="383"/>
    <x v="383"/>
    <x v="2"/>
    <s v="29808-89098-XD"/>
    <s v="L-D-0.2"/>
    <n v="2"/>
    <x v="421"/>
    <s v="isjostromig@pbs.org"/>
    <x v="0"/>
    <x v="3"/>
    <x v="1"/>
    <x v="1"/>
    <n v="3.8849999999999998"/>
    <n v="7.77"/>
    <x v="3"/>
    <x v="1"/>
    <x v="1"/>
  </r>
  <r>
    <x v="444"/>
    <x v="384"/>
    <x v="384"/>
    <x v="2"/>
    <s v="12444-05174-OO"/>
    <s v="R-M-0.2"/>
    <n v="2"/>
    <x v="422"/>
    <s v="ihay77@lulu.com"/>
    <x v="1"/>
    <x v="1"/>
    <x v="2"/>
    <x v="1"/>
    <n v="2.9849999999999999"/>
    <n v="5.97"/>
    <x v="1"/>
    <x v="2"/>
    <x v="1"/>
  </r>
  <r>
    <x v="445"/>
    <x v="88"/>
    <x v="88"/>
    <x v="0"/>
    <s v="53631-24432-SY"/>
    <s v="E-M-0.5"/>
    <n v="5"/>
    <x v="423"/>
    <s v="iphillpoten@buzzfeed.com"/>
    <x v="1"/>
    <x v="0"/>
    <x v="2"/>
    <x v="0"/>
    <n v="8.25"/>
    <n v="41.25"/>
    <x v="0"/>
    <x v="2"/>
    <x v="1"/>
  </r>
  <r>
    <x v="446"/>
    <x v="168"/>
    <x v="168"/>
    <x v="2"/>
    <s v="80310-92912-JA"/>
    <s v="A-L-0.5"/>
    <n v="4"/>
    <x v="424"/>
    <s v="iblazewicz54@thetimes.co.uk"/>
    <x v="0"/>
    <x v="2"/>
    <x v="0"/>
    <x v="0"/>
    <n v="7.77"/>
    <n v="31.08"/>
    <x v="2"/>
    <x v="0"/>
    <x v="1"/>
  </r>
  <r>
    <x v="447"/>
    <x v="322"/>
    <x v="322"/>
    <x v="2"/>
    <s v="72778-50968-UQ"/>
    <s v="R-M-1"/>
    <n v="6"/>
    <x v="425"/>
    <s v="ijespern4@theglobeandmail.com"/>
    <x v="0"/>
    <x v="1"/>
    <x v="2"/>
    <x v="2"/>
    <n v="9.9499999999999993"/>
    <n v="59.699999999999996"/>
    <x v="1"/>
    <x v="2"/>
    <x v="1"/>
  </r>
  <r>
    <x v="448"/>
    <x v="385"/>
    <x v="385"/>
    <x v="1"/>
    <s v="06953-94794-FB"/>
    <s v="A-M-0.5"/>
    <n v="4"/>
    <x v="426"/>
    <s v=""/>
    <x v="0"/>
    <x v="2"/>
    <x v="2"/>
    <x v="0"/>
    <n v="6.75"/>
    <n v="27"/>
    <x v="2"/>
    <x v="2"/>
    <x v="1"/>
  </r>
  <r>
    <x v="449"/>
    <x v="146"/>
    <x v="146"/>
    <x v="2"/>
    <s v="58690-31815-VY"/>
    <s v="A-D-0.5"/>
    <n v="3"/>
    <x v="427"/>
    <s v="ihussey84@mapy.cz"/>
    <x v="0"/>
    <x v="2"/>
    <x v="1"/>
    <x v="0"/>
    <n v="5.97"/>
    <n v="17.91"/>
    <x v="2"/>
    <x v="1"/>
    <x v="1"/>
  </r>
  <r>
    <x v="450"/>
    <x v="180"/>
    <x v="180"/>
    <x v="1"/>
    <s v="69207-93422-CQ"/>
    <s v="E-D-2.5"/>
    <n v="3"/>
    <x v="428"/>
    <s v="ihesselpf@ox.ac.uk"/>
    <x v="0"/>
    <x v="0"/>
    <x v="1"/>
    <x v="3"/>
    <n v="27.945"/>
    <n v="83.835000000000008"/>
    <x v="0"/>
    <x v="1"/>
    <x v="0"/>
  </r>
  <r>
    <x v="451"/>
    <x v="386"/>
    <x v="386"/>
    <x v="3"/>
    <s v="91460-04823-BX"/>
    <s v="A-L-1"/>
    <n v="3"/>
    <x v="429"/>
    <s v="ipikett1d@xinhuanet.com"/>
    <x v="0"/>
    <x v="2"/>
    <x v="0"/>
    <x v="2"/>
    <n v="12.95"/>
    <n v="38.849999999999994"/>
    <x v="2"/>
    <x v="0"/>
    <x v="1"/>
  </r>
  <r>
    <x v="452"/>
    <x v="387"/>
    <x v="387"/>
    <x v="1"/>
    <s v="86144-10144-CB"/>
    <s v="A-M-0.5"/>
    <n v="2"/>
    <x v="430"/>
    <s v="inorquoyav@businessweek.com"/>
    <x v="0"/>
    <x v="2"/>
    <x v="2"/>
    <x v="0"/>
    <n v="6.75"/>
    <n v="13.5"/>
    <x v="2"/>
    <x v="2"/>
    <x v="1"/>
  </r>
  <r>
    <x v="453"/>
    <x v="388"/>
    <x v="388"/>
    <x v="2"/>
    <s v="21617-79890-DD"/>
    <s v="R-L-2.5"/>
    <n v="1"/>
    <x v="431"/>
    <s v=""/>
    <x v="0"/>
    <x v="1"/>
    <x v="0"/>
    <x v="3"/>
    <n v="27.484999999999996"/>
    <n v="27.484999999999996"/>
    <x v="1"/>
    <x v="0"/>
    <x v="0"/>
  </r>
  <r>
    <x v="454"/>
    <x v="389"/>
    <x v="389"/>
    <x v="1"/>
    <s v="04513-76520-QO"/>
    <s v="L-D-1"/>
    <n v="1"/>
    <x v="432"/>
    <s v="jbalsillie46@princeton.edu"/>
    <x v="0"/>
    <x v="3"/>
    <x v="1"/>
    <x v="2"/>
    <n v="12.95"/>
    <n v="12.95"/>
    <x v="3"/>
    <x v="1"/>
    <x v="0"/>
  </r>
  <r>
    <x v="455"/>
    <x v="390"/>
    <x v="390"/>
    <x v="1"/>
    <s v="58118-22461-GC"/>
    <s v="R-D-2.5"/>
    <n v="4"/>
    <x v="433"/>
    <s v="jchuggfp@about.me"/>
    <x v="0"/>
    <x v="1"/>
    <x v="1"/>
    <x v="3"/>
    <n v="20.584999999999997"/>
    <n v="82.339999999999989"/>
    <x v="1"/>
    <x v="1"/>
    <x v="1"/>
  </r>
  <r>
    <x v="456"/>
    <x v="170"/>
    <x v="170"/>
    <x v="2"/>
    <s v="49671-11547-WG"/>
    <s v="E-L-0.2"/>
    <n v="2"/>
    <x v="434"/>
    <s v="jmahakc@cyberchimps.com"/>
    <x v="0"/>
    <x v="0"/>
    <x v="0"/>
    <x v="1"/>
    <n v="4.4550000000000001"/>
    <n v="8.91"/>
    <x v="0"/>
    <x v="0"/>
    <x v="1"/>
  </r>
  <r>
    <x v="457"/>
    <x v="391"/>
    <x v="391"/>
    <x v="0"/>
    <s v="15456-29250-RU"/>
    <s v="L-D-2.5"/>
    <n v="4"/>
    <x v="435"/>
    <s v=""/>
    <x v="0"/>
    <x v="3"/>
    <x v="1"/>
    <x v="3"/>
    <n v="29.784999999999997"/>
    <n v="119.13999999999999"/>
    <x v="3"/>
    <x v="1"/>
    <x v="1"/>
  </r>
  <r>
    <x v="458"/>
    <x v="392"/>
    <x v="392"/>
    <x v="2"/>
    <s v="21125-22134-PX"/>
    <s v="A-L-1"/>
    <n v="1"/>
    <x v="436"/>
    <s v="jredholes2@tmall.com"/>
    <x v="0"/>
    <x v="2"/>
    <x v="0"/>
    <x v="2"/>
    <n v="12.95"/>
    <n v="12.95"/>
    <x v="2"/>
    <x v="0"/>
    <x v="0"/>
  </r>
  <r>
    <x v="459"/>
    <x v="91"/>
    <x v="91"/>
    <x v="2"/>
    <s v="19413-02045-CG"/>
    <s v="R-L-1"/>
    <n v="2"/>
    <x v="437"/>
    <s v=""/>
    <x v="1"/>
    <x v="1"/>
    <x v="0"/>
    <x v="2"/>
    <n v="11.95"/>
    <n v="23.9"/>
    <x v="1"/>
    <x v="0"/>
    <x v="1"/>
  </r>
  <r>
    <x v="460"/>
    <x v="393"/>
    <x v="393"/>
    <x v="0"/>
    <s v="56991-05510-PR"/>
    <s v="A-L-2.5"/>
    <n v="2"/>
    <x v="438"/>
    <s v="jedenll@e-recht24.de"/>
    <x v="0"/>
    <x v="2"/>
    <x v="0"/>
    <x v="3"/>
    <n v="29.784999999999997"/>
    <n v="59.569999999999993"/>
    <x v="2"/>
    <x v="0"/>
    <x v="1"/>
  </r>
  <r>
    <x v="461"/>
    <x v="394"/>
    <x v="394"/>
    <x v="3"/>
    <s v="32743-78448-KT"/>
    <s v="R-L-2.5"/>
    <n v="5"/>
    <x v="439"/>
    <s v="jmillettik@addtoany.com"/>
    <x v="0"/>
    <x v="1"/>
    <x v="0"/>
    <x v="3"/>
    <n v="27.484999999999996"/>
    <n v="137.42499999999998"/>
    <x v="1"/>
    <x v="0"/>
    <x v="0"/>
  </r>
  <r>
    <x v="462"/>
    <x v="395"/>
    <x v="395"/>
    <x v="3"/>
    <s v="32743-78448-KT"/>
    <s v="E-M-0.5"/>
    <n v="3"/>
    <x v="439"/>
    <s v="jmillettik@addtoany.com"/>
    <x v="0"/>
    <x v="0"/>
    <x v="2"/>
    <x v="0"/>
    <n v="8.25"/>
    <n v="24.75"/>
    <x v="0"/>
    <x v="2"/>
    <x v="0"/>
  </r>
  <r>
    <x v="463"/>
    <x v="396"/>
    <x v="396"/>
    <x v="3"/>
    <s v="49401-45041-ZU"/>
    <s v="R-L-0.5"/>
    <n v="4"/>
    <x v="440"/>
    <s v="jedinboronc@reverbnation.com"/>
    <x v="0"/>
    <x v="1"/>
    <x v="0"/>
    <x v="0"/>
    <n v="7.169999999999999"/>
    <n v="28.679999999999996"/>
    <x v="1"/>
    <x v="0"/>
    <x v="0"/>
  </r>
  <r>
    <x v="464"/>
    <x v="373"/>
    <x v="373"/>
    <x v="1"/>
    <s v="70290-38099-GB"/>
    <s v="R-M-0.2"/>
    <n v="5"/>
    <x v="441"/>
    <s v="jbagot8i@mac.com"/>
    <x v="0"/>
    <x v="1"/>
    <x v="2"/>
    <x v="1"/>
    <n v="2.9849999999999999"/>
    <n v="14.924999999999999"/>
    <x v="1"/>
    <x v="2"/>
    <x v="1"/>
  </r>
  <r>
    <x v="465"/>
    <x v="397"/>
    <x v="397"/>
    <x v="2"/>
    <s v="80896-38819-DW"/>
    <s v="A-L-0.5"/>
    <n v="3"/>
    <x v="442"/>
    <s v="jrudeforthai@wunderground.com"/>
    <x v="2"/>
    <x v="2"/>
    <x v="0"/>
    <x v="0"/>
    <n v="7.77"/>
    <n v="23.31"/>
    <x v="2"/>
    <x v="0"/>
    <x v="0"/>
  </r>
  <r>
    <x v="466"/>
    <x v="398"/>
    <x v="398"/>
    <x v="0"/>
    <s v="20118-28138-QD"/>
    <s v="A-L-1"/>
    <n v="2"/>
    <x v="443"/>
    <s v="jskentelberyoa@paypal.com"/>
    <x v="0"/>
    <x v="2"/>
    <x v="0"/>
    <x v="2"/>
    <n v="12.95"/>
    <n v="25.9"/>
    <x v="2"/>
    <x v="0"/>
    <x v="1"/>
  </r>
  <r>
    <x v="467"/>
    <x v="399"/>
    <x v="399"/>
    <x v="1"/>
    <s v="86757-52367-ON"/>
    <s v="E-L-0.2"/>
    <n v="2"/>
    <x v="444"/>
    <s v="jcamillopt@shinystat.com"/>
    <x v="0"/>
    <x v="0"/>
    <x v="0"/>
    <x v="1"/>
    <n v="4.4550000000000001"/>
    <n v="8.91"/>
    <x v="0"/>
    <x v="0"/>
    <x v="0"/>
  </r>
  <r>
    <x v="468"/>
    <x v="400"/>
    <x v="400"/>
    <x v="0"/>
    <s v="09540-70637-EV"/>
    <s v="L-D-1"/>
    <n v="2"/>
    <x v="445"/>
    <s v="jtoyekg@pinterest.com"/>
    <x v="2"/>
    <x v="3"/>
    <x v="1"/>
    <x v="2"/>
    <n v="12.95"/>
    <n v="25.9"/>
    <x v="3"/>
    <x v="1"/>
    <x v="0"/>
  </r>
  <r>
    <x v="469"/>
    <x v="401"/>
    <x v="401"/>
    <x v="1"/>
    <s v="76624-72205-CK"/>
    <s v="A-D-0.2"/>
    <n v="4"/>
    <x v="446"/>
    <s v="jsisneros7j@a8.net"/>
    <x v="0"/>
    <x v="2"/>
    <x v="1"/>
    <x v="1"/>
    <n v="2.9849999999999999"/>
    <n v="11.94"/>
    <x v="2"/>
    <x v="1"/>
    <x v="0"/>
  </r>
  <r>
    <x v="470"/>
    <x v="402"/>
    <x v="402"/>
    <x v="1"/>
    <s v="28699-16256-XV"/>
    <s v="R-D-0.5"/>
    <n v="2"/>
    <x v="447"/>
    <s v=""/>
    <x v="0"/>
    <x v="1"/>
    <x v="1"/>
    <x v="0"/>
    <n v="5.3699999999999992"/>
    <n v="10.739999999999998"/>
    <x v="1"/>
    <x v="1"/>
    <x v="1"/>
  </r>
  <r>
    <x v="471"/>
    <x v="381"/>
    <x v="381"/>
    <x v="0"/>
    <s v="32291-18308-YZ"/>
    <s v="E-M-1"/>
    <n v="3"/>
    <x v="448"/>
    <s v="jkopke7a@auda.org.au"/>
    <x v="0"/>
    <x v="0"/>
    <x v="2"/>
    <x v="2"/>
    <n v="13.75"/>
    <n v="41.25"/>
    <x v="0"/>
    <x v="2"/>
    <x v="1"/>
  </r>
  <r>
    <x v="472"/>
    <x v="403"/>
    <x v="403"/>
    <x v="3"/>
    <s v="80454-42225-FT"/>
    <s v="A-L-0.5"/>
    <n v="4"/>
    <x v="449"/>
    <s v="jkennicottm5@yahoo.co.jp"/>
    <x v="0"/>
    <x v="2"/>
    <x v="0"/>
    <x v="0"/>
    <n v="7.77"/>
    <n v="31.08"/>
    <x v="2"/>
    <x v="0"/>
    <x v="1"/>
  </r>
  <r>
    <x v="473"/>
    <x v="364"/>
    <x v="364"/>
    <x v="0"/>
    <s v="31582-23562-FM"/>
    <s v="A-L-2.5"/>
    <n v="3"/>
    <x v="450"/>
    <s v="jdufaire2d@fc2.com"/>
    <x v="0"/>
    <x v="2"/>
    <x v="0"/>
    <x v="3"/>
    <n v="29.784999999999997"/>
    <n v="89.35499999999999"/>
    <x v="2"/>
    <x v="0"/>
    <x v="1"/>
  </r>
  <r>
    <x v="473"/>
    <x v="364"/>
    <x v="364"/>
    <x v="0"/>
    <s v="31582-23562-FM"/>
    <s v="A-D-0.2"/>
    <n v="4"/>
    <x v="450"/>
    <s v="jdufaire2d@fc2.com"/>
    <x v="0"/>
    <x v="2"/>
    <x v="1"/>
    <x v="1"/>
    <n v="2.9849999999999999"/>
    <n v="11.94"/>
    <x v="2"/>
    <x v="1"/>
    <x v="1"/>
  </r>
  <r>
    <x v="474"/>
    <x v="404"/>
    <x v="404"/>
    <x v="3"/>
    <s v="48464-99723-HK"/>
    <s v="A-L-0.2"/>
    <n v="6"/>
    <x v="451"/>
    <s v="jethelstonnl@creativecommons.org"/>
    <x v="0"/>
    <x v="2"/>
    <x v="0"/>
    <x v="1"/>
    <n v="3.8849999999999998"/>
    <n v="23.31"/>
    <x v="2"/>
    <x v="0"/>
    <x v="0"/>
  </r>
  <r>
    <x v="474"/>
    <x v="404"/>
    <x v="404"/>
    <x v="3"/>
    <s v="48464-99723-HK"/>
    <s v="A-M-0.2"/>
    <n v="2"/>
    <x v="451"/>
    <s v="jethelstonnl@creativecommons.org"/>
    <x v="0"/>
    <x v="2"/>
    <x v="2"/>
    <x v="1"/>
    <n v="3.375"/>
    <n v="6.75"/>
    <x v="2"/>
    <x v="2"/>
    <x v="0"/>
  </r>
  <r>
    <x v="475"/>
    <x v="349"/>
    <x v="349"/>
    <x v="1"/>
    <s v="43014-53743-XK"/>
    <s v="R-L-2.5"/>
    <n v="1"/>
    <x v="452"/>
    <s v="jtewelsonrn@samsung.com"/>
    <x v="0"/>
    <x v="1"/>
    <x v="0"/>
    <x v="3"/>
    <n v="27.484999999999996"/>
    <n v="27.484999999999996"/>
    <x v="1"/>
    <x v="0"/>
    <x v="1"/>
  </r>
  <r>
    <x v="476"/>
    <x v="405"/>
    <x v="405"/>
    <x v="2"/>
    <s v="80640-45811-LB"/>
    <s v="E-L-0.5"/>
    <n v="2"/>
    <x v="453"/>
    <s v="jrangall22@newsvine.com"/>
    <x v="0"/>
    <x v="0"/>
    <x v="0"/>
    <x v="0"/>
    <n v="8.91"/>
    <n v="17.82"/>
    <x v="0"/>
    <x v="0"/>
    <x v="0"/>
  </r>
  <r>
    <x v="477"/>
    <x v="406"/>
    <x v="406"/>
    <x v="0"/>
    <s v="13549-65017-VE"/>
    <s v="R-D-0.2"/>
    <n v="3"/>
    <x v="454"/>
    <s v="jwilkissongf@nba.com"/>
    <x v="0"/>
    <x v="1"/>
    <x v="1"/>
    <x v="1"/>
    <n v="2.6849999999999996"/>
    <n v="8.0549999999999997"/>
    <x v="1"/>
    <x v="1"/>
    <x v="0"/>
  </r>
  <r>
    <x v="478"/>
    <x v="407"/>
    <x v="407"/>
    <x v="2"/>
    <s v="29051-27555-GD"/>
    <s v="L-D-0.2"/>
    <n v="1"/>
    <x v="455"/>
    <s v="jcapeyhr@bravesites.com"/>
    <x v="0"/>
    <x v="3"/>
    <x v="1"/>
    <x v="1"/>
    <n v="3.8849999999999998"/>
    <n v="3.8849999999999998"/>
    <x v="3"/>
    <x v="1"/>
    <x v="0"/>
  </r>
  <r>
    <x v="479"/>
    <x v="274"/>
    <x v="274"/>
    <x v="3"/>
    <s v="15958-25089-OS"/>
    <s v="L-L-2.5"/>
    <n v="2"/>
    <x v="456"/>
    <s v="jdruittj1@feedburner.com"/>
    <x v="0"/>
    <x v="3"/>
    <x v="0"/>
    <x v="3"/>
    <n v="36.454999999999998"/>
    <n v="72.91"/>
    <x v="3"/>
    <x v="0"/>
    <x v="0"/>
  </r>
  <r>
    <x v="480"/>
    <x v="408"/>
    <x v="408"/>
    <x v="0"/>
    <s v="96762-10814-DA"/>
    <s v="L-M-0.5"/>
    <n v="6"/>
    <x v="457"/>
    <s v="jgippesm0@cloudflare.com"/>
    <x v="1"/>
    <x v="3"/>
    <x v="2"/>
    <x v="0"/>
    <n v="8.73"/>
    <n v="52.38"/>
    <x v="3"/>
    <x v="2"/>
    <x v="0"/>
  </r>
  <r>
    <x v="481"/>
    <x v="346"/>
    <x v="346"/>
    <x v="1"/>
    <s v="78786-77449-RQ"/>
    <s v="A-D-2.5"/>
    <n v="4"/>
    <x v="458"/>
    <s v="jbranchettii@bravesites.com"/>
    <x v="0"/>
    <x v="2"/>
    <x v="1"/>
    <x v="3"/>
    <n v="22.884999999999998"/>
    <n v="91.539999999999992"/>
    <x v="2"/>
    <x v="1"/>
    <x v="1"/>
  </r>
  <r>
    <x v="482"/>
    <x v="100"/>
    <x v="100"/>
    <x v="2"/>
    <s v="21240-83132-SP"/>
    <s v="L-M-1"/>
    <n v="3"/>
    <x v="459"/>
    <s v=""/>
    <x v="0"/>
    <x v="3"/>
    <x v="2"/>
    <x v="2"/>
    <n v="14.55"/>
    <n v="43.650000000000006"/>
    <x v="3"/>
    <x v="2"/>
    <x v="1"/>
  </r>
  <r>
    <x v="483"/>
    <x v="348"/>
    <x v="348"/>
    <x v="1"/>
    <s v="10728-17633-ST"/>
    <s v="E-M-2.5"/>
    <n v="2"/>
    <x v="460"/>
    <s v="jshentonge@google.com.hk"/>
    <x v="0"/>
    <x v="0"/>
    <x v="2"/>
    <x v="3"/>
    <n v="31.624999999999996"/>
    <n v="63.249999999999993"/>
    <x v="0"/>
    <x v="2"/>
    <x v="0"/>
  </r>
  <r>
    <x v="484"/>
    <x v="188"/>
    <x v="188"/>
    <x v="2"/>
    <s v="04713-57765-KR"/>
    <s v="A-M-1"/>
    <n v="2"/>
    <x v="461"/>
    <s v="jdrengqg@uiuc.edu"/>
    <x v="2"/>
    <x v="2"/>
    <x v="2"/>
    <x v="2"/>
    <n v="11.25"/>
    <n v="22.5"/>
    <x v="2"/>
    <x v="2"/>
    <x v="0"/>
  </r>
  <r>
    <x v="485"/>
    <x v="409"/>
    <x v="409"/>
    <x v="3"/>
    <s v="94091-86957-HX"/>
    <s v="A-D-0.2"/>
    <n v="6"/>
    <x v="462"/>
    <s v="jdymokeje@prnewswire.com"/>
    <x v="2"/>
    <x v="2"/>
    <x v="1"/>
    <x v="1"/>
    <n v="2.9849999999999999"/>
    <n v="17.91"/>
    <x v="2"/>
    <x v="1"/>
    <x v="1"/>
  </r>
  <r>
    <x v="486"/>
    <x v="410"/>
    <x v="410"/>
    <x v="3"/>
    <s v="94091-86957-HX"/>
    <s v="R-L-1"/>
    <n v="3"/>
    <x v="462"/>
    <s v="jdymokeje@prnewswire.com"/>
    <x v="2"/>
    <x v="1"/>
    <x v="0"/>
    <x v="2"/>
    <n v="11.95"/>
    <n v="35.849999999999994"/>
    <x v="1"/>
    <x v="0"/>
    <x v="1"/>
  </r>
  <r>
    <x v="487"/>
    <x v="411"/>
    <x v="411"/>
    <x v="2"/>
    <s v="94091-86957-HX"/>
    <s v="E-D-0.2"/>
    <n v="5"/>
    <x v="462"/>
    <s v="jdymokeje@prnewswire.com"/>
    <x v="2"/>
    <x v="0"/>
    <x v="1"/>
    <x v="1"/>
    <n v="3.645"/>
    <n v="18.225000000000001"/>
    <x v="0"/>
    <x v="1"/>
    <x v="1"/>
  </r>
  <r>
    <x v="488"/>
    <x v="286"/>
    <x v="286"/>
    <x v="2"/>
    <s v="94091-86957-HX"/>
    <s v="A-M-1"/>
    <n v="2"/>
    <x v="462"/>
    <s v="jdymokeje@prnewswire.com"/>
    <x v="2"/>
    <x v="2"/>
    <x v="2"/>
    <x v="2"/>
    <n v="11.25"/>
    <n v="22.5"/>
    <x v="2"/>
    <x v="2"/>
    <x v="1"/>
  </r>
  <r>
    <x v="489"/>
    <x v="412"/>
    <x v="412"/>
    <x v="0"/>
    <s v="94091-86957-HX"/>
    <s v="L-D-1"/>
    <n v="2"/>
    <x v="462"/>
    <s v="jdymokeje@prnewswire.com"/>
    <x v="2"/>
    <x v="3"/>
    <x v="1"/>
    <x v="2"/>
    <n v="12.95"/>
    <n v="25.9"/>
    <x v="3"/>
    <x v="1"/>
    <x v="1"/>
  </r>
  <r>
    <x v="490"/>
    <x v="95"/>
    <x v="95"/>
    <x v="1"/>
    <s v="69171-65646-UC"/>
    <s v="R-L-2.5"/>
    <n v="5"/>
    <x v="463"/>
    <s v="jreddochnt@sun.com"/>
    <x v="0"/>
    <x v="1"/>
    <x v="0"/>
    <x v="3"/>
    <n v="27.484999999999996"/>
    <n v="137.42499999999998"/>
    <x v="1"/>
    <x v="0"/>
    <x v="1"/>
  </r>
  <r>
    <x v="491"/>
    <x v="413"/>
    <x v="413"/>
    <x v="2"/>
    <s v="75977-30364-AY"/>
    <s v="A-D-2.5"/>
    <n v="5"/>
    <x v="464"/>
    <s v="jpray4a@youtube.com"/>
    <x v="0"/>
    <x v="2"/>
    <x v="1"/>
    <x v="3"/>
    <n v="22.884999999999998"/>
    <n v="114.42499999999998"/>
    <x v="2"/>
    <x v="1"/>
    <x v="1"/>
  </r>
  <r>
    <x v="492"/>
    <x v="414"/>
    <x v="414"/>
    <x v="1"/>
    <s v="44708-78241-DF"/>
    <s v="A-M-2.5"/>
    <n v="6"/>
    <x v="465"/>
    <s v="jcaldicott9u@usda.gov"/>
    <x v="0"/>
    <x v="2"/>
    <x v="2"/>
    <x v="3"/>
    <n v="25.874999999999996"/>
    <n v="155.24999999999997"/>
    <x v="2"/>
    <x v="2"/>
    <x v="1"/>
  </r>
  <r>
    <x v="493"/>
    <x v="415"/>
    <x v="415"/>
    <x v="0"/>
    <s v="83844-95908-RX"/>
    <s v="R-M-1"/>
    <n v="3"/>
    <x v="466"/>
    <s v="jjefferysqt@blog.com"/>
    <x v="0"/>
    <x v="1"/>
    <x v="2"/>
    <x v="2"/>
    <n v="9.9499999999999993"/>
    <n v="29.849999999999998"/>
    <x v="1"/>
    <x v="2"/>
    <x v="0"/>
  </r>
  <r>
    <x v="494"/>
    <x v="381"/>
    <x v="381"/>
    <x v="0"/>
    <s v="13441-34686-SW"/>
    <s v="L-D-0.5"/>
    <n v="4"/>
    <x v="467"/>
    <s v="jbluckjc@imageshack.us"/>
    <x v="0"/>
    <x v="3"/>
    <x v="1"/>
    <x v="0"/>
    <n v="7.77"/>
    <n v="31.08"/>
    <x v="3"/>
    <x v="1"/>
    <x v="1"/>
  </r>
  <r>
    <x v="495"/>
    <x v="416"/>
    <x v="416"/>
    <x v="3"/>
    <s v="69215-90789-DL"/>
    <s v="R-L-0.2"/>
    <n v="4"/>
    <x v="468"/>
    <s v=""/>
    <x v="0"/>
    <x v="1"/>
    <x v="0"/>
    <x v="1"/>
    <n v="3.5849999999999995"/>
    <n v="14.339999999999998"/>
    <x v="1"/>
    <x v="0"/>
    <x v="0"/>
  </r>
  <r>
    <x v="496"/>
    <x v="125"/>
    <x v="125"/>
    <x v="2"/>
    <s v="76948-43532-JS"/>
    <s v="E-D-0.5"/>
    <n v="2"/>
    <x v="469"/>
    <s v="jhaldenkp@comcast.net"/>
    <x v="2"/>
    <x v="0"/>
    <x v="1"/>
    <x v="0"/>
    <n v="7.29"/>
    <n v="14.58"/>
    <x v="0"/>
    <x v="1"/>
    <x v="1"/>
  </r>
  <r>
    <x v="497"/>
    <x v="417"/>
    <x v="417"/>
    <x v="1"/>
    <s v="39457-62611-YK"/>
    <s v="L-D-2.5"/>
    <n v="4"/>
    <x v="470"/>
    <s v=""/>
    <x v="2"/>
    <x v="3"/>
    <x v="1"/>
    <x v="3"/>
    <n v="29.784999999999997"/>
    <n v="119.13999999999999"/>
    <x v="3"/>
    <x v="1"/>
    <x v="1"/>
  </r>
  <r>
    <x v="498"/>
    <x v="418"/>
    <x v="418"/>
    <x v="3"/>
    <s v="18570-80998-ZS"/>
    <s v="E-D-0.2"/>
    <n v="6"/>
    <x v="471"/>
    <s v=""/>
    <x v="0"/>
    <x v="0"/>
    <x v="1"/>
    <x v="1"/>
    <n v="3.645"/>
    <n v="21.87"/>
    <x v="0"/>
    <x v="1"/>
    <x v="0"/>
  </r>
  <r>
    <x v="499"/>
    <x v="419"/>
    <x v="419"/>
    <x v="0"/>
    <s v="99358-65399-TC"/>
    <s v="A-D-0.5"/>
    <n v="4"/>
    <x v="472"/>
    <s v="jawdry9q@utexas.edu"/>
    <x v="0"/>
    <x v="2"/>
    <x v="1"/>
    <x v="0"/>
    <n v="5.97"/>
    <n v="23.88"/>
    <x v="2"/>
    <x v="1"/>
    <x v="1"/>
  </r>
  <r>
    <x v="500"/>
    <x v="420"/>
    <x v="420"/>
    <x v="1"/>
    <s v="37238-52421-JJ"/>
    <s v="R-M-0.5"/>
    <n v="1"/>
    <x v="473"/>
    <s v="jdeag@xrea.com"/>
    <x v="0"/>
    <x v="1"/>
    <x v="2"/>
    <x v="0"/>
    <n v="5.97"/>
    <n v="5.97"/>
    <x v="1"/>
    <x v="2"/>
    <x v="0"/>
  </r>
  <r>
    <x v="501"/>
    <x v="377"/>
    <x v="377"/>
    <x v="2"/>
    <s v="12607-75113-UV"/>
    <s v="A-M-0.5"/>
    <n v="3"/>
    <x v="474"/>
    <s v="jdeehanlk@about.me"/>
    <x v="0"/>
    <x v="2"/>
    <x v="2"/>
    <x v="0"/>
    <n v="6.75"/>
    <n v="20.25"/>
    <x v="2"/>
    <x v="2"/>
    <x v="1"/>
  </r>
  <r>
    <x v="502"/>
    <x v="157"/>
    <x v="157"/>
    <x v="3"/>
    <s v="69037-66822-DW"/>
    <s v="E-L-2.5"/>
    <n v="4"/>
    <x v="475"/>
    <s v=""/>
    <x v="2"/>
    <x v="0"/>
    <x v="0"/>
    <x v="3"/>
    <n v="34.154999999999994"/>
    <n v="136.61999999999998"/>
    <x v="0"/>
    <x v="0"/>
    <x v="0"/>
  </r>
  <r>
    <x v="503"/>
    <x v="421"/>
    <x v="421"/>
    <x v="1"/>
    <s v="99735-44927-OL"/>
    <s v="E-M-1"/>
    <n v="3"/>
    <x v="476"/>
    <s v="jmccaulld0@parallels.com"/>
    <x v="0"/>
    <x v="0"/>
    <x v="2"/>
    <x v="2"/>
    <n v="13.75"/>
    <n v="41.25"/>
    <x v="0"/>
    <x v="2"/>
    <x v="0"/>
  </r>
  <r>
    <x v="504"/>
    <x v="422"/>
    <x v="422"/>
    <x v="0"/>
    <s v="07756-71018-GU"/>
    <s v="R-L-2.5"/>
    <n v="5"/>
    <x v="477"/>
    <s v="kcantor4@gmpg.org"/>
    <x v="0"/>
    <x v="1"/>
    <x v="0"/>
    <x v="3"/>
    <n v="27.484999999999996"/>
    <n v="137.42499999999998"/>
    <x v="1"/>
    <x v="0"/>
    <x v="0"/>
  </r>
  <r>
    <x v="505"/>
    <x v="423"/>
    <x v="423"/>
    <x v="3"/>
    <s v="51497-50894-WU"/>
    <s v="R-M-2.5"/>
    <n v="2"/>
    <x v="478"/>
    <s v="knottramlw@odnoklassniki.ru"/>
    <x v="2"/>
    <x v="1"/>
    <x v="2"/>
    <x v="3"/>
    <n v="22.884999999999998"/>
    <n v="45.769999999999996"/>
    <x v="1"/>
    <x v="2"/>
    <x v="0"/>
  </r>
  <r>
    <x v="506"/>
    <x v="424"/>
    <x v="424"/>
    <x v="2"/>
    <s v="59572-41990-XY"/>
    <s v="L-M-1"/>
    <n v="6"/>
    <x v="479"/>
    <s v="kloxtona3@opensource.org"/>
    <x v="0"/>
    <x v="3"/>
    <x v="2"/>
    <x v="2"/>
    <n v="14.55"/>
    <n v="87.300000000000011"/>
    <x v="3"/>
    <x v="2"/>
    <x v="1"/>
  </r>
  <r>
    <x v="507"/>
    <x v="425"/>
    <x v="425"/>
    <x v="0"/>
    <s v="28158-93383-CK"/>
    <s v="E-D-1"/>
    <n v="1"/>
    <x v="480"/>
    <s v="kphilbrickpu@cdc.gov"/>
    <x v="0"/>
    <x v="0"/>
    <x v="1"/>
    <x v="2"/>
    <n v="12.15"/>
    <n v="12.15"/>
    <x v="0"/>
    <x v="1"/>
    <x v="0"/>
  </r>
  <r>
    <x v="508"/>
    <x v="298"/>
    <x v="298"/>
    <x v="3"/>
    <s v="10725-45724-CO"/>
    <s v="R-L-0.5"/>
    <n v="4"/>
    <x v="481"/>
    <s v="kcragellkk@google.com"/>
    <x v="2"/>
    <x v="1"/>
    <x v="0"/>
    <x v="0"/>
    <n v="7.169999999999999"/>
    <n v="28.679999999999996"/>
    <x v="1"/>
    <x v="0"/>
    <x v="1"/>
  </r>
  <r>
    <x v="509"/>
    <x v="426"/>
    <x v="426"/>
    <x v="2"/>
    <s v="08023-52962-ET"/>
    <s v="E-M-0.5"/>
    <n v="5"/>
    <x v="482"/>
    <s v="kheddanmy@icq.com"/>
    <x v="0"/>
    <x v="0"/>
    <x v="2"/>
    <x v="0"/>
    <n v="8.25"/>
    <n v="41.25"/>
    <x v="0"/>
    <x v="2"/>
    <x v="0"/>
  </r>
  <r>
    <x v="510"/>
    <x v="427"/>
    <x v="427"/>
    <x v="1"/>
    <s v="17514-94165-RJ"/>
    <s v="E-M-0.5"/>
    <n v="4"/>
    <x v="483"/>
    <s v="kswede4g@addthis.com"/>
    <x v="0"/>
    <x v="0"/>
    <x v="2"/>
    <x v="0"/>
    <n v="8.25"/>
    <n v="33"/>
    <x v="0"/>
    <x v="2"/>
    <x v="1"/>
  </r>
  <r>
    <x v="511"/>
    <x v="428"/>
    <x v="428"/>
    <x v="1"/>
    <s v="84466-22864-CE"/>
    <s v="E-D-2.5"/>
    <n v="5"/>
    <x v="484"/>
    <s v="kimortsee@alexa.com"/>
    <x v="0"/>
    <x v="0"/>
    <x v="1"/>
    <x v="3"/>
    <n v="27.945"/>
    <n v="139.72499999999999"/>
    <x v="0"/>
    <x v="1"/>
    <x v="1"/>
  </r>
  <r>
    <x v="512"/>
    <x v="361"/>
    <x v="361"/>
    <x v="2"/>
    <s v="96112-42558-EA"/>
    <s v="E-L-1"/>
    <n v="4"/>
    <x v="485"/>
    <s v="kkarby7t@sbwire.com"/>
    <x v="0"/>
    <x v="0"/>
    <x v="0"/>
    <x v="2"/>
    <n v="14.85"/>
    <n v="59.4"/>
    <x v="0"/>
    <x v="0"/>
    <x v="0"/>
  </r>
  <r>
    <x v="513"/>
    <x v="429"/>
    <x v="429"/>
    <x v="0"/>
    <s v="76447-50326-IC"/>
    <s v="L-L-2.5"/>
    <n v="4"/>
    <x v="486"/>
    <s v="kflanders1f@over-blog.com"/>
    <x v="2"/>
    <x v="3"/>
    <x v="0"/>
    <x v="3"/>
    <n v="36.454999999999998"/>
    <n v="145.82"/>
    <x v="3"/>
    <x v="0"/>
    <x v="0"/>
  </r>
  <r>
    <x v="514"/>
    <x v="89"/>
    <x v="89"/>
    <x v="1"/>
    <s v="61253-98356-VD"/>
    <s v="L-L-0.2"/>
    <n v="5"/>
    <x v="487"/>
    <s v="khuddartlz@about.com"/>
    <x v="0"/>
    <x v="3"/>
    <x v="0"/>
    <x v="1"/>
    <n v="4.7549999999999999"/>
    <n v="23.774999999999999"/>
    <x v="3"/>
    <x v="0"/>
    <x v="0"/>
  </r>
  <r>
    <x v="515"/>
    <x v="335"/>
    <x v="335"/>
    <x v="0"/>
    <s v="86504-96610-BH"/>
    <s v="A-L-1"/>
    <n v="2"/>
    <x v="488"/>
    <s v="kmelloi4y@imdb.com"/>
    <x v="0"/>
    <x v="2"/>
    <x v="0"/>
    <x v="2"/>
    <n v="12.95"/>
    <n v="25.9"/>
    <x v="2"/>
    <x v="0"/>
    <x v="1"/>
  </r>
  <r>
    <x v="516"/>
    <x v="430"/>
    <x v="430"/>
    <x v="2"/>
    <s v="86991-53901-AT"/>
    <s v="L-D-0.2"/>
    <n v="2"/>
    <x v="489"/>
    <s v=""/>
    <x v="1"/>
    <x v="3"/>
    <x v="1"/>
    <x v="1"/>
    <n v="3.8849999999999998"/>
    <n v="7.77"/>
    <x v="3"/>
    <x v="1"/>
    <x v="0"/>
  </r>
  <r>
    <x v="517"/>
    <x v="431"/>
    <x v="431"/>
    <x v="2"/>
    <s v="93046-67561-AY"/>
    <s v="L-L-0.5"/>
    <n v="6"/>
    <x v="490"/>
    <s v="kcakedg@huffingtonpost.com"/>
    <x v="0"/>
    <x v="3"/>
    <x v="0"/>
    <x v="0"/>
    <n v="9.51"/>
    <n v="57.06"/>
    <x v="3"/>
    <x v="0"/>
    <x v="1"/>
  </r>
  <r>
    <x v="518"/>
    <x v="432"/>
    <x v="432"/>
    <x v="1"/>
    <s v="60221-67036-TD"/>
    <s v="E-L-0.2"/>
    <n v="6"/>
    <x v="491"/>
    <s v="klestrange8a@lulu.com"/>
    <x v="0"/>
    <x v="0"/>
    <x v="0"/>
    <x v="1"/>
    <n v="4.4550000000000001"/>
    <n v="26.73"/>
    <x v="0"/>
    <x v="0"/>
    <x v="0"/>
  </r>
  <r>
    <x v="519"/>
    <x v="433"/>
    <x v="433"/>
    <x v="1"/>
    <s v="73431-39823-UP"/>
    <s v="L-D-0.2"/>
    <n v="6"/>
    <x v="492"/>
    <s v=""/>
    <x v="0"/>
    <x v="3"/>
    <x v="1"/>
    <x v="1"/>
    <n v="3.8849999999999998"/>
    <n v="23.31"/>
    <x v="3"/>
    <x v="1"/>
    <x v="1"/>
  </r>
  <r>
    <x v="520"/>
    <x v="1"/>
    <x v="1"/>
    <x v="1"/>
    <s v="24766-58139-GT"/>
    <s v="R-D-0.2"/>
    <n v="3"/>
    <x v="493"/>
    <s v=""/>
    <x v="0"/>
    <x v="1"/>
    <x v="1"/>
    <x v="1"/>
    <n v="2.6849999999999996"/>
    <n v="8.0549999999999997"/>
    <x v="1"/>
    <x v="1"/>
    <x v="0"/>
  </r>
  <r>
    <x v="521"/>
    <x v="434"/>
    <x v="434"/>
    <x v="2"/>
    <s v="86646-65810-TD"/>
    <s v="L-D-0.2"/>
    <n v="4"/>
    <x v="494"/>
    <s v=""/>
    <x v="0"/>
    <x v="3"/>
    <x v="1"/>
    <x v="1"/>
    <n v="3.8849999999999998"/>
    <n v="15.54"/>
    <x v="3"/>
    <x v="1"/>
    <x v="0"/>
  </r>
  <r>
    <x v="522"/>
    <x v="435"/>
    <x v="435"/>
    <x v="3"/>
    <s v="45899-92796-EI"/>
    <s v="R-L-0.2"/>
    <n v="4"/>
    <x v="495"/>
    <s v="kpatise7z@jigsy.com"/>
    <x v="0"/>
    <x v="1"/>
    <x v="0"/>
    <x v="1"/>
    <n v="3.5849999999999995"/>
    <n v="14.339999999999998"/>
    <x v="1"/>
    <x v="0"/>
    <x v="1"/>
  </r>
  <r>
    <x v="523"/>
    <x v="349"/>
    <x v="349"/>
    <x v="1"/>
    <s v="13561-92774-WP"/>
    <s v="L-D-2.5"/>
    <n v="4"/>
    <x v="496"/>
    <s v="kbromehead68@un.org"/>
    <x v="0"/>
    <x v="3"/>
    <x v="1"/>
    <x v="3"/>
    <n v="29.784999999999997"/>
    <n v="119.13999999999999"/>
    <x v="3"/>
    <x v="1"/>
    <x v="0"/>
  </r>
  <r>
    <x v="524"/>
    <x v="83"/>
    <x v="83"/>
    <x v="0"/>
    <s v="52798-46508-HP"/>
    <s v="A-L-1"/>
    <n v="5"/>
    <x v="497"/>
    <s v="kgrinstedj4@google.com.br"/>
    <x v="2"/>
    <x v="2"/>
    <x v="0"/>
    <x v="2"/>
    <n v="12.95"/>
    <n v="64.75"/>
    <x v="2"/>
    <x v="0"/>
    <x v="1"/>
  </r>
  <r>
    <x v="525"/>
    <x v="436"/>
    <x v="436"/>
    <x v="1"/>
    <s v="51114-51191-EW"/>
    <s v="E-L-0.2"/>
    <n v="3"/>
    <x v="498"/>
    <s v="kfersonon@g.co"/>
    <x v="0"/>
    <x v="0"/>
    <x v="0"/>
    <x v="1"/>
    <n v="4.4550000000000001"/>
    <n v="13.365"/>
    <x v="0"/>
    <x v="0"/>
    <x v="1"/>
  </r>
  <r>
    <x v="526"/>
    <x v="177"/>
    <x v="177"/>
    <x v="2"/>
    <s v="92753-50029-SD"/>
    <s v="A-M-0.5"/>
    <n v="5"/>
    <x v="499"/>
    <s v="kscholardgk@sbwire.com"/>
    <x v="0"/>
    <x v="2"/>
    <x v="2"/>
    <x v="0"/>
    <n v="6.75"/>
    <n v="33.75"/>
    <x v="2"/>
    <x v="2"/>
    <x v="1"/>
  </r>
  <r>
    <x v="527"/>
    <x v="437"/>
    <x v="437"/>
    <x v="0"/>
    <s v="31715-98714-OO"/>
    <s v="L-L-1"/>
    <n v="4"/>
    <x v="500"/>
    <s v="koslerf0@gmpg.org"/>
    <x v="0"/>
    <x v="3"/>
    <x v="0"/>
    <x v="2"/>
    <n v="15.85"/>
    <n v="63.4"/>
    <x v="3"/>
    <x v="0"/>
    <x v="0"/>
  </r>
  <r>
    <x v="528"/>
    <x v="438"/>
    <x v="438"/>
    <x v="3"/>
    <s v="06136-65250-PG"/>
    <s v="R-L-1"/>
    <n v="2"/>
    <x v="501"/>
    <s v="kkemeryra@t.co"/>
    <x v="0"/>
    <x v="1"/>
    <x v="0"/>
    <x v="2"/>
    <n v="11.95"/>
    <n v="23.9"/>
    <x v="1"/>
    <x v="0"/>
    <x v="0"/>
  </r>
  <r>
    <x v="529"/>
    <x v="439"/>
    <x v="439"/>
    <x v="3"/>
    <s v="86779-84838-EJ"/>
    <s v="E-L-1"/>
    <n v="3"/>
    <x v="502"/>
    <s v=""/>
    <x v="0"/>
    <x v="0"/>
    <x v="0"/>
    <x v="2"/>
    <n v="14.85"/>
    <n v="44.55"/>
    <x v="0"/>
    <x v="0"/>
    <x v="1"/>
  </r>
  <r>
    <x v="530"/>
    <x v="440"/>
    <x v="440"/>
    <x v="2"/>
    <s v="28476-04082-GR"/>
    <s v="R-D-1"/>
    <n v="6"/>
    <x v="503"/>
    <s v="kboorn23@ezinearticles.com"/>
    <x v="2"/>
    <x v="1"/>
    <x v="1"/>
    <x v="2"/>
    <n v="8.9499999999999993"/>
    <n v="53.699999999999996"/>
    <x v="1"/>
    <x v="1"/>
    <x v="0"/>
  </r>
  <r>
    <x v="531"/>
    <x v="64"/>
    <x v="64"/>
    <x v="3"/>
    <s v="65732-22589-OW"/>
    <s v="R-D-2.5"/>
    <n v="1"/>
    <x v="504"/>
    <s v="kmarrisonoq@dropbox.com"/>
    <x v="0"/>
    <x v="1"/>
    <x v="1"/>
    <x v="3"/>
    <n v="20.584999999999997"/>
    <n v="20.584999999999997"/>
    <x v="1"/>
    <x v="1"/>
    <x v="0"/>
  </r>
  <r>
    <x v="532"/>
    <x v="441"/>
    <x v="441"/>
    <x v="0"/>
    <s v="65732-22589-OW"/>
    <s v="A-D-2.5"/>
    <n v="5"/>
    <x v="504"/>
    <s v="kmarrisonoq@dropbox.com"/>
    <x v="0"/>
    <x v="2"/>
    <x v="1"/>
    <x v="3"/>
    <n v="22.884999999999998"/>
    <n v="114.42499999999998"/>
    <x v="2"/>
    <x v="1"/>
    <x v="0"/>
  </r>
  <r>
    <x v="533"/>
    <x v="442"/>
    <x v="442"/>
    <x v="0"/>
    <s v="72233-08665-IP"/>
    <s v="R-L-0.2"/>
    <n v="3"/>
    <x v="505"/>
    <s v=""/>
    <x v="0"/>
    <x v="1"/>
    <x v="0"/>
    <x v="1"/>
    <n v="3.5849999999999995"/>
    <n v="10.754999999999999"/>
    <x v="1"/>
    <x v="0"/>
    <x v="0"/>
  </r>
  <r>
    <x v="534"/>
    <x v="443"/>
    <x v="443"/>
    <x v="0"/>
    <s v="68044-89277-ML"/>
    <s v="L-M-2.5"/>
    <n v="2"/>
    <x v="506"/>
    <s v="kwarmancd@printfriendly.com"/>
    <x v="2"/>
    <x v="3"/>
    <x v="2"/>
    <x v="3"/>
    <n v="33.464999999999996"/>
    <n v="66.929999999999993"/>
    <x v="3"/>
    <x v="2"/>
    <x v="0"/>
  </r>
  <r>
    <x v="535"/>
    <x v="444"/>
    <x v="444"/>
    <x v="1"/>
    <s v="48418-60841-CC"/>
    <s v="E-D-1"/>
    <n v="6"/>
    <x v="507"/>
    <s v="kegglestonedj@sphinn.com"/>
    <x v="2"/>
    <x v="0"/>
    <x v="1"/>
    <x v="2"/>
    <n v="12.15"/>
    <n v="72.900000000000006"/>
    <x v="0"/>
    <x v="1"/>
    <x v="1"/>
  </r>
  <r>
    <x v="536"/>
    <x v="445"/>
    <x v="445"/>
    <x v="2"/>
    <s v="11729-74102-XB"/>
    <s v="E-L-0.5"/>
    <n v="1"/>
    <x v="508"/>
    <s v="kthoumassonn7@bloglovin.com"/>
    <x v="0"/>
    <x v="0"/>
    <x v="0"/>
    <x v="0"/>
    <n v="8.91"/>
    <n v="8.91"/>
    <x v="0"/>
    <x v="0"/>
    <x v="0"/>
  </r>
  <r>
    <x v="537"/>
    <x v="103"/>
    <x v="103"/>
    <x v="2"/>
    <s v="77284-34297-YY"/>
    <s v="R-L-0.5"/>
    <n v="5"/>
    <x v="509"/>
    <s v="kheadsca@jalbum.net"/>
    <x v="0"/>
    <x v="1"/>
    <x v="0"/>
    <x v="0"/>
    <n v="7.169999999999999"/>
    <n v="35.849999999999994"/>
    <x v="1"/>
    <x v="0"/>
    <x v="1"/>
  </r>
  <r>
    <x v="538"/>
    <x v="368"/>
    <x v="368"/>
    <x v="2"/>
    <s v="78226-97287-JI"/>
    <s v="L-D-0.5"/>
    <n v="3"/>
    <x v="510"/>
    <s v="kferrettimf@huffingtonpost.com"/>
    <x v="2"/>
    <x v="3"/>
    <x v="1"/>
    <x v="0"/>
    <n v="7.77"/>
    <n v="23.31"/>
    <x v="3"/>
    <x v="1"/>
    <x v="1"/>
  </r>
  <r>
    <x v="539"/>
    <x v="446"/>
    <x v="446"/>
    <x v="2"/>
    <s v="01282-28364-RZ"/>
    <s v="R-L-1"/>
    <n v="4"/>
    <x v="511"/>
    <s v="kogeneayrd@utexas.edu"/>
    <x v="0"/>
    <x v="1"/>
    <x v="0"/>
    <x v="2"/>
    <n v="11.95"/>
    <n v="47.8"/>
    <x v="1"/>
    <x v="0"/>
    <x v="1"/>
  </r>
  <r>
    <x v="540"/>
    <x v="208"/>
    <x v="208"/>
    <x v="3"/>
    <s v="95424-67020-AP"/>
    <s v="R-M-2.5"/>
    <n v="2"/>
    <x v="512"/>
    <s v="koculleneu@ca.gov"/>
    <x v="2"/>
    <x v="1"/>
    <x v="2"/>
    <x v="3"/>
    <n v="22.884999999999998"/>
    <n v="45.769999999999996"/>
    <x v="1"/>
    <x v="2"/>
    <x v="0"/>
  </r>
  <r>
    <x v="541"/>
    <x v="447"/>
    <x v="447"/>
    <x v="0"/>
    <s v="66308-13503-KD"/>
    <s v="R-M-0.2"/>
    <n v="4"/>
    <x v="513"/>
    <s v="khammettgm@dmoz.org"/>
    <x v="0"/>
    <x v="1"/>
    <x v="2"/>
    <x v="1"/>
    <n v="2.9849999999999999"/>
    <n v="11.94"/>
    <x v="1"/>
    <x v="2"/>
    <x v="0"/>
  </r>
  <r>
    <x v="542"/>
    <x v="424"/>
    <x v="424"/>
    <x v="2"/>
    <s v="05754-41702-FG"/>
    <s v="L-M-0.2"/>
    <n v="2"/>
    <x v="514"/>
    <s v="kstreight6d@about.com"/>
    <x v="0"/>
    <x v="3"/>
    <x v="2"/>
    <x v="1"/>
    <n v="4.3650000000000002"/>
    <n v="8.73"/>
    <x v="3"/>
    <x v="2"/>
    <x v="1"/>
  </r>
  <r>
    <x v="543"/>
    <x v="448"/>
    <x v="448"/>
    <x v="2"/>
    <s v="87688-42420-TO"/>
    <s v="A-M-2.5"/>
    <n v="2"/>
    <x v="515"/>
    <s v=""/>
    <x v="0"/>
    <x v="2"/>
    <x v="2"/>
    <x v="3"/>
    <n v="25.874999999999996"/>
    <n v="51.749999999999993"/>
    <x v="2"/>
    <x v="2"/>
    <x v="1"/>
  </r>
  <r>
    <x v="544"/>
    <x v="449"/>
    <x v="449"/>
    <x v="2"/>
    <s v="47386-50743-FG"/>
    <s v="A-M-2.5"/>
    <n v="3"/>
    <x v="516"/>
    <s v=""/>
    <x v="0"/>
    <x v="2"/>
    <x v="2"/>
    <x v="3"/>
    <n v="25.874999999999996"/>
    <n v="77.624999999999986"/>
    <x v="2"/>
    <x v="2"/>
    <x v="0"/>
  </r>
  <r>
    <x v="545"/>
    <x v="450"/>
    <x v="450"/>
    <x v="0"/>
    <s v="08946-56610-IH"/>
    <s v="L-L-2.5"/>
    <n v="4"/>
    <x v="517"/>
    <s v="lburtenshawlp@shinystat.com"/>
    <x v="0"/>
    <x v="3"/>
    <x v="0"/>
    <x v="3"/>
    <n v="36.454999999999998"/>
    <n v="145.82"/>
    <x v="3"/>
    <x v="0"/>
    <x v="1"/>
  </r>
  <r>
    <x v="546"/>
    <x v="126"/>
    <x v="126"/>
    <x v="0"/>
    <s v="62923-29397-KX"/>
    <s v="E-L-2.5"/>
    <n v="6"/>
    <x v="518"/>
    <s v="ltanti8b@techcrunch.com"/>
    <x v="0"/>
    <x v="0"/>
    <x v="0"/>
    <x v="3"/>
    <n v="34.154999999999994"/>
    <n v="204.92999999999995"/>
    <x v="0"/>
    <x v="0"/>
    <x v="0"/>
  </r>
  <r>
    <x v="547"/>
    <x v="439"/>
    <x v="439"/>
    <x v="3"/>
    <s v="36769-16558-SX"/>
    <s v="L-M-2.5"/>
    <n v="4"/>
    <x v="519"/>
    <s v=""/>
    <x v="0"/>
    <x v="3"/>
    <x v="2"/>
    <x v="3"/>
    <n v="33.464999999999996"/>
    <n v="133.85999999999999"/>
    <x v="3"/>
    <x v="2"/>
    <x v="0"/>
  </r>
  <r>
    <x v="548"/>
    <x v="451"/>
    <x v="451"/>
    <x v="0"/>
    <s v="39193-51770-FM"/>
    <s v="E-M-0.2"/>
    <n v="2"/>
    <x v="520"/>
    <s v="lbenediktovichiy@wunderground.com"/>
    <x v="0"/>
    <x v="0"/>
    <x v="2"/>
    <x v="1"/>
    <n v="4.125"/>
    <n v="8.25"/>
    <x v="0"/>
    <x v="2"/>
    <x v="0"/>
  </r>
  <r>
    <x v="549"/>
    <x v="58"/>
    <x v="58"/>
    <x v="3"/>
    <s v="17816-67941-ZS"/>
    <s v="E-D-0.2"/>
    <n v="1"/>
    <x v="521"/>
    <s v="lellinghamgv@sciencedaily.com"/>
    <x v="0"/>
    <x v="0"/>
    <x v="1"/>
    <x v="1"/>
    <n v="3.645"/>
    <n v="3.645"/>
    <x v="0"/>
    <x v="1"/>
    <x v="0"/>
  </r>
  <r>
    <x v="550"/>
    <x v="336"/>
    <x v="336"/>
    <x v="3"/>
    <s v="19849-12926-QF"/>
    <s v="A-M-0.5"/>
    <n v="4"/>
    <x v="522"/>
    <s v="lledgleyp6@de.vu"/>
    <x v="0"/>
    <x v="2"/>
    <x v="2"/>
    <x v="0"/>
    <n v="6.75"/>
    <n v="27"/>
    <x v="2"/>
    <x v="2"/>
    <x v="0"/>
  </r>
  <r>
    <x v="551"/>
    <x v="187"/>
    <x v="187"/>
    <x v="3"/>
    <s v="66044-25298-TA"/>
    <s v="L-M-0.5"/>
    <n v="5"/>
    <x v="523"/>
    <s v="lpratt57@netvibes.com"/>
    <x v="0"/>
    <x v="3"/>
    <x v="2"/>
    <x v="0"/>
    <n v="8.73"/>
    <n v="43.650000000000006"/>
    <x v="3"/>
    <x v="2"/>
    <x v="0"/>
  </r>
  <r>
    <x v="552"/>
    <x v="452"/>
    <x v="452"/>
    <x v="1"/>
    <s v="94058-95794-IJ"/>
    <s v="L-M-0.5"/>
    <n v="5"/>
    <x v="524"/>
    <s v="limasonio@discuz.net"/>
    <x v="0"/>
    <x v="3"/>
    <x v="2"/>
    <x v="0"/>
    <n v="8.73"/>
    <n v="43.650000000000006"/>
    <x v="3"/>
    <x v="2"/>
    <x v="0"/>
  </r>
  <r>
    <x v="553"/>
    <x v="453"/>
    <x v="453"/>
    <x v="3"/>
    <s v="83947-45528-ET"/>
    <s v="E-M-2.5"/>
    <n v="2"/>
    <x v="525"/>
    <s v="lflaoniera8@wordpress.org"/>
    <x v="0"/>
    <x v="0"/>
    <x v="2"/>
    <x v="3"/>
    <n v="31.624999999999996"/>
    <n v="63.249999999999993"/>
    <x v="0"/>
    <x v="2"/>
    <x v="1"/>
  </r>
  <r>
    <x v="554"/>
    <x v="177"/>
    <x v="177"/>
    <x v="2"/>
    <s v="99562-88650-YF"/>
    <s v="L-M-1"/>
    <n v="4"/>
    <x v="526"/>
    <s v="lkernan71@wsj.com"/>
    <x v="0"/>
    <x v="3"/>
    <x v="2"/>
    <x v="2"/>
    <n v="14.55"/>
    <n v="58.2"/>
    <x v="3"/>
    <x v="2"/>
    <x v="1"/>
  </r>
  <r>
    <x v="555"/>
    <x v="454"/>
    <x v="454"/>
    <x v="1"/>
    <s v="18275-73980-KL"/>
    <s v="E-L-0.5"/>
    <n v="6"/>
    <x v="527"/>
    <s v="lpennaccieo@statcounter.com"/>
    <x v="0"/>
    <x v="0"/>
    <x v="0"/>
    <x v="0"/>
    <n v="8.91"/>
    <n v="53.46"/>
    <x v="0"/>
    <x v="0"/>
    <x v="1"/>
  </r>
  <r>
    <x v="556"/>
    <x v="208"/>
    <x v="208"/>
    <x v="3"/>
    <s v="21889-94615-WT"/>
    <s v="L-M-2.5"/>
    <n v="6"/>
    <x v="528"/>
    <s v="lrignoldc1@miibeian.gov.cn"/>
    <x v="0"/>
    <x v="3"/>
    <x v="2"/>
    <x v="3"/>
    <n v="33.464999999999996"/>
    <n v="200.78999999999996"/>
    <x v="3"/>
    <x v="2"/>
    <x v="0"/>
  </r>
  <r>
    <x v="557"/>
    <x v="455"/>
    <x v="455"/>
    <x v="2"/>
    <s v="90285-56295-PO"/>
    <s v="R-M-0.5"/>
    <n v="6"/>
    <x v="529"/>
    <s v="lhaggerstonemn@independent.co.uk"/>
    <x v="0"/>
    <x v="1"/>
    <x v="2"/>
    <x v="0"/>
    <n v="5.97"/>
    <n v="35.82"/>
    <x v="1"/>
    <x v="2"/>
    <x v="1"/>
  </r>
  <r>
    <x v="558"/>
    <x v="456"/>
    <x v="456"/>
    <x v="2"/>
    <s v="23941-30203-MO"/>
    <s v="R-D-2.5"/>
    <n v="4"/>
    <x v="530"/>
    <s v="ldwerryhousen5@gravatar.com"/>
    <x v="0"/>
    <x v="1"/>
    <x v="1"/>
    <x v="3"/>
    <n v="20.584999999999997"/>
    <n v="82.339999999999989"/>
    <x v="1"/>
    <x v="1"/>
    <x v="0"/>
  </r>
  <r>
    <x v="559"/>
    <x v="189"/>
    <x v="189"/>
    <x v="2"/>
    <s v="10225-91535-AI"/>
    <s v="A-L-1"/>
    <n v="6"/>
    <x v="531"/>
    <s v="lrushmer65@europa.eu"/>
    <x v="0"/>
    <x v="2"/>
    <x v="0"/>
    <x v="2"/>
    <n v="12.95"/>
    <n v="77.699999999999989"/>
    <x v="2"/>
    <x v="0"/>
    <x v="0"/>
  </r>
  <r>
    <x v="560"/>
    <x v="222"/>
    <x v="222"/>
    <x v="1"/>
    <s v="08478-75251-OG"/>
    <s v="A-D-0.2"/>
    <n v="6"/>
    <x v="532"/>
    <s v=""/>
    <x v="0"/>
    <x v="2"/>
    <x v="1"/>
    <x v="1"/>
    <n v="2.9849999999999999"/>
    <n v="17.91"/>
    <x v="2"/>
    <x v="1"/>
    <x v="0"/>
  </r>
  <r>
    <x v="561"/>
    <x v="457"/>
    <x v="457"/>
    <x v="1"/>
    <s v="01932-87052-KO"/>
    <s v="E-M-0.5"/>
    <n v="3"/>
    <x v="533"/>
    <s v="lcullrfordb9@xing.com"/>
    <x v="0"/>
    <x v="0"/>
    <x v="2"/>
    <x v="0"/>
    <n v="8.25"/>
    <n v="24.75"/>
    <x v="0"/>
    <x v="2"/>
    <x v="0"/>
  </r>
  <r>
    <x v="562"/>
    <x v="458"/>
    <x v="458"/>
    <x v="1"/>
    <s v="40172-12000-AU"/>
    <s v="L-M-1"/>
    <n v="3"/>
    <x v="534"/>
    <s v="lfrancisco42@fema.gov"/>
    <x v="0"/>
    <x v="3"/>
    <x v="2"/>
    <x v="2"/>
    <n v="14.55"/>
    <n v="43.650000000000006"/>
    <x v="3"/>
    <x v="2"/>
    <x v="1"/>
  </r>
  <r>
    <x v="562"/>
    <x v="458"/>
    <x v="458"/>
    <x v="1"/>
    <s v="40172-12000-AU"/>
    <s v="E-M-1"/>
    <n v="2"/>
    <x v="534"/>
    <s v="lfrancisco42@fema.gov"/>
    <x v="0"/>
    <x v="0"/>
    <x v="2"/>
    <x v="2"/>
    <n v="13.75"/>
    <n v="27.5"/>
    <x v="0"/>
    <x v="2"/>
    <x v="1"/>
  </r>
  <r>
    <x v="563"/>
    <x v="459"/>
    <x v="459"/>
    <x v="2"/>
    <s v="56248-75861-JX"/>
    <s v="A-L-0.5"/>
    <n v="3"/>
    <x v="535"/>
    <s v="lrubrow4h@microsoft.com"/>
    <x v="0"/>
    <x v="2"/>
    <x v="0"/>
    <x v="0"/>
    <n v="7.77"/>
    <n v="23.31"/>
    <x v="2"/>
    <x v="0"/>
    <x v="1"/>
  </r>
  <r>
    <x v="564"/>
    <x v="460"/>
    <x v="460"/>
    <x v="2"/>
    <s v="20236-42322-CM"/>
    <s v="L-D-0.2"/>
    <n v="4"/>
    <x v="536"/>
    <s v=""/>
    <x v="0"/>
    <x v="3"/>
    <x v="1"/>
    <x v="1"/>
    <n v="3.8849999999999998"/>
    <n v="15.54"/>
    <x v="3"/>
    <x v="1"/>
    <x v="0"/>
  </r>
  <r>
    <x v="565"/>
    <x v="461"/>
    <x v="461"/>
    <x v="3"/>
    <s v="77043-48851-HG"/>
    <s v="L-M-1"/>
    <n v="3"/>
    <x v="537"/>
    <s v="ldanes9n@umn.edu"/>
    <x v="0"/>
    <x v="3"/>
    <x v="2"/>
    <x v="2"/>
    <n v="14.55"/>
    <n v="43.650000000000006"/>
    <x v="3"/>
    <x v="2"/>
    <x v="1"/>
  </r>
  <r>
    <x v="566"/>
    <x v="181"/>
    <x v="181"/>
    <x v="1"/>
    <s v="93405-51204-UW"/>
    <s v="L-L-0.2"/>
    <n v="5"/>
    <x v="538"/>
    <s v="lmallan6t@state.gov"/>
    <x v="0"/>
    <x v="3"/>
    <x v="0"/>
    <x v="1"/>
    <n v="4.7549999999999999"/>
    <n v="23.774999999999999"/>
    <x v="3"/>
    <x v="0"/>
    <x v="0"/>
  </r>
  <r>
    <x v="567"/>
    <x v="462"/>
    <x v="462"/>
    <x v="1"/>
    <s v="55871-61935-MF"/>
    <s v="E-D-1"/>
    <n v="2"/>
    <x v="539"/>
    <s v="lconyers2y@twitter.com"/>
    <x v="0"/>
    <x v="0"/>
    <x v="1"/>
    <x v="2"/>
    <n v="12.15"/>
    <n v="24.3"/>
    <x v="0"/>
    <x v="1"/>
    <x v="1"/>
  </r>
  <r>
    <x v="568"/>
    <x v="462"/>
    <x v="462"/>
    <x v="1"/>
    <s v="77175-09826-SF"/>
    <s v="A-M-2.5"/>
    <n v="3"/>
    <x v="540"/>
    <s v="lagnolooj@pinterest.com"/>
    <x v="0"/>
    <x v="2"/>
    <x v="2"/>
    <x v="3"/>
    <n v="25.874999999999996"/>
    <n v="77.624999999999986"/>
    <x v="2"/>
    <x v="2"/>
    <x v="0"/>
  </r>
  <r>
    <x v="569"/>
    <x v="463"/>
    <x v="463"/>
    <x v="1"/>
    <s v="74671-55639-TU"/>
    <s v="L-M-1"/>
    <n v="3"/>
    <x v="541"/>
    <s v="luttermarehm@engadget.com"/>
    <x v="0"/>
    <x v="3"/>
    <x v="2"/>
    <x v="2"/>
    <n v="14.55"/>
    <n v="43.650000000000006"/>
    <x v="3"/>
    <x v="2"/>
    <x v="1"/>
  </r>
  <r>
    <x v="570"/>
    <x v="315"/>
    <x v="315"/>
    <x v="2"/>
    <s v="14756-18321-CL"/>
    <s v="A-M-0.2"/>
    <n v="6"/>
    <x v="542"/>
    <s v="lalawayhh@weather.com"/>
    <x v="0"/>
    <x v="2"/>
    <x v="2"/>
    <x v="1"/>
    <n v="3.375"/>
    <n v="20.25"/>
    <x v="2"/>
    <x v="2"/>
    <x v="1"/>
  </r>
  <r>
    <x v="571"/>
    <x v="61"/>
    <x v="61"/>
    <x v="2"/>
    <s v="29102-40100-TZ"/>
    <s v="E-M-2.5"/>
    <n v="4"/>
    <x v="543"/>
    <s v="lflippellih4@github.io"/>
    <x v="1"/>
    <x v="0"/>
    <x v="2"/>
    <x v="3"/>
    <n v="31.624999999999996"/>
    <n v="126.49999999999999"/>
    <x v="0"/>
    <x v="2"/>
    <x v="1"/>
  </r>
  <r>
    <x v="572"/>
    <x v="464"/>
    <x v="464"/>
    <x v="3"/>
    <s v="96836-09258-RI"/>
    <s v="R-D-0.5"/>
    <n v="4"/>
    <x v="544"/>
    <s v="lgoodger95@guardian.co.uk"/>
    <x v="0"/>
    <x v="1"/>
    <x v="1"/>
    <x v="0"/>
    <n v="5.3699999999999992"/>
    <n v="21.479999999999997"/>
    <x v="1"/>
    <x v="1"/>
    <x v="0"/>
  </r>
  <r>
    <x v="573"/>
    <x v="465"/>
    <x v="465"/>
    <x v="0"/>
    <s v="89292-52335-YZ"/>
    <s v="E-D-1"/>
    <n v="3"/>
    <x v="545"/>
    <s v="llathleiffc9@nationalgeographic.com"/>
    <x v="2"/>
    <x v="0"/>
    <x v="1"/>
    <x v="2"/>
    <n v="12.15"/>
    <n v="36.450000000000003"/>
    <x v="0"/>
    <x v="1"/>
    <x v="0"/>
  </r>
  <r>
    <x v="574"/>
    <x v="72"/>
    <x v="72"/>
    <x v="3"/>
    <s v="25473-43727-BY"/>
    <s v="R-M-2.5"/>
    <n v="5"/>
    <x v="546"/>
    <s v="loscroftf@ebay.co.uk"/>
    <x v="0"/>
    <x v="1"/>
    <x v="2"/>
    <x v="3"/>
    <n v="22.884999999999998"/>
    <n v="114.42499999999998"/>
    <x v="1"/>
    <x v="2"/>
    <x v="1"/>
  </r>
  <r>
    <x v="575"/>
    <x v="466"/>
    <x v="466"/>
    <x v="0"/>
    <s v="73759-17258-KA"/>
    <s v="A-D-2.5"/>
    <n v="1"/>
    <x v="547"/>
    <s v=""/>
    <x v="2"/>
    <x v="2"/>
    <x v="1"/>
    <x v="3"/>
    <n v="22.884999999999998"/>
    <n v="22.884999999999998"/>
    <x v="2"/>
    <x v="1"/>
    <x v="0"/>
  </r>
  <r>
    <x v="576"/>
    <x v="467"/>
    <x v="467"/>
    <x v="0"/>
    <s v="11621-09964-ID"/>
    <s v="R-D-1"/>
    <n v="1"/>
    <x v="548"/>
    <s v="lnardonil2@hao123.com"/>
    <x v="0"/>
    <x v="1"/>
    <x v="1"/>
    <x v="2"/>
    <n v="8.9499999999999993"/>
    <n v="8.9499999999999993"/>
    <x v="1"/>
    <x v="1"/>
    <x v="1"/>
  </r>
  <r>
    <x v="577"/>
    <x v="468"/>
    <x v="468"/>
    <x v="3"/>
    <s v="08350-81623-TF"/>
    <s v="E-D-0.2"/>
    <n v="2"/>
    <x v="549"/>
    <s v="lyeoland15@pbs.org"/>
    <x v="0"/>
    <x v="0"/>
    <x v="1"/>
    <x v="1"/>
    <n v="3.645"/>
    <n v="7.29"/>
    <x v="0"/>
    <x v="1"/>
    <x v="0"/>
  </r>
  <r>
    <x v="578"/>
    <x v="469"/>
    <x v="469"/>
    <x v="2"/>
    <s v="84405-83364-DG"/>
    <s v="A-D-0.5"/>
    <n v="5"/>
    <x v="550"/>
    <s v="lkynetonrf@macromedia.com"/>
    <x v="1"/>
    <x v="2"/>
    <x v="1"/>
    <x v="0"/>
    <n v="5.97"/>
    <n v="29.849999999999998"/>
    <x v="2"/>
    <x v="1"/>
    <x v="0"/>
  </r>
  <r>
    <x v="579"/>
    <x v="470"/>
    <x v="470"/>
    <x v="3"/>
    <s v="34546-70516-LR"/>
    <s v="E-M-0.5"/>
    <n v="6"/>
    <x v="551"/>
    <s v=""/>
    <x v="2"/>
    <x v="0"/>
    <x v="2"/>
    <x v="0"/>
    <n v="8.25"/>
    <n v="49.5"/>
    <x v="0"/>
    <x v="2"/>
    <x v="1"/>
  </r>
  <r>
    <x v="580"/>
    <x v="471"/>
    <x v="471"/>
    <x v="1"/>
    <s v="62979-53167-ML"/>
    <s v="A-M-0.5"/>
    <n v="6"/>
    <x v="552"/>
    <s v="lmizzi26@rakuten.co.jp"/>
    <x v="0"/>
    <x v="2"/>
    <x v="2"/>
    <x v="0"/>
    <n v="6.75"/>
    <n v="40.5"/>
    <x v="2"/>
    <x v="2"/>
    <x v="0"/>
  </r>
  <r>
    <x v="581"/>
    <x v="472"/>
    <x v="472"/>
    <x v="2"/>
    <s v="90312-11148-LA"/>
    <s v="A-D-0.2"/>
    <n v="4"/>
    <x v="553"/>
    <s v="lkeenleyside3s@topsy.com"/>
    <x v="0"/>
    <x v="2"/>
    <x v="1"/>
    <x v="1"/>
    <n v="2.9849999999999999"/>
    <n v="11.94"/>
    <x v="2"/>
    <x v="1"/>
    <x v="1"/>
  </r>
  <r>
    <x v="582"/>
    <x v="401"/>
    <x v="401"/>
    <x v="1"/>
    <s v="39181-35745-WH"/>
    <s v="A-L-1"/>
    <n v="4"/>
    <x v="554"/>
    <s v=""/>
    <x v="2"/>
    <x v="2"/>
    <x v="0"/>
    <x v="2"/>
    <n v="12.95"/>
    <n v="51.8"/>
    <x v="2"/>
    <x v="0"/>
    <x v="0"/>
  </r>
  <r>
    <x v="583"/>
    <x v="473"/>
    <x v="473"/>
    <x v="0"/>
    <s v="08613-17327-XT"/>
    <s v="E-L-0.5"/>
    <n v="2"/>
    <x v="555"/>
    <s v="lscargle9h@myspace.com"/>
    <x v="0"/>
    <x v="0"/>
    <x v="0"/>
    <x v="0"/>
    <n v="8.91"/>
    <n v="17.82"/>
    <x v="0"/>
    <x v="0"/>
    <x v="1"/>
  </r>
  <r>
    <x v="583"/>
    <x v="473"/>
    <x v="473"/>
    <x v="0"/>
    <s v="08613-17327-XT"/>
    <s v="L-D-0.5"/>
    <n v="5"/>
    <x v="555"/>
    <s v="lscargle9h@myspace.com"/>
    <x v="0"/>
    <x v="3"/>
    <x v="1"/>
    <x v="0"/>
    <n v="7.77"/>
    <n v="38.849999999999994"/>
    <x v="3"/>
    <x v="1"/>
    <x v="1"/>
  </r>
  <r>
    <x v="584"/>
    <x v="474"/>
    <x v="474"/>
    <x v="0"/>
    <s v="63112-10870-LC"/>
    <s v="R-L-0.2"/>
    <n v="5"/>
    <x v="556"/>
    <s v="lwhittleseem1@e-recht24.de"/>
    <x v="0"/>
    <x v="1"/>
    <x v="0"/>
    <x v="1"/>
    <n v="3.5849999999999995"/>
    <n v="17.924999999999997"/>
    <x v="1"/>
    <x v="0"/>
    <x v="1"/>
  </r>
  <r>
    <x v="585"/>
    <x v="475"/>
    <x v="475"/>
    <x v="0"/>
    <s v="71003-85639-HB"/>
    <s v="E-L-0.5"/>
    <n v="2"/>
    <x v="557"/>
    <s v=""/>
    <x v="0"/>
    <x v="0"/>
    <x v="0"/>
    <x v="0"/>
    <n v="8.91"/>
    <n v="17.82"/>
    <x v="0"/>
    <x v="0"/>
    <x v="0"/>
  </r>
  <r>
    <x v="586"/>
    <x v="476"/>
    <x v="476"/>
    <x v="1"/>
    <s v="20259-47723-AC"/>
    <s v="A-D-1"/>
    <n v="1"/>
    <x v="558"/>
    <s v="lentwistle6w@omniture.com"/>
    <x v="0"/>
    <x v="2"/>
    <x v="1"/>
    <x v="2"/>
    <n v="9.9499999999999993"/>
    <n v="9.9499999999999993"/>
    <x v="2"/>
    <x v="1"/>
    <x v="0"/>
  </r>
  <r>
    <x v="587"/>
    <x v="477"/>
    <x v="477"/>
    <x v="0"/>
    <s v="50384-52703-LA"/>
    <s v="E-L-2.5"/>
    <n v="4"/>
    <x v="559"/>
    <s v="lmacmanusmu@imdb.com"/>
    <x v="0"/>
    <x v="0"/>
    <x v="0"/>
    <x v="3"/>
    <n v="34.154999999999994"/>
    <n v="136.61999999999998"/>
    <x v="0"/>
    <x v="0"/>
    <x v="1"/>
  </r>
  <r>
    <x v="588"/>
    <x v="478"/>
    <x v="478"/>
    <x v="1"/>
    <s v="66408-53777-VE"/>
    <s v="L-L-2.5"/>
    <n v="1"/>
    <x v="560"/>
    <s v=""/>
    <x v="0"/>
    <x v="3"/>
    <x v="0"/>
    <x v="3"/>
    <n v="36.454999999999998"/>
    <n v="36.454999999999998"/>
    <x v="3"/>
    <x v="0"/>
    <x v="1"/>
  </r>
  <r>
    <x v="589"/>
    <x v="379"/>
    <x v="379"/>
    <x v="2"/>
    <s v="47268-50127-XY"/>
    <s v="A-D-1"/>
    <n v="2"/>
    <x v="561"/>
    <s v="ldantonnp@miitbeian.gov.cn"/>
    <x v="0"/>
    <x v="2"/>
    <x v="1"/>
    <x v="2"/>
    <n v="9.9499999999999993"/>
    <n v="19.899999999999999"/>
    <x v="2"/>
    <x v="1"/>
    <x v="1"/>
  </r>
  <r>
    <x v="590"/>
    <x v="479"/>
    <x v="479"/>
    <x v="0"/>
    <s v="87242-18006-IR"/>
    <s v="L-M-0.2"/>
    <n v="2"/>
    <x v="562"/>
    <s v="libertkl@huffingtonpost.com"/>
    <x v="0"/>
    <x v="3"/>
    <x v="2"/>
    <x v="1"/>
    <n v="4.3650000000000002"/>
    <n v="8.73"/>
    <x v="3"/>
    <x v="2"/>
    <x v="1"/>
  </r>
  <r>
    <x v="591"/>
    <x v="371"/>
    <x v="371"/>
    <x v="1"/>
    <s v="92048-47813-QB"/>
    <s v="R-L-1"/>
    <n v="5"/>
    <x v="563"/>
    <s v="mblakemorer5@nsw.gov.au"/>
    <x v="0"/>
    <x v="1"/>
    <x v="0"/>
    <x v="2"/>
    <n v="11.95"/>
    <n v="59.75"/>
    <x v="1"/>
    <x v="0"/>
    <x v="1"/>
  </r>
  <r>
    <x v="592"/>
    <x v="480"/>
    <x v="480"/>
    <x v="0"/>
    <s v="82872-34456-LJ"/>
    <s v="R-L-2.5"/>
    <n v="2"/>
    <x v="564"/>
    <s v=""/>
    <x v="1"/>
    <x v="1"/>
    <x v="0"/>
    <x v="3"/>
    <n v="27.484999999999996"/>
    <n v="54.969999999999992"/>
    <x v="1"/>
    <x v="0"/>
    <x v="0"/>
  </r>
  <r>
    <x v="593"/>
    <x v="481"/>
    <x v="481"/>
    <x v="1"/>
    <s v="83163-65741-IH"/>
    <s v="L-M-2.5"/>
    <n v="1"/>
    <x v="565"/>
    <s v="mprinn5a@usa.gov"/>
    <x v="0"/>
    <x v="3"/>
    <x v="2"/>
    <x v="3"/>
    <n v="33.464999999999996"/>
    <n v="33.464999999999996"/>
    <x v="3"/>
    <x v="2"/>
    <x v="0"/>
  </r>
  <r>
    <x v="594"/>
    <x v="482"/>
    <x v="482"/>
    <x v="2"/>
    <s v="76499-89100-JQ"/>
    <s v="L-D-0.2"/>
    <n v="1"/>
    <x v="566"/>
    <s v="marmisteadeg@blogtalkradio.com"/>
    <x v="0"/>
    <x v="3"/>
    <x v="1"/>
    <x v="1"/>
    <n v="3.8849999999999998"/>
    <n v="3.8849999999999998"/>
    <x v="3"/>
    <x v="1"/>
    <x v="1"/>
  </r>
  <r>
    <x v="594"/>
    <x v="482"/>
    <x v="482"/>
    <x v="2"/>
    <s v="76499-89100-JQ"/>
    <s v="R-M-1"/>
    <n v="4"/>
    <x v="566"/>
    <s v="marmisteadeg@blogtalkradio.com"/>
    <x v="0"/>
    <x v="1"/>
    <x v="2"/>
    <x v="2"/>
    <n v="9.9499999999999993"/>
    <n v="39.799999999999997"/>
    <x v="1"/>
    <x v="2"/>
    <x v="1"/>
  </r>
  <r>
    <x v="595"/>
    <x v="483"/>
    <x v="483"/>
    <x v="1"/>
    <s v="85634-61759-ND"/>
    <s v="E-M-0.2"/>
    <n v="2"/>
    <x v="567"/>
    <s v="mbaistowhu@i2i.jp"/>
    <x v="1"/>
    <x v="0"/>
    <x v="2"/>
    <x v="1"/>
    <n v="4.125"/>
    <n v="8.25"/>
    <x v="0"/>
    <x v="2"/>
    <x v="0"/>
  </r>
  <r>
    <x v="596"/>
    <x v="435"/>
    <x v="435"/>
    <x v="3"/>
    <s v="59205-20324-NB"/>
    <s v="R-L-0.2"/>
    <n v="6"/>
    <x v="568"/>
    <s v="mharbyfy@163.com"/>
    <x v="0"/>
    <x v="1"/>
    <x v="0"/>
    <x v="1"/>
    <n v="3.5849999999999995"/>
    <n v="21.509999999999998"/>
    <x v="1"/>
    <x v="0"/>
    <x v="0"/>
  </r>
  <r>
    <x v="597"/>
    <x v="484"/>
    <x v="484"/>
    <x v="2"/>
    <s v="61513-27752-FA"/>
    <s v="A-D-0.5"/>
    <n v="4"/>
    <x v="569"/>
    <s v="mludwell3e@blogger.com"/>
    <x v="0"/>
    <x v="2"/>
    <x v="1"/>
    <x v="0"/>
    <n v="5.97"/>
    <n v="23.88"/>
    <x v="2"/>
    <x v="1"/>
    <x v="0"/>
  </r>
  <r>
    <x v="598"/>
    <x v="485"/>
    <x v="485"/>
    <x v="1"/>
    <s v="42179-95059-DO"/>
    <s v="L-D-0.2"/>
    <n v="3"/>
    <x v="570"/>
    <s v="msarvaras@artisteer.com"/>
    <x v="0"/>
    <x v="3"/>
    <x v="1"/>
    <x v="1"/>
    <n v="3.8849999999999998"/>
    <n v="11.654999999999999"/>
    <x v="3"/>
    <x v="1"/>
    <x v="0"/>
  </r>
  <r>
    <x v="599"/>
    <x v="486"/>
    <x v="486"/>
    <x v="1"/>
    <s v="82718-93677-XO"/>
    <s v="A-M-0.5"/>
    <n v="4"/>
    <x v="571"/>
    <s v=""/>
    <x v="0"/>
    <x v="2"/>
    <x v="2"/>
    <x v="0"/>
    <n v="6.75"/>
    <n v="27"/>
    <x v="2"/>
    <x v="2"/>
    <x v="0"/>
  </r>
  <r>
    <x v="600"/>
    <x v="487"/>
    <x v="487"/>
    <x v="3"/>
    <s v="44799-09711-XW"/>
    <s v="A-D-0.5"/>
    <n v="4"/>
    <x v="572"/>
    <s v=""/>
    <x v="0"/>
    <x v="2"/>
    <x v="1"/>
    <x v="0"/>
    <n v="5.97"/>
    <n v="23.88"/>
    <x v="2"/>
    <x v="1"/>
    <x v="0"/>
  </r>
  <r>
    <x v="601"/>
    <x v="488"/>
    <x v="488"/>
    <x v="3"/>
    <s v="89757-51438-HX"/>
    <s v="E-D-0.2"/>
    <n v="2"/>
    <x v="573"/>
    <s v="mglawsopfb@reverbnation.com"/>
    <x v="0"/>
    <x v="0"/>
    <x v="1"/>
    <x v="1"/>
    <n v="3.645"/>
    <n v="7.29"/>
    <x v="0"/>
    <x v="1"/>
    <x v="1"/>
  </r>
  <r>
    <x v="602"/>
    <x v="489"/>
    <x v="489"/>
    <x v="1"/>
    <s v="80463-43913-WZ"/>
    <s v="R-D-0.2"/>
    <n v="3"/>
    <x v="574"/>
    <s v=""/>
    <x v="2"/>
    <x v="1"/>
    <x v="1"/>
    <x v="1"/>
    <n v="2.6849999999999996"/>
    <n v="8.0549999999999997"/>
    <x v="1"/>
    <x v="1"/>
    <x v="0"/>
  </r>
  <r>
    <x v="603"/>
    <x v="490"/>
    <x v="490"/>
    <x v="2"/>
    <s v="49012-12987-QT"/>
    <s v="R-D-0.2"/>
    <n v="6"/>
    <x v="575"/>
    <s v="mfrightm8@harvard.edu"/>
    <x v="2"/>
    <x v="1"/>
    <x v="1"/>
    <x v="1"/>
    <n v="2.6849999999999996"/>
    <n v="16.11"/>
    <x v="1"/>
    <x v="1"/>
    <x v="1"/>
  </r>
  <r>
    <x v="604"/>
    <x v="491"/>
    <x v="491"/>
    <x v="0"/>
    <s v="55265-75151-AK"/>
    <s v="R-L-0.2"/>
    <n v="4"/>
    <x v="576"/>
    <s v="mdarrigoebu@hud.gov"/>
    <x v="2"/>
    <x v="1"/>
    <x v="0"/>
    <x v="1"/>
    <n v="3.5849999999999995"/>
    <n v="14.339999999999998"/>
    <x v="1"/>
    <x v="0"/>
    <x v="0"/>
  </r>
  <r>
    <x v="605"/>
    <x v="492"/>
    <x v="492"/>
    <x v="0"/>
    <s v="25754-33191-ZI"/>
    <s v="L-M-2.5"/>
    <n v="4"/>
    <x v="577"/>
    <s v=""/>
    <x v="0"/>
    <x v="3"/>
    <x v="2"/>
    <x v="3"/>
    <n v="33.464999999999996"/>
    <n v="133.85999999999999"/>
    <x v="3"/>
    <x v="2"/>
    <x v="1"/>
  </r>
  <r>
    <x v="606"/>
    <x v="383"/>
    <x v="383"/>
    <x v="2"/>
    <s v="77869-81373-AY"/>
    <s v="A-L-1"/>
    <n v="6"/>
    <x v="578"/>
    <s v=""/>
    <x v="0"/>
    <x v="2"/>
    <x v="0"/>
    <x v="2"/>
    <n v="12.95"/>
    <n v="77.699999999999989"/>
    <x v="2"/>
    <x v="0"/>
    <x v="1"/>
  </r>
  <r>
    <x v="607"/>
    <x v="493"/>
    <x v="493"/>
    <x v="0"/>
    <s v="66028-99867-WJ"/>
    <s v="E-M-0.5"/>
    <n v="5"/>
    <x v="579"/>
    <s v="mpalleskeo4@nyu.edu"/>
    <x v="0"/>
    <x v="0"/>
    <x v="2"/>
    <x v="0"/>
    <n v="8.25"/>
    <n v="41.25"/>
    <x v="0"/>
    <x v="2"/>
    <x v="0"/>
  </r>
  <r>
    <x v="608"/>
    <x v="494"/>
    <x v="494"/>
    <x v="3"/>
    <s v="62494-09113-RP"/>
    <s v="E-D-0.2"/>
    <n v="5"/>
    <x v="580"/>
    <s v=""/>
    <x v="0"/>
    <x v="0"/>
    <x v="1"/>
    <x v="1"/>
    <n v="3.645"/>
    <n v="18.225000000000001"/>
    <x v="0"/>
    <x v="1"/>
    <x v="1"/>
  </r>
  <r>
    <x v="608"/>
    <x v="494"/>
    <x v="494"/>
    <x v="3"/>
    <s v="62494-09113-RP"/>
    <s v="L-D-0.5"/>
    <n v="2"/>
    <x v="580"/>
    <s v=""/>
    <x v="0"/>
    <x v="3"/>
    <x v="1"/>
    <x v="0"/>
    <n v="7.77"/>
    <n v="15.54"/>
    <x v="3"/>
    <x v="1"/>
    <x v="1"/>
  </r>
  <r>
    <x v="609"/>
    <x v="495"/>
    <x v="495"/>
    <x v="3"/>
    <s v="62494-09113-RP"/>
    <s v="R-M-0.5"/>
    <n v="5"/>
    <x v="580"/>
    <s v=""/>
    <x v="0"/>
    <x v="1"/>
    <x v="2"/>
    <x v="0"/>
    <n v="5.97"/>
    <n v="29.849999999999998"/>
    <x v="1"/>
    <x v="2"/>
    <x v="1"/>
  </r>
  <r>
    <x v="610"/>
    <x v="496"/>
    <x v="496"/>
    <x v="0"/>
    <s v="62494-09113-RP"/>
    <s v="A-M-0.5"/>
    <n v="4"/>
    <x v="580"/>
    <s v=""/>
    <x v="0"/>
    <x v="2"/>
    <x v="2"/>
    <x v="0"/>
    <n v="6.75"/>
    <n v="27"/>
    <x v="2"/>
    <x v="2"/>
    <x v="1"/>
  </r>
  <r>
    <x v="611"/>
    <x v="32"/>
    <x v="32"/>
    <x v="2"/>
    <s v="23039-93032-FN"/>
    <s v="A-D-2.5"/>
    <n v="5"/>
    <x v="581"/>
    <s v="mvedmore9v@a8.net"/>
    <x v="0"/>
    <x v="2"/>
    <x v="1"/>
    <x v="3"/>
    <n v="22.884999999999998"/>
    <n v="114.42499999999998"/>
    <x v="2"/>
    <x v="1"/>
    <x v="0"/>
  </r>
  <r>
    <x v="612"/>
    <x v="497"/>
    <x v="497"/>
    <x v="3"/>
    <s v="09020-56774-GU"/>
    <s v="E-L-0.2"/>
    <n v="3"/>
    <x v="582"/>
    <s v="mredgrave32@cargocollective.com"/>
    <x v="0"/>
    <x v="0"/>
    <x v="0"/>
    <x v="1"/>
    <n v="4.4550000000000001"/>
    <n v="13.365"/>
    <x v="0"/>
    <x v="0"/>
    <x v="0"/>
  </r>
  <r>
    <x v="613"/>
    <x v="498"/>
    <x v="498"/>
    <x v="2"/>
    <s v="66458-91190-YC"/>
    <s v="E-L-1"/>
    <n v="4"/>
    <x v="583"/>
    <s v="murione5@alexa.com"/>
    <x v="2"/>
    <x v="0"/>
    <x v="0"/>
    <x v="2"/>
    <n v="14.85"/>
    <n v="59.4"/>
    <x v="0"/>
    <x v="0"/>
    <x v="0"/>
  </r>
  <r>
    <x v="614"/>
    <x v="499"/>
    <x v="499"/>
    <x v="1"/>
    <s v="66458-91190-YC"/>
    <s v="R-M-1"/>
    <n v="5"/>
    <x v="583"/>
    <s v="murione5@alexa.com"/>
    <x v="2"/>
    <x v="1"/>
    <x v="2"/>
    <x v="2"/>
    <n v="9.9499999999999993"/>
    <n v="49.75"/>
    <x v="1"/>
    <x v="2"/>
    <x v="0"/>
  </r>
  <r>
    <x v="615"/>
    <x v="371"/>
    <x v="371"/>
    <x v="1"/>
    <s v="66458-91190-YC"/>
    <s v="A-D-0.5"/>
    <n v="2"/>
    <x v="583"/>
    <s v="murione5@alexa.com"/>
    <x v="2"/>
    <x v="2"/>
    <x v="1"/>
    <x v="0"/>
    <n v="5.97"/>
    <n v="11.94"/>
    <x v="2"/>
    <x v="1"/>
    <x v="0"/>
  </r>
  <r>
    <x v="616"/>
    <x v="500"/>
    <x v="500"/>
    <x v="0"/>
    <s v="66458-91190-YC"/>
    <s v="A-D-1"/>
    <n v="3"/>
    <x v="583"/>
    <s v="murione5@alexa.com"/>
    <x v="2"/>
    <x v="2"/>
    <x v="1"/>
    <x v="2"/>
    <n v="9.9499999999999993"/>
    <n v="29.849999999999998"/>
    <x v="2"/>
    <x v="1"/>
    <x v="0"/>
  </r>
  <r>
    <x v="617"/>
    <x v="501"/>
    <x v="501"/>
    <x v="0"/>
    <s v="66458-91190-YC"/>
    <s v="R-D-0.2"/>
    <n v="3"/>
    <x v="583"/>
    <s v="murione5@alexa.com"/>
    <x v="2"/>
    <x v="1"/>
    <x v="1"/>
    <x v="1"/>
    <n v="2.6849999999999996"/>
    <n v="8.0549999999999997"/>
    <x v="1"/>
    <x v="1"/>
    <x v="0"/>
  </r>
  <r>
    <x v="618"/>
    <x v="502"/>
    <x v="502"/>
    <x v="1"/>
    <s v="96116-24737-LV"/>
    <s v="E-L-0.5"/>
    <n v="4"/>
    <x v="584"/>
    <s v="myoxenhk@google.com"/>
    <x v="0"/>
    <x v="0"/>
    <x v="0"/>
    <x v="0"/>
    <n v="8.91"/>
    <n v="35.64"/>
    <x v="0"/>
    <x v="0"/>
    <x v="1"/>
  </r>
  <r>
    <x v="619"/>
    <x v="344"/>
    <x v="344"/>
    <x v="0"/>
    <s v="64875-71224-UI"/>
    <s v="A-L-1"/>
    <n v="3"/>
    <x v="585"/>
    <s v="mhowsden5f@infoseek.co.jp"/>
    <x v="0"/>
    <x v="2"/>
    <x v="0"/>
    <x v="2"/>
    <n v="12.95"/>
    <n v="38.849999999999994"/>
    <x v="2"/>
    <x v="0"/>
    <x v="1"/>
  </r>
  <r>
    <x v="620"/>
    <x v="488"/>
    <x v="488"/>
    <x v="3"/>
    <s v="34666-76738-SQ"/>
    <s v="R-D-2.5"/>
    <n v="2"/>
    <x v="586"/>
    <s v=""/>
    <x v="0"/>
    <x v="1"/>
    <x v="1"/>
    <x v="3"/>
    <n v="20.584999999999997"/>
    <n v="41.169999999999995"/>
    <x v="1"/>
    <x v="1"/>
    <x v="1"/>
  </r>
  <r>
    <x v="621"/>
    <x v="503"/>
    <x v="503"/>
    <x v="0"/>
    <s v="49612-33852-CN"/>
    <s v="R-D-0.2"/>
    <n v="5"/>
    <x v="587"/>
    <s v=""/>
    <x v="0"/>
    <x v="1"/>
    <x v="1"/>
    <x v="1"/>
    <n v="2.6849999999999996"/>
    <n v="13.424999999999997"/>
    <x v="1"/>
    <x v="1"/>
    <x v="0"/>
  </r>
  <r>
    <x v="622"/>
    <x v="380"/>
    <x v="380"/>
    <x v="1"/>
    <s v="83833-46106-ZC"/>
    <s v="A-D-1"/>
    <n v="1"/>
    <x v="588"/>
    <s v="mbrimilcombele@cnn.com"/>
    <x v="0"/>
    <x v="2"/>
    <x v="1"/>
    <x v="2"/>
    <n v="9.9499999999999993"/>
    <n v="9.9499999999999993"/>
    <x v="2"/>
    <x v="1"/>
    <x v="1"/>
  </r>
  <r>
    <x v="623"/>
    <x v="504"/>
    <x v="504"/>
    <x v="0"/>
    <s v="21907-75962-VB"/>
    <s v="E-L-0.5"/>
    <n v="6"/>
    <x v="589"/>
    <s v=""/>
    <x v="0"/>
    <x v="0"/>
    <x v="0"/>
    <x v="0"/>
    <n v="8.91"/>
    <n v="53.46"/>
    <x v="0"/>
    <x v="0"/>
    <x v="0"/>
  </r>
  <r>
    <x v="624"/>
    <x v="505"/>
    <x v="505"/>
    <x v="2"/>
    <s v="67847-82662-TE"/>
    <s v="L-M-0.5"/>
    <n v="2"/>
    <x v="590"/>
    <s v="mschollom@taobao.com"/>
    <x v="0"/>
    <x v="3"/>
    <x v="2"/>
    <x v="0"/>
    <n v="8.73"/>
    <n v="17.46"/>
    <x v="3"/>
    <x v="2"/>
    <x v="1"/>
  </r>
  <r>
    <x v="625"/>
    <x v="506"/>
    <x v="506"/>
    <x v="0"/>
    <s v="08100-71102-HQ"/>
    <s v="L-L-0.5"/>
    <n v="4"/>
    <x v="591"/>
    <s v="mgundrymo@omniture.com"/>
    <x v="2"/>
    <x v="3"/>
    <x v="0"/>
    <x v="0"/>
    <n v="9.51"/>
    <n v="38.04"/>
    <x v="3"/>
    <x v="0"/>
    <x v="1"/>
  </r>
  <r>
    <x v="626"/>
    <x v="507"/>
    <x v="507"/>
    <x v="0"/>
    <s v="12190-25421-WM"/>
    <s v="A-D-2.5"/>
    <n v="3"/>
    <x v="592"/>
    <s v="mmalloyi6@seattletimes.com"/>
    <x v="0"/>
    <x v="2"/>
    <x v="1"/>
    <x v="3"/>
    <n v="22.884999999999998"/>
    <n v="68.655000000000001"/>
    <x v="2"/>
    <x v="1"/>
    <x v="1"/>
  </r>
  <r>
    <x v="627"/>
    <x v="508"/>
    <x v="508"/>
    <x v="2"/>
    <s v="17649-28133-PY"/>
    <s v="E-M-0.5"/>
    <n v="1"/>
    <x v="593"/>
    <s v=""/>
    <x v="2"/>
    <x v="0"/>
    <x v="2"/>
    <x v="0"/>
    <n v="8.25"/>
    <n v="8.25"/>
    <x v="0"/>
    <x v="2"/>
    <x v="0"/>
  </r>
  <r>
    <x v="628"/>
    <x v="310"/>
    <x v="310"/>
    <x v="3"/>
    <s v="51738-61457-RS"/>
    <s v="E-M-2.5"/>
    <n v="2"/>
    <x v="594"/>
    <s v="mmatiasekps@ucoz.ru"/>
    <x v="0"/>
    <x v="0"/>
    <x v="2"/>
    <x v="3"/>
    <n v="31.624999999999996"/>
    <n v="63.249999999999993"/>
    <x v="0"/>
    <x v="2"/>
    <x v="0"/>
  </r>
  <r>
    <x v="629"/>
    <x v="413"/>
    <x v="413"/>
    <x v="2"/>
    <s v="04152-34436-IE"/>
    <s v="L-L-2.5"/>
    <n v="2"/>
    <x v="595"/>
    <s v=""/>
    <x v="0"/>
    <x v="3"/>
    <x v="0"/>
    <x v="3"/>
    <n v="36.454999999999998"/>
    <n v="72.91"/>
    <x v="3"/>
    <x v="0"/>
    <x v="1"/>
  </r>
  <r>
    <x v="630"/>
    <x v="509"/>
    <x v="509"/>
    <x v="0"/>
    <s v="52316-30571-GD"/>
    <s v="R-M-2.5"/>
    <n v="2"/>
    <x v="596"/>
    <s v="mmcparlandi7@w3.org"/>
    <x v="0"/>
    <x v="1"/>
    <x v="2"/>
    <x v="3"/>
    <n v="22.884999999999998"/>
    <n v="45.769999999999996"/>
    <x v="1"/>
    <x v="2"/>
    <x v="0"/>
  </r>
  <r>
    <x v="631"/>
    <x v="510"/>
    <x v="510"/>
    <x v="3"/>
    <s v="77192-72145-RG"/>
    <s v="L-M-1"/>
    <n v="2"/>
    <x v="597"/>
    <s v="mbirkinnz@java.com"/>
    <x v="0"/>
    <x v="3"/>
    <x v="2"/>
    <x v="2"/>
    <n v="14.55"/>
    <n v="29.1"/>
    <x v="3"/>
    <x v="2"/>
    <x v="0"/>
  </r>
  <r>
    <x v="632"/>
    <x v="511"/>
    <x v="511"/>
    <x v="1"/>
    <s v="12018-75670-EU"/>
    <s v="R-L-0.2"/>
    <n v="1"/>
    <x v="598"/>
    <s v=""/>
    <x v="2"/>
    <x v="1"/>
    <x v="0"/>
    <x v="1"/>
    <n v="3.5849999999999995"/>
    <n v="3.5849999999999995"/>
    <x v="1"/>
    <x v="0"/>
    <x v="0"/>
  </r>
  <r>
    <x v="633"/>
    <x v="512"/>
    <x v="512"/>
    <x v="0"/>
    <s v="53086-67334-KT"/>
    <s v="E-L-2.5"/>
    <n v="1"/>
    <x v="599"/>
    <s v="mbrockway8r@ibm.com"/>
    <x v="0"/>
    <x v="0"/>
    <x v="0"/>
    <x v="3"/>
    <n v="34.154999999999994"/>
    <n v="34.154999999999994"/>
    <x v="0"/>
    <x v="0"/>
    <x v="0"/>
  </r>
  <r>
    <x v="634"/>
    <x v="513"/>
    <x v="513"/>
    <x v="2"/>
    <s v="67052-76184-CB"/>
    <s v="E-M-1"/>
    <n v="6"/>
    <x v="600"/>
    <s v=""/>
    <x v="0"/>
    <x v="0"/>
    <x v="2"/>
    <x v="2"/>
    <n v="13.75"/>
    <n v="82.5"/>
    <x v="0"/>
    <x v="2"/>
    <x v="1"/>
  </r>
  <r>
    <x v="635"/>
    <x v="514"/>
    <x v="514"/>
    <x v="2"/>
    <s v="27517-43747-YD"/>
    <s v="R-D-0.2"/>
    <n v="2"/>
    <x v="601"/>
    <s v="moilierkt@paginegialle.it"/>
    <x v="2"/>
    <x v="1"/>
    <x v="1"/>
    <x v="1"/>
    <n v="2.6849999999999996"/>
    <n v="5.3699999999999992"/>
    <x v="1"/>
    <x v="1"/>
    <x v="0"/>
  </r>
  <r>
    <x v="636"/>
    <x v="330"/>
    <x v="330"/>
    <x v="2"/>
    <s v="48419-02347-XP"/>
    <s v="R-D-0.2"/>
    <n v="2"/>
    <x v="602"/>
    <s v="mkippenby@dion.ne.jp"/>
    <x v="0"/>
    <x v="1"/>
    <x v="1"/>
    <x v="1"/>
    <n v="2.6849999999999996"/>
    <n v="5.3699999999999992"/>
    <x v="1"/>
    <x v="1"/>
    <x v="0"/>
  </r>
  <r>
    <x v="637"/>
    <x v="515"/>
    <x v="515"/>
    <x v="3"/>
    <s v="21134-81676-FR"/>
    <s v="L-L-0.2"/>
    <n v="1"/>
    <x v="603"/>
    <s v=""/>
    <x v="2"/>
    <x v="3"/>
    <x v="0"/>
    <x v="1"/>
    <n v="4.7549999999999999"/>
    <n v="4.7549999999999999"/>
    <x v="3"/>
    <x v="0"/>
    <x v="0"/>
  </r>
  <r>
    <x v="638"/>
    <x v="248"/>
    <x v="248"/>
    <x v="1"/>
    <s v="08909-77713-CG"/>
    <s v="R-M-0.2"/>
    <n v="1"/>
    <x v="604"/>
    <s v="macott6y@pagesperso-orange.fr"/>
    <x v="0"/>
    <x v="1"/>
    <x v="2"/>
    <x v="1"/>
    <n v="2.9849999999999999"/>
    <n v="2.9849999999999999"/>
    <x v="1"/>
    <x v="2"/>
    <x v="0"/>
  </r>
  <r>
    <x v="639"/>
    <x v="516"/>
    <x v="516"/>
    <x v="2"/>
    <s v="86110-83695-YS"/>
    <s v="L-L-0.5"/>
    <n v="1"/>
    <x v="605"/>
    <s v=""/>
    <x v="0"/>
    <x v="3"/>
    <x v="0"/>
    <x v="0"/>
    <n v="9.51"/>
    <n v="9.51"/>
    <x v="3"/>
    <x v="0"/>
    <x v="1"/>
  </r>
  <r>
    <x v="640"/>
    <x v="491"/>
    <x v="491"/>
    <x v="0"/>
    <s v="63787-96257-TQ"/>
    <s v="L-M-1"/>
    <n v="1"/>
    <x v="606"/>
    <s v="msteptow35@earthlink.net"/>
    <x v="2"/>
    <x v="3"/>
    <x v="2"/>
    <x v="2"/>
    <n v="14.55"/>
    <n v="14.55"/>
    <x v="3"/>
    <x v="2"/>
    <x v="1"/>
  </r>
  <r>
    <x v="641"/>
    <x v="472"/>
    <x v="472"/>
    <x v="2"/>
    <s v="88574-37083-WX"/>
    <s v="A-M-0.5"/>
    <n v="1"/>
    <x v="607"/>
    <s v="mcobbledickpd@ucsd.edu"/>
    <x v="0"/>
    <x v="2"/>
    <x v="2"/>
    <x v="0"/>
    <n v="6.75"/>
    <n v="6.75"/>
    <x v="2"/>
    <x v="2"/>
    <x v="1"/>
  </r>
  <r>
    <x v="642"/>
    <x v="517"/>
    <x v="517"/>
    <x v="1"/>
    <s v="90533-82440-EE"/>
    <s v="A-M-2.5"/>
    <n v="6"/>
    <x v="608"/>
    <s v="mdelvespz@nature.com"/>
    <x v="0"/>
    <x v="2"/>
    <x v="2"/>
    <x v="3"/>
    <n v="25.874999999999996"/>
    <n v="155.24999999999997"/>
    <x v="2"/>
    <x v="2"/>
    <x v="0"/>
  </r>
  <r>
    <x v="643"/>
    <x v="159"/>
    <x v="159"/>
    <x v="3"/>
    <s v="21177-40725-CF"/>
    <s v="E-L-1"/>
    <n v="3"/>
    <x v="609"/>
    <s v=""/>
    <x v="0"/>
    <x v="0"/>
    <x v="0"/>
    <x v="2"/>
    <n v="14.85"/>
    <n v="44.55"/>
    <x v="0"/>
    <x v="0"/>
    <x v="1"/>
  </r>
  <r>
    <x v="644"/>
    <x v="518"/>
    <x v="518"/>
    <x v="2"/>
    <s v="84641-67384-TD"/>
    <s v="A-L-2.5"/>
    <n v="6"/>
    <x v="610"/>
    <s v="mmiddisiu@dmoz.org"/>
    <x v="0"/>
    <x v="2"/>
    <x v="0"/>
    <x v="3"/>
    <n v="29.784999999999997"/>
    <n v="178.70999999999998"/>
    <x v="2"/>
    <x v="0"/>
    <x v="0"/>
  </r>
  <r>
    <x v="645"/>
    <x v="173"/>
    <x v="173"/>
    <x v="2"/>
    <s v="06812-11924-IK"/>
    <s v="R-D-1"/>
    <n v="6"/>
    <x v="611"/>
    <s v=""/>
    <x v="0"/>
    <x v="1"/>
    <x v="1"/>
    <x v="2"/>
    <n v="8.9499999999999993"/>
    <n v="53.699999999999996"/>
    <x v="1"/>
    <x v="1"/>
    <x v="0"/>
  </r>
  <r>
    <x v="646"/>
    <x v="338"/>
    <x v="338"/>
    <x v="2"/>
    <s v="94526-79230-GZ"/>
    <s v="A-M-1"/>
    <n v="4"/>
    <x v="612"/>
    <s v="mbogeypb@thetimes.co.uk"/>
    <x v="0"/>
    <x v="2"/>
    <x v="2"/>
    <x v="2"/>
    <n v="11.25"/>
    <n v="45"/>
    <x v="2"/>
    <x v="2"/>
    <x v="0"/>
  </r>
  <r>
    <x v="647"/>
    <x v="519"/>
    <x v="519"/>
    <x v="0"/>
    <s v="32622-54551-UC"/>
    <s v="R-L-1"/>
    <n v="5"/>
    <x v="613"/>
    <s v="mackrillbw@bandcamp.com"/>
    <x v="0"/>
    <x v="1"/>
    <x v="0"/>
    <x v="2"/>
    <n v="11.95"/>
    <n v="59.75"/>
    <x v="1"/>
    <x v="0"/>
    <x v="1"/>
  </r>
  <r>
    <x v="648"/>
    <x v="426"/>
    <x v="426"/>
    <x v="2"/>
    <s v="84260-39432-ML"/>
    <s v="E-L-0.5"/>
    <n v="6"/>
    <x v="614"/>
    <s v="mwhellans5v@mapquest.com"/>
    <x v="0"/>
    <x v="0"/>
    <x v="0"/>
    <x v="0"/>
    <n v="8.91"/>
    <n v="53.46"/>
    <x v="0"/>
    <x v="0"/>
    <x v="1"/>
  </r>
  <r>
    <x v="649"/>
    <x v="501"/>
    <x v="501"/>
    <x v="0"/>
    <s v="99643-51048-IQ"/>
    <s v="A-M-0.2"/>
    <n v="6"/>
    <x v="615"/>
    <s v="malabasterg@hexun.com"/>
    <x v="0"/>
    <x v="2"/>
    <x v="2"/>
    <x v="1"/>
    <n v="3.375"/>
    <n v="20.25"/>
    <x v="2"/>
    <x v="2"/>
    <x v="1"/>
  </r>
  <r>
    <x v="650"/>
    <x v="501"/>
    <x v="501"/>
    <x v="0"/>
    <s v="86447-02699-UT"/>
    <s v="E-M-2.5"/>
    <n v="2"/>
    <x v="616"/>
    <s v="mchamberlayne4r@bigcartel.com"/>
    <x v="0"/>
    <x v="0"/>
    <x v="2"/>
    <x v="3"/>
    <n v="31.624999999999996"/>
    <n v="63.249999999999993"/>
    <x v="0"/>
    <x v="2"/>
    <x v="0"/>
  </r>
  <r>
    <x v="651"/>
    <x v="231"/>
    <x v="231"/>
    <x v="2"/>
    <s v="18082-74419-QH"/>
    <s v="E-M-0.5"/>
    <n v="5"/>
    <x v="617"/>
    <s v="mdoidgenb@etsy.com"/>
    <x v="0"/>
    <x v="0"/>
    <x v="2"/>
    <x v="0"/>
    <n v="8.25"/>
    <n v="41.25"/>
    <x v="0"/>
    <x v="2"/>
    <x v="1"/>
  </r>
  <r>
    <x v="652"/>
    <x v="520"/>
    <x v="520"/>
    <x v="2"/>
    <s v="36192-07175-XC"/>
    <s v="L-D-0.2"/>
    <n v="2"/>
    <x v="618"/>
    <s v="mattwoolpl@nba.com"/>
    <x v="0"/>
    <x v="3"/>
    <x v="1"/>
    <x v="1"/>
    <n v="3.8849999999999998"/>
    <n v="7.77"/>
    <x v="3"/>
    <x v="1"/>
    <x v="1"/>
  </r>
  <r>
    <x v="653"/>
    <x v="521"/>
    <x v="521"/>
    <x v="3"/>
    <s v="16809-16936-WF"/>
    <s v="A-M-0.5"/>
    <n v="1"/>
    <x v="619"/>
    <s v="mmacconnechieo9@reuters.com"/>
    <x v="0"/>
    <x v="2"/>
    <x v="2"/>
    <x v="0"/>
    <n v="6.75"/>
    <n v="6.75"/>
    <x v="2"/>
    <x v="2"/>
    <x v="0"/>
  </r>
  <r>
    <x v="654"/>
    <x v="343"/>
    <x v="343"/>
    <x v="0"/>
    <s v="16809-16936-WF"/>
    <s v="R-M-0.2"/>
    <n v="4"/>
    <x v="619"/>
    <s v="mmacconnechieo9@reuters.com"/>
    <x v="0"/>
    <x v="1"/>
    <x v="2"/>
    <x v="1"/>
    <n v="2.9849999999999999"/>
    <n v="11.94"/>
    <x v="1"/>
    <x v="2"/>
    <x v="0"/>
  </r>
  <r>
    <x v="655"/>
    <x v="522"/>
    <x v="522"/>
    <x v="0"/>
    <s v="16385-11286-NX"/>
    <s v="R-D-2.5"/>
    <n v="2"/>
    <x v="620"/>
    <s v="mspurdencj@exblog.jp"/>
    <x v="0"/>
    <x v="1"/>
    <x v="1"/>
    <x v="3"/>
    <n v="20.584999999999997"/>
    <n v="41.169999999999995"/>
    <x v="1"/>
    <x v="1"/>
    <x v="0"/>
  </r>
  <r>
    <x v="656"/>
    <x v="523"/>
    <x v="523"/>
    <x v="2"/>
    <s v="25514-23938-IQ"/>
    <s v="A-D-0.2"/>
    <n v="2"/>
    <x v="621"/>
    <s v="mfearon7h@reverbnation.com"/>
    <x v="0"/>
    <x v="2"/>
    <x v="1"/>
    <x v="1"/>
    <n v="2.9849999999999999"/>
    <n v="5.97"/>
    <x v="2"/>
    <x v="1"/>
    <x v="1"/>
  </r>
  <r>
    <x v="657"/>
    <x v="276"/>
    <x v="276"/>
    <x v="0"/>
    <s v="77877-11993-QH"/>
    <s v="R-L-1"/>
    <n v="5"/>
    <x v="622"/>
    <s v="mcanty79@jigsy.com"/>
    <x v="0"/>
    <x v="1"/>
    <x v="0"/>
    <x v="2"/>
    <n v="11.95"/>
    <n v="59.75"/>
    <x v="1"/>
    <x v="0"/>
    <x v="0"/>
  </r>
  <r>
    <x v="658"/>
    <x v="524"/>
    <x v="524"/>
    <x v="0"/>
    <s v="01338-83217-GV"/>
    <s v="R-M-2.5"/>
    <n v="3"/>
    <x v="623"/>
    <s v="mmeriet56@noaa.gov"/>
    <x v="0"/>
    <x v="1"/>
    <x v="2"/>
    <x v="3"/>
    <n v="22.884999999999998"/>
    <n v="68.655000000000001"/>
    <x v="1"/>
    <x v="2"/>
    <x v="1"/>
  </r>
  <r>
    <x v="659"/>
    <x v="303"/>
    <x v="303"/>
    <x v="2"/>
    <s v="60121-12432-VU"/>
    <s v="A-D-0.2"/>
    <n v="3"/>
    <x v="624"/>
    <s v="mvannj@wikipedia.org"/>
    <x v="0"/>
    <x v="2"/>
    <x v="1"/>
    <x v="1"/>
    <n v="2.9849999999999999"/>
    <n v="8.9550000000000001"/>
    <x v="2"/>
    <x v="1"/>
    <x v="0"/>
  </r>
  <r>
    <x v="660"/>
    <x v="376"/>
    <x v="376"/>
    <x v="2"/>
    <s v="68555-89840-GZ"/>
    <s v="A-L-0.2"/>
    <n v="3"/>
    <x v="625"/>
    <s v="msesonck@census.gov"/>
    <x v="0"/>
    <x v="2"/>
    <x v="0"/>
    <x v="1"/>
    <n v="3.8849999999999998"/>
    <n v="11.654999999999999"/>
    <x v="2"/>
    <x v="0"/>
    <x v="1"/>
  </r>
  <r>
    <x v="661"/>
    <x v="47"/>
    <x v="47"/>
    <x v="0"/>
    <s v="68555-89840-GZ"/>
    <s v="L-D-0.5"/>
    <n v="2"/>
    <x v="625"/>
    <s v="msesonck@census.gov"/>
    <x v="0"/>
    <x v="3"/>
    <x v="1"/>
    <x v="0"/>
    <n v="7.77"/>
    <n v="15.54"/>
    <x v="3"/>
    <x v="1"/>
    <x v="1"/>
  </r>
  <r>
    <x v="662"/>
    <x v="525"/>
    <x v="525"/>
    <x v="3"/>
    <s v="24155-79322-EQ"/>
    <s v="R-D-1"/>
    <n v="1"/>
    <x v="626"/>
    <s v="mrocksqq@exblog.jp"/>
    <x v="2"/>
    <x v="1"/>
    <x v="1"/>
    <x v="2"/>
    <n v="8.9499999999999993"/>
    <n v="8.9499999999999993"/>
    <x v="1"/>
    <x v="1"/>
    <x v="0"/>
  </r>
  <r>
    <x v="663"/>
    <x v="526"/>
    <x v="526"/>
    <x v="2"/>
    <s v="68946-40750-LK"/>
    <s v="R-L-0.2"/>
    <n v="6"/>
    <x v="627"/>
    <s v="mhanseddh@instagram.com"/>
    <x v="2"/>
    <x v="1"/>
    <x v="0"/>
    <x v="1"/>
    <n v="3.5849999999999995"/>
    <n v="21.509999999999998"/>
    <x v="1"/>
    <x v="0"/>
    <x v="0"/>
  </r>
  <r>
    <x v="664"/>
    <x v="527"/>
    <x v="527"/>
    <x v="0"/>
    <s v="14158-30713-OB"/>
    <s v="A-D-1"/>
    <n v="4"/>
    <x v="628"/>
    <s v="mcalcuttt@baidu.com"/>
    <x v="2"/>
    <x v="2"/>
    <x v="1"/>
    <x v="2"/>
    <n v="9.9499999999999993"/>
    <n v="39.799999999999997"/>
    <x v="2"/>
    <x v="1"/>
    <x v="0"/>
  </r>
  <r>
    <x v="665"/>
    <x v="528"/>
    <x v="528"/>
    <x v="0"/>
    <s v="61954-61462-RJ"/>
    <s v="E-D-0.5"/>
    <n v="3"/>
    <x v="629"/>
    <s v="myallop3a@fema.gov"/>
    <x v="0"/>
    <x v="0"/>
    <x v="1"/>
    <x v="0"/>
    <n v="7.29"/>
    <n v="21.87"/>
    <x v="0"/>
    <x v="1"/>
    <x v="0"/>
  </r>
  <r>
    <x v="666"/>
    <x v="529"/>
    <x v="529"/>
    <x v="0"/>
    <s v="35058-04550-VC"/>
    <s v="L-L-1"/>
    <n v="2"/>
    <x v="630"/>
    <s v="mhame5y@newsvine.com"/>
    <x v="2"/>
    <x v="3"/>
    <x v="0"/>
    <x v="2"/>
    <n v="15.85"/>
    <n v="31.7"/>
    <x v="3"/>
    <x v="0"/>
    <x v="1"/>
  </r>
  <r>
    <x v="667"/>
    <x v="95"/>
    <x v="95"/>
    <x v="1"/>
    <s v="75006-89922-VW"/>
    <s v="E-D-2.5"/>
    <n v="6"/>
    <x v="631"/>
    <s v="mlorineznh@whitehouse.gov"/>
    <x v="0"/>
    <x v="0"/>
    <x v="1"/>
    <x v="3"/>
    <n v="27.945"/>
    <n v="167.67000000000002"/>
    <x v="0"/>
    <x v="1"/>
    <x v="1"/>
  </r>
  <r>
    <x v="668"/>
    <x v="426"/>
    <x v="426"/>
    <x v="2"/>
    <s v="53683-35977-KI"/>
    <s v="E-D-1"/>
    <n v="2"/>
    <x v="632"/>
    <s v="mseawright7e@nbcnews.com"/>
    <x v="1"/>
    <x v="0"/>
    <x v="1"/>
    <x v="2"/>
    <n v="12.15"/>
    <n v="24.3"/>
    <x v="0"/>
    <x v="1"/>
    <x v="1"/>
  </r>
  <r>
    <x v="669"/>
    <x v="530"/>
    <x v="530"/>
    <x v="2"/>
    <s v="96612-41722-VJ"/>
    <s v="A-M-0.5"/>
    <n v="3"/>
    <x v="633"/>
    <s v=""/>
    <x v="2"/>
    <x v="2"/>
    <x v="2"/>
    <x v="0"/>
    <n v="6.75"/>
    <n v="20.25"/>
    <x v="2"/>
    <x v="2"/>
    <x v="1"/>
  </r>
  <r>
    <x v="670"/>
    <x v="531"/>
    <x v="531"/>
    <x v="1"/>
    <s v="96434-50068-DZ"/>
    <s v="A-D-2.5"/>
    <n v="1"/>
    <x v="634"/>
    <s v="nbroomern6@examiner.com"/>
    <x v="0"/>
    <x v="2"/>
    <x v="1"/>
    <x v="3"/>
    <n v="22.884999999999998"/>
    <n v="22.884999999999998"/>
    <x v="2"/>
    <x v="1"/>
    <x v="1"/>
  </r>
  <r>
    <x v="671"/>
    <x v="532"/>
    <x v="532"/>
    <x v="3"/>
    <s v="72164-90254-EJ"/>
    <s v="L-L-0.5"/>
    <n v="4"/>
    <x v="635"/>
    <s v="npirronecl@weibo.com"/>
    <x v="0"/>
    <x v="3"/>
    <x v="0"/>
    <x v="0"/>
    <n v="9.51"/>
    <n v="38.04"/>
    <x v="3"/>
    <x v="0"/>
    <x v="1"/>
  </r>
  <r>
    <x v="672"/>
    <x v="533"/>
    <x v="533"/>
    <x v="1"/>
    <s v="57145-31023-FK"/>
    <s v="E-M-2.5"/>
    <n v="3"/>
    <x v="636"/>
    <s v=""/>
    <x v="0"/>
    <x v="0"/>
    <x v="2"/>
    <x v="3"/>
    <n v="31.624999999999996"/>
    <n v="94.874999999999986"/>
    <x v="0"/>
    <x v="2"/>
    <x v="1"/>
  </r>
  <r>
    <x v="673"/>
    <x v="229"/>
    <x v="229"/>
    <x v="2"/>
    <s v="83543-79246-ON"/>
    <s v="E-M-0.5"/>
    <n v="2"/>
    <x v="637"/>
    <s v="nnasebyes@umich.edu"/>
    <x v="0"/>
    <x v="0"/>
    <x v="2"/>
    <x v="0"/>
    <n v="8.25"/>
    <n v="16.5"/>
    <x v="0"/>
    <x v="2"/>
    <x v="0"/>
  </r>
  <r>
    <x v="674"/>
    <x v="534"/>
    <x v="534"/>
    <x v="0"/>
    <s v="58816-74064-TF"/>
    <s v="R-L-1"/>
    <n v="2"/>
    <x v="638"/>
    <s v="nizhakovdd@aol.com"/>
    <x v="1"/>
    <x v="1"/>
    <x v="0"/>
    <x v="2"/>
    <n v="11.95"/>
    <n v="23.9"/>
    <x v="1"/>
    <x v="0"/>
    <x v="1"/>
  </r>
  <r>
    <x v="675"/>
    <x v="535"/>
    <x v="535"/>
    <x v="0"/>
    <s v="83308-82257-UN"/>
    <s v="E-L-2.5"/>
    <n v="6"/>
    <x v="639"/>
    <s v="nlush8s@dedecms.com"/>
    <x v="2"/>
    <x v="0"/>
    <x v="0"/>
    <x v="3"/>
    <n v="34.154999999999994"/>
    <n v="204.92999999999995"/>
    <x v="0"/>
    <x v="0"/>
    <x v="1"/>
  </r>
  <r>
    <x v="676"/>
    <x v="536"/>
    <x v="536"/>
    <x v="2"/>
    <s v="77343-52608-FF"/>
    <s v="L-L-0.2"/>
    <n v="2"/>
    <x v="640"/>
    <s v="nsaleway1v@dedecms.com"/>
    <x v="0"/>
    <x v="3"/>
    <x v="0"/>
    <x v="1"/>
    <n v="4.7549999999999999"/>
    <n v="9.51"/>
    <x v="3"/>
    <x v="0"/>
    <x v="1"/>
  </r>
  <r>
    <x v="677"/>
    <x v="537"/>
    <x v="537"/>
    <x v="0"/>
    <s v="90392-73338-BC"/>
    <s v="R-L-0.2"/>
    <n v="3"/>
    <x v="641"/>
    <s v="nvigrasski@ezinearticles.com"/>
    <x v="1"/>
    <x v="1"/>
    <x v="0"/>
    <x v="1"/>
    <n v="3.5849999999999995"/>
    <n v="10.754999999999999"/>
    <x v="1"/>
    <x v="0"/>
    <x v="1"/>
  </r>
  <r>
    <x v="678"/>
    <x v="538"/>
    <x v="538"/>
    <x v="3"/>
    <s v="82990-92703-IX"/>
    <s v="L-L-1"/>
    <n v="5"/>
    <x v="642"/>
    <s v="nhelkine9@example.com"/>
    <x v="0"/>
    <x v="3"/>
    <x v="0"/>
    <x v="2"/>
    <n v="15.85"/>
    <n v="79.25"/>
    <x v="3"/>
    <x v="0"/>
    <x v="1"/>
  </r>
  <r>
    <x v="679"/>
    <x v="497"/>
    <x v="497"/>
    <x v="3"/>
    <s v="39276-95489-XV"/>
    <s v="A-D-0.5"/>
    <n v="5"/>
    <x v="643"/>
    <s v="nsictornesjh@buzzfeed.com"/>
    <x v="2"/>
    <x v="2"/>
    <x v="1"/>
    <x v="0"/>
    <n v="5.97"/>
    <n v="29.849999999999998"/>
    <x v="2"/>
    <x v="1"/>
    <x v="0"/>
  </r>
  <r>
    <x v="680"/>
    <x v="539"/>
    <x v="539"/>
    <x v="0"/>
    <s v="77408-43873-RS"/>
    <s v="A-D-0.2"/>
    <n v="6"/>
    <x v="644"/>
    <s v=""/>
    <x v="2"/>
    <x v="2"/>
    <x v="1"/>
    <x v="1"/>
    <n v="2.9849999999999999"/>
    <n v="17.91"/>
    <x v="2"/>
    <x v="1"/>
    <x v="0"/>
  </r>
  <r>
    <x v="681"/>
    <x v="540"/>
    <x v="540"/>
    <x v="2"/>
    <s v="37445-17791-NQ"/>
    <s v="R-M-0.5"/>
    <n v="1"/>
    <x v="645"/>
    <s v="nleethem8o@mac.com"/>
    <x v="0"/>
    <x v="1"/>
    <x v="2"/>
    <x v="0"/>
    <n v="5.97"/>
    <n v="5.97"/>
    <x v="1"/>
    <x v="2"/>
    <x v="0"/>
  </r>
  <r>
    <x v="682"/>
    <x v="541"/>
    <x v="541"/>
    <x v="2"/>
    <s v="16982-35708-BZ"/>
    <s v="E-L-0.5"/>
    <n v="6"/>
    <x v="646"/>
    <s v="ncuttler5g@parallels.com"/>
    <x v="0"/>
    <x v="0"/>
    <x v="0"/>
    <x v="0"/>
    <n v="8.91"/>
    <n v="53.46"/>
    <x v="0"/>
    <x v="0"/>
    <x v="1"/>
  </r>
  <r>
    <x v="682"/>
    <x v="541"/>
    <x v="541"/>
    <x v="2"/>
    <s v="16982-35708-BZ"/>
    <s v="L-D-2.5"/>
    <n v="2"/>
    <x v="646"/>
    <s v="ncuttler5g@parallels.com"/>
    <x v="0"/>
    <x v="3"/>
    <x v="1"/>
    <x v="3"/>
    <n v="29.784999999999997"/>
    <n v="59.569999999999993"/>
    <x v="3"/>
    <x v="1"/>
    <x v="1"/>
  </r>
  <r>
    <x v="682"/>
    <x v="541"/>
    <x v="541"/>
    <x v="2"/>
    <s v="16982-35708-BZ"/>
    <s v="L-D-2.5"/>
    <n v="3"/>
    <x v="646"/>
    <s v="ncuttler5g@parallels.com"/>
    <x v="0"/>
    <x v="3"/>
    <x v="1"/>
    <x v="3"/>
    <n v="29.784999999999997"/>
    <n v="89.35499999999999"/>
    <x v="3"/>
    <x v="1"/>
    <x v="1"/>
  </r>
  <r>
    <x v="682"/>
    <x v="541"/>
    <x v="541"/>
    <x v="2"/>
    <s v="16982-35708-BZ"/>
    <s v="L-L-0.5"/>
    <n v="4"/>
    <x v="646"/>
    <s v="ncuttler5g@parallels.com"/>
    <x v="0"/>
    <x v="3"/>
    <x v="0"/>
    <x v="0"/>
    <n v="9.51"/>
    <n v="38.04"/>
    <x v="3"/>
    <x v="0"/>
    <x v="1"/>
  </r>
  <r>
    <x v="682"/>
    <x v="541"/>
    <x v="541"/>
    <x v="2"/>
    <s v="16982-35708-BZ"/>
    <s v="E-M-1"/>
    <n v="3"/>
    <x v="646"/>
    <s v="ncuttler5g@parallels.com"/>
    <x v="0"/>
    <x v="0"/>
    <x v="2"/>
    <x v="2"/>
    <n v="13.75"/>
    <n v="41.25"/>
    <x v="0"/>
    <x v="2"/>
    <x v="1"/>
  </r>
  <r>
    <x v="683"/>
    <x v="325"/>
    <x v="325"/>
    <x v="2"/>
    <s v="44865-58249-RY"/>
    <s v="L-L-1"/>
    <n v="4"/>
    <x v="647"/>
    <s v="nbroadberrieb4@gnu.org"/>
    <x v="0"/>
    <x v="3"/>
    <x v="0"/>
    <x v="2"/>
    <n v="15.85"/>
    <n v="63.4"/>
    <x v="3"/>
    <x v="0"/>
    <x v="1"/>
  </r>
  <r>
    <x v="684"/>
    <x v="449"/>
    <x v="449"/>
    <x v="2"/>
    <s v="01927-46702-YT"/>
    <s v="E-D-1"/>
    <n v="1"/>
    <x v="648"/>
    <s v=""/>
    <x v="1"/>
    <x v="0"/>
    <x v="1"/>
    <x v="2"/>
    <n v="12.15"/>
    <n v="12.15"/>
    <x v="0"/>
    <x v="1"/>
    <x v="1"/>
  </r>
  <r>
    <x v="685"/>
    <x v="542"/>
    <x v="542"/>
    <x v="2"/>
    <s v="90123-70970-NY"/>
    <s v="A-M-1"/>
    <n v="2"/>
    <x v="649"/>
    <s v="npoolman5q@howstuffworks.com"/>
    <x v="0"/>
    <x v="2"/>
    <x v="2"/>
    <x v="2"/>
    <n v="11.25"/>
    <n v="22.5"/>
    <x v="2"/>
    <x v="2"/>
    <x v="1"/>
  </r>
  <r>
    <x v="686"/>
    <x v="524"/>
    <x v="524"/>
    <x v="0"/>
    <s v="34927-68586-ZV"/>
    <s v="A-M-2.5"/>
    <n v="3"/>
    <x v="650"/>
    <s v=""/>
    <x v="2"/>
    <x v="2"/>
    <x v="2"/>
    <x v="3"/>
    <n v="25.874999999999996"/>
    <n v="77.624999999999986"/>
    <x v="2"/>
    <x v="2"/>
    <x v="0"/>
  </r>
  <r>
    <x v="687"/>
    <x v="29"/>
    <x v="29"/>
    <x v="1"/>
    <s v="67285-75317-XI"/>
    <s v="A-D-0.5"/>
    <n v="5"/>
    <x v="651"/>
    <s v=""/>
    <x v="0"/>
    <x v="2"/>
    <x v="1"/>
    <x v="0"/>
    <n v="5.97"/>
    <n v="29.849999999999998"/>
    <x v="2"/>
    <x v="1"/>
    <x v="1"/>
  </r>
  <r>
    <x v="688"/>
    <x v="543"/>
    <x v="543"/>
    <x v="0"/>
    <s v="87726-16941-QW"/>
    <s v="A-M-1"/>
    <n v="6"/>
    <x v="652"/>
    <s v=""/>
    <x v="0"/>
    <x v="2"/>
    <x v="2"/>
    <x v="2"/>
    <n v="11.25"/>
    <n v="67.5"/>
    <x v="2"/>
    <x v="2"/>
    <x v="1"/>
  </r>
  <r>
    <x v="689"/>
    <x v="544"/>
    <x v="544"/>
    <x v="1"/>
    <s v="92976-19453-DT"/>
    <s v="L-D-0.2"/>
    <n v="6"/>
    <x v="653"/>
    <s v="nbrakespearfa@rediff.com"/>
    <x v="0"/>
    <x v="3"/>
    <x v="1"/>
    <x v="1"/>
    <n v="3.8849999999999998"/>
    <n v="23.31"/>
    <x v="3"/>
    <x v="1"/>
    <x v="0"/>
  </r>
  <r>
    <x v="690"/>
    <x v="545"/>
    <x v="545"/>
    <x v="1"/>
    <s v="69503-12127-YD"/>
    <s v="A-L-2.5"/>
    <n v="4"/>
    <x v="654"/>
    <s v=""/>
    <x v="0"/>
    <x v="2"/>
    <x v="0"/>
    <x v="3"/>
    <n v="29.784999999999997"/>
    <n v="119.13999999999999"/>
    <x v="2"/>
    <x v="0"/>
    <x v="1"/>
  </r>
  <r>
    <x v="691"/>
    <x v="546"/>
    <x v="546"/>
    <x v="1"/>
    <s v="00539-42510-RY"/>
    <s v="L-D-2.5"/>
    <n v="5"/>
    <x v="655"/>
    <s v="nyoules2t@reference.com"/>
    <x v="2"/>
    <x v="3"/>
    <x v="1"/>
    <x v="3"/>
    <n v="29.784999999999997"/>
    <n v="148.92499999999998"/>
    <x v="3"/>
    <x v="1"/>
    <x v="0"/>
  </r>
  <r>
    <x v="692"/>
    <x v="547"/>
    <x v="547"/>
    <x v="1"/>
    <s v="29588-35679-RG"/>
    <s v="R-D-2.5"/>
    <n v="2"/>
    <x v="656"/>
    <s v="ncorpsa0@gmpg.org"/>
    <x v="0"/>
    <x v="1"/>
    <x v="1"/>
    <x v="3"/>
    <n v="20.584999999999997"/>
    <n v="41.169999999999995"/>
    <x v="1"/>
    <x v="1"/>
    <x v="1"/>
  </r>
  <r>
    <x v="692"/>
    <x v="547"/>
    <x v="547"/>
    <x v="1"/>
    <s v="29588-35679-RG"/>
    <s v="R-M-0.5"/>
    <n v="1"/>
    <x v="656"/>
    <s v="ncorpsa0@gmpg.org"/>
    <x v="0"/>
    <x v="1"/>
    <x v="2"/>
    <x v="0"/>
    <n v="5.97"/>
    <n v="5.97"/>
    <x v="1"/>
    <x v="2"/>
    <x v="1"/>
  </r>
  <r>
    <x v="693"/>
    <x v="548"/>
    <x v="548"/>
    <x v="1"/>
    <s v="63499-24884-PP"/>
    <s v="L-L-0.2"/>
    <n v="2"/>
    <x v="657"/>
    <s v="nayrisix@t-online.de"/>
    <x v="1"/>
    <x v="3"/>
    <x v="0"/>
    <x v="1"/>
    <n v="4.7549999999999999"/>
    <n v="9.51"/>
    <x v="3"/>
    <x v="0"/>
    <x v="0"/>
  </r>
  <r>
    <x v="694"/>
    <x v="549"/>
    <x v="549"/>
    <x v="1"/>
    <s v="01304-59807-OB"/>
    <s v="A-M-0.2"/>
    <n v="2"/>
    <x v="658"/>
    <s v=""/>
    <x v="0"/>
    <x v="2"/>
    <x v="2"/>
    <x v="1"/>
    <n v="3.375"/>
    <n v="6.75"/>
    <x v="2"/>
    <x v="2"/>
    <x v="0"/>
  </r>
  <r>
    <x v="695"/>
    <x v="550"/>
    <x v="550"/>
    <x v="0"/>
    <s v="11349-55147-SN"/>
    <s v="L-D-1"/>
    <n v="2"/>
    <x v="659"/>
    <s v=""/>
    <x v="2"/>
    <x v="3"/>
    <x v="1"/>
    <x v="2"/>
    <n v="12.95"/>
    <n v="25.9"/>
    <x v="3"/>
    <x v="1"/>
    <x v="1"/>
  </r>
  <r>
    <x v="696"/>
    <x v="240"/>
    <x v="240"/>
    <x v="2"/>
    <s v="64965-78386-MY"/>
    <s v="A-D-1"/>
    <n v="1"/>
    <x v="660"/>
    <s v="njennyrq@bigcartel.com"/>
    <x v="0"/>
    <x v="2"/>
    <x v="1"/>
    <x v="2"/>
    <n v="9.9499999999999993"/>
    <n v="9.9499999999999993"/>
    <x v="2"/>
    <x v="1"/>
    <x v="1"/>
  </r>
  <r>
    <x v="697"/>
    <x v="431"/>
    <x v="431"/>
    <x v="2"/>
    <s v="48203-23480-UB"/>
    <s v="R-M-0.2"/>
    <n v="3"/>
    <x v="661"/>
    <s v="nleakek1@cmu.edu"/>
    <x v="0"/>
    <x v="1"/>
    <x v="2"/>
    <x v="1"/>
    <n v="2.9849999999999999"/>
    <n v="8.9550000000000001"/>
    <x v="1"/>
    <x v="2"/>
    <x v="0"/>
  </r>
  <r>
    <x v="698"/>
    <x v="153"/>
    <x v="153"/>
    <x v="2"/>
    <s v="27878-42224-QF"/>
    <s v="A-D-1"/>
    <n v="6"/>
    <x v="662"/>
    <s v="nrudlandij@blogs.com"/>
    <x v="2"/>
    <x v="2"/>
    <x v="1"/>
    <x v="2"/>
    <n v="9.9499999999999993"/>
    <n v="59.699999999999996"/>
    <x v="2"/>
    <x v="1"/>
    <x v="1"/>
  </r>
  <r>
    <x v="699"/>
    <x v="483"/>
    <x v="483"/>
    <x v="1"/>
    <s v="57145-03803-ZL"/>
    <s v="R-D-0.2"/>
    <n v="6"/>
    <x v="663"/>
    <s v="nwyvill6b@naver.com"/>
    <x v="1"/>
    <x v="1"/>
    <x v="1"/>
    <x v="1"/>
    <n v="2.6849999999999996"/>
    <n v="16.11"/>
    <x v="1"/>
    <x v="1"/>
    <x v="0"/>
  </r>
  <r>
    <x v="700"/>
    <x v="551"/>
    <x v="551"/>
    <x v="0"/>
    <s v="70451-38048-AH"/>
    <s v="R-D-0.5"/>
    <n v="6"/>
    <x v="664"/>
    <s v="nclimance9j@europa.eu"/>
    <x v="0"/>
    <x v="1"/>
    <x v="1"/>
    <x v="0"/>
    <n v="5.3699999999999992"/>
    <n v="32.22"/>
    <x v="1"/>
    <x v="1"/>
    <x v="1"/>
  </r>
  <r>
    <x v="701"/>
    <x v="475"/>
    <x v="475"/>
    <x v="0"/>
    <s v="98636-90072-YE"/>
    <s v="A-L-1"/>
    <n v="6"/>
    <x v="665"/>
    <s v="nbuneylx@jugem.jp"/>
    <x v="0"/>
    <x v="2"/>
    <x v="0"/>
    <x v="2"/>
    <n v="12.95"/>
    <n v="77.699999999999989"/>
    <x v="2"/>
    <x v="0"/>
    <x v="1"/>
  </r>
  <r>
    <x v="702"/>
    <x v="442"/>
    <x v="442"/>
    <x v="0"/>
    <s v="87519-68847-ZG"/>
    <s v="L-D-1"/>
    <n v="6"/>
    <x v="666"/>
    <s v="nchisholmnx@example.com"/>
    <x v="0"/>
    <x v="3"/>
    <x v="1"/>
    <x v="2"/>
    <n v="12.95"/>
    <n v="77.699999999999989"/>
    <x v="3"/>
    <x v="1"/>
    <x v="0"/>
  </r>
  <r>
    <x v="703"/>
    <x v="552"/>
    <x v="552"/>
    <x v="0"/>
    <s v="65552-60476-KY"/>
    <s v="L-L-0.2"/>
    <n v="5"/>
    <x v="667"/>
    <s v=""/>
    <x v="0"/>
    <x v="3"/>
    <x v="0"/>
    <x v="1"/>
    <n v="4.7549999999999999"/>
    <n v="23.774999999999999"/>
    <x v="3"/>
    <x v="0"/>
    <x v="0"/>
  </r>
  <r>
    <x v="704"/>
    <x v="553"/>
    <x v="553"/>
    <x v="0"/>
    <s v="27702-50024-XC"/>
    <s v="A-L-2.5"/>
    <n v="5"/>
    <x v="668"/>
    <s v="nfurberqz@jugem.jp"/>
    <x v="0"/>
    <x v="2"/>
    <x v="0"/>
    <x v="3"/>
    <n v="29.784999999999997"/>
    <n v="148.92499999999998"/>
    <x v="2"/>
    <x v="0"/>
    <x v="1"/>
  </r>
  <r>
    <x v="705"/>
    <x v="554"/>
    <x v="554"/>
    <x v="0"/>
    <s v="40946-22090-FP"/>
    <s v="A-M-2.5"/>
    <n v="6"/>
    <x v="669"/>
    <s v="nmagauran2n@51.la"/>
    <x v="0"/>
    <x v="2"/>
    <x v="2"/>
    <x v="3"/>
    <n v="25.874999999999996"/>
    <n v="155.24999999999997"/>
    <x v="2"/>
    <x v="2"/>
    <x v="1"/>
  </r>
  <r>
    <x v="706"/>
    <x v="365"/>
    <x v="365"/>
    <x v="3"/>
    <s v="54798-14109-HC"/>
    <s v="A-D-1"/>
    <n v="3"/>
    <x v="670"/>
    <s v="oskermen3@hatena.ne.jp"/>
    <x v="0"/>
    <x v="2"/>
    <x v="1"/>
    <x v="2"/>
    <n v="9.9499999999999993"/>
    <n v="29.849999999999998"/>
    <x v="2"/>
    <x v="1"/>
    <x v="0"/>
  </r>
  <r>
    <x v="707"/>
    <x v="63"/>
    <x v="63"/>
    <x v="2"/>
    <s v="54798-14109-HC"/>
    <s v="E-M-0.2"/>
    <n v="2"/>
    <x v="670"/>
    <s v="oskermen3@hatena.ne.jp"/>
    <x v="0"/>
    <x v="0"/>
    <x v="2"/>
    <x v="1"/>
    <n v="4.125"/>
    <n v="8.25"/>
    <x v="0"/>
    <x v="2"/>
    <x v="0"/>
  </r>
  <r>
    <x v="708"/>
    <x v="390"/>
    <x v="390"/>
    <x v="1"/>
    <s v="54798-14109-HC"/>
    <s v="L-M-0.2"/>
    <n v="2"/>
    <x v="670"/>
    <s v="oskermen3@hatena.ne.jp"/>
    <x v="0"/>
    <x v="3"/>
    <x v="2"/>
    <x v="1"/>
    <n v="4.3650000000000002"/>
    <n v="8.73"/>
    <x v="3"/>
    <x v="2"/>
    <x v="0"/>
  </r>
  <r>
    <x v="709"/>
    <x v="555"/>
    <x v="555"/>
    <x v="1"/>
    <s v="91829-99544-DS"/>
    <s v="E-L-2.5"/>
    <n v="1"/>
    <x v="671"/>
    <s v="othynne4w@auda.org.au"/>
    <x v="0"/>
    <x v="0"/>
    <x v="0"/>
    <x v="3"/>
    <n v="34.154999999999994"/>
    <n v="34.154999999999994"/>
    <x v="0"/>
    <x v="0"/>
    <x v="0"/>
  </r>
  <r>
    <x v="710"/>
    <x v="556"/>
    <x v="556"/>
    <x v="1"/>
    <s v="06631-86965-XP"/>
    <s v="E-M-0.5"/>
    <n v="2"/>
    <x v="672"/>
    <s v="obaudassi18@seesaa.net"/>
    <x v="0"/>
    <x v="0"/>
    <x v="2"/>
    <x v="0"/>
    <n v="8.25"/>
    <n v="16.5"/>
    <x v="0"/>
    <x v="2"/>
    <x v="0"/>
  </r>
  <r>
    <x v="711"/>
    <x v="557"/>
    <x v="557"/>
    <x v="3"/>
    <s v="43074-00987-PB"/>
    <s v="R-M-2.5"/>
    <n v="4"/>
    <x v="673"/>
    <s v="ocolbeck4t@sina.com.cn"/>
    <x v="0"/>
    <x v="1"/>
    <x v="2"/>
    <x v="3"/>
    <n v="22.884999999999998"/>
    <n v="91.539999999999992"/>
    <x v="1"/>
    <x v="2"/>
    <x v="1"/>
  </r>
  <r>
    <x v="712"/>
    <x v="558"/>
    <x v="558"/>
    <x v="2"/>
    <s v="84057-45461-AH"/>
    <s v="L-M-0.5"/>
    <n v="5"/>
    <x v="674"/>
    <s v="ocomberob@goo.gl"/>
    <x v="2"/>
    <x v="3"/>
    <x v="2"/>
    <x v="0"/>
    <n v="8.73"/>
    <n v="43.650000000000006"/>
    <x v="3"/>
    <x v="2"/>
    <x v="1"/>
  </r>
  <r>
    <x v="712"/>
    <x v="558"/>
    <x v="558"/>
    <x v="2"/>
    <s v="84057-45461-AH"/>
    <s v="A-L-0.5"/>
    <n v="6"/>
    <x v="674"/>
    <s v="ocomberob@goo.gl"/>
    <x v="2"/>
    <x v="2"/>
    <x v="0"/>
    <x v="0"/>
    <n v="7.77"/>
    <n v="46.62"/>
    <x v="2"/>
    <x v="0"/>
    <x v="1"/>
  </r>
  <r>
    <x v="713"/>
    <x v="459"/>
    <x v="459"/>
    <x v="2"/>
    <s v="93809-05424-MG"/>
    <s v="A-M-0.5"/>
    <n v="6"/>
    <x v="675"/>
    <s v="oduny5r@constantcontact.com"/>
    <x v="0"/>
    <x v="2"/>
    <x v="2"/>
    <x v="0"/>
    <n v="6.75"/>
    <n v="40.5"/>
    <x v="2"/>
    <x v="2"/>
    <x v="0"/>
  </r>
  <r>
    <x v="714"/>
    <x v="54"/>
    <x v="54"/>
    <x v="0"/>
    <s v="06488-46303-IZ"/>
    <s v="L-D-2.5"/>
    <n v="2"/>
    <x v="676"/>
    <s v=""/>
    <x v="0"/>
    <x v="3"/>
    <x v="1"/>
    <x v="3"/>
    <n v="29.784999999999997"/>
    <n v="59.569999999999993"/>
    <x v="3"/>
    <x v="1"/>
    <x v="0"/>
  </r>
  <r>
    <x v="715"/>
    <x v="559"/>
    <x v="559"/>
    <x v="2"/>
    <s v="25504-41681-WA"/>
    <s v="A-D-0.5"/>
    <n v="4"/>
    <x v="677"/>
    <s v="otadmanjf@ft.com"/>
    <x v="0"/>
    <x v="2"/>
    <x v="1"/>
    <x v="0"/>
    <n v="5.97"/>
    <n v="23.88"/>
    <x v="2"/>
    <x v="1"/>
    <x v="0"/>
  </r>
  <r>
    <x v="716"/>
    <x v="560"/>
    <x v="560"/>
    <x v="3"/>
    <s v="93224-71517-WV"/>
    <s v="L-L-0.2"/>
    <n v="2"/>
    <x v="678"/>
    <s v="orylandc4@deviantart.com"/>
    <x v="0"/>
    <x v="3"/>
    <x v="0"/>
    <x v="1"/>
    <n v="4.7549999999999999"/>
    <n v="9.51"/>
    <x v="3"/>
    <x v="0"/>
    <x v="0"/>
  </r>
  <r>
    <x v="717"/>
    <x v="143"/>
    <x v="143"/>
    <x v="1"/>
    <s v="03384-62101-IY"/>
    <s v="A-L-2.5"/>
    <n v="5"/>
    <x v="679"/>
    <s v="orobins3o@salon.com"/>
    <x v="0"/>
    <x v="2"/>
    <x v="0"/>
    <x v="3"/>
    <n v="29.784999999999997"/>
    <n v="148.92499999999998"/>
    <x v="2"/>
    <x v="0"/>
    <x v="0"/>
  </r>
  <r>
    <x v="718"/>
    <x v="167"/>
    <x v="167"/>
    <x v="0"/>
    <s v="60512-78550-WS"/>
    <s v="L-M-0.2"/>
    <n v="4"/>
    <x v="680"/>
    <s v="oclausenthue41@marriott.com"/>
    <x v="0"/>
    <x v="3"/>
    <x v="2"/>
    <x v="1"/>
    <n v="4.3650000000000002"/>
    <n v="17.46"/>
    <x v="3"/>
    <x v="2"/>
    <x v="1"/>
  </r>
  <r>
    <x v="719"/>
    <x v="561"/>
    <x v="561"/>
    <x v="2"/>
    <s v="86881-41559-OR"/>
    <s v="L-D-1"/>
    <n v="1"/>
    <x v="681"/>
    <s v="osyseland3p@independent.co.uk"/>
    <x v="0"/>
    <x v="3"/>
    <x v="1"/>
    <x v="2"/>
    <n v="12.95"/>
    <n v="12.95"/>
    <x v="3"/>
    <x v="1"/>
    <x v="1"/>
  </r>
  <r>
    <x v="720"/>
    <x v="474"/>
    <x v="474"/>
    <x v="0"/>
    <s v="57611-05522-ST"/>
    <s v="R-D-2.5"/>
    <n v="4"/>
    <x v="682"/>
    <s v="predfordi@ow.ly"/>
    <x v="2"/>
    <x v="1"/>
    <x v="1"/>
    <x v="3"/>
    <n v="20.584999999999997"/>
    <n v="82.339999999999989"/>
    <x v="1"/>
    <x v="1"/>
    <x v="0"/>
  </r>
  <r>
    <x v="721"/>
    <x v="183"/>
    <x v="183"/>
    <x v="0"/>
    <s v="79436-73011-MM"/>
    <s v="R-D-0.5"/>
    <n v="5"/>
    <x v="683"/>
    <s v=""/>
    <x v="1"/>
    <x v="1"/>
    <x v="1"/>
    <x v="0"/>
    <n v="5.3699999999999992"/>
    <n v="26.849999999999994"/>
    <x v="1"/>
    <x v="1"/>
    <x v="0"/>
  </r>
  <r>
    <x v="722"/>
    <x v="562"/>
    <x v="562"/>
    <x v="3"/>
    <s v="84132-22322-QT"/>
    <s v="E-L-1"/>
    <n v="1"/>
    <x v="684"/>
    <s v="pbrydell8m@bloglovin.com"/>
    <x v="2"/>
    <x v="0"/>
    <x v="0"/>
    <x v="2"/>
    <n v="14.85"/>
    <n v="14.85"/>
    <x v="0"/>
    <x v="0"/>
    <x v="1"/>
  </r>
  <r>
    <x v="723"/>
    <x v="126"/>
    <x v="126"/>
    <x v="0"/>
    <s v="32481-61533-ZJ"/>
    <s v="E-D-1"/>
    <n v="6"/>
    <x v="685"/>
    <s v="ptoffula4@posterous.com"/>
    <x v="0"/>
    <x v="0"/>
    <x v="1"/>
    <x v="2"/>
    <n v="12.15"/>
    <n v="72.900000000000006"/>
    <x v="0"/>
    <x v="1"/>
    <x v="0"/>
  </r>
  <r>
    <x v="724"/>
    <x v="183"/>
    <x v="183"/>
    <x v="0"/>
    <s v="57504-13456-UO"/>
    <s v="L-M-2.5"/>
    <n v="1"/>
    <x v="686"/>
    <s v="pmetrick7r@rakuten.co.jp"/>
    <x v="0"/>
    <x v="3"/>
    <x v="2"/>
    <x v="3"/>
    <n v="33.464999999999996"/>
    <n v="33.464999999999996"/>
    <x v="3"/>
    <x v="2"/>
    <x v="0"/>
  </r>
  <r>
    <x v="725"/>
    <x v="19"/>
    <x v="19"/>
    <x v="3"/>
    <s v="95875-73336-RG"/>
    <s v="L-D-0.2"/>
    <n v="3"/>
    <x v="687"/>
    <s v="ptrobee@wunderground.com"/>
    <x v="0"/>
    <x v="3"/>
    <x v="1"/>
    <x v="1"/>
    <n v="3.8849999999999998"/>
    <n v="11.654999999999999"/>
    <x v="3"/>
    <x v="1"/>
    <x v="0"/>
  </r>
  <r>
    <x v="726"/>
    <x v="563"/>
    <x v="563"/>
    <x v="0"/>
    <s v="28300-14355-GF"/>
    <s v="E-M-0.2"/>
    <n v="5"/>
    <x v="688"/>
    <s v="pvasilenkoos@addtoany.com"/>
    <x v="1"/>
    <x v="0"/>
    <x v="2"/>
    <x v="1"/>
    <n v="4.125"/>
    <n v="20.625"/>
    <x v="0"/>
    <x v="2"/>
    <x v="1"/>
  </r>
  <r>
    <x v="727"/>
    <x v="564"/>
    <x v="564"/>
    <x v="2"/>
    <s v="12997-41076-FQ"/>
    <s v="A-L-2.5"/>
    <n v="1"/>
    <x v="689"/>
    <s v=""/>
    <x v="0"/>
    <x v="2"/>
    <x v="0"/>
    <x v="3"/>
    <n v="29.784999999999997"/>
    <n v="29.784999999999997"/>
    <x v="2"/>
    <x v="0"/>
    <x v="0"/>
  </r>
  <r>
    <x v="728"/>
    <x v="565"/>
    <x v="565"/>
    <x v="0"/>
    <s v="58559-08254-UY"/>
    <s v="R-M-2.5"/>
    <n v="6"/>
    <x v="690"/>
    <s v=""/>
    <x v="0"/>
    <x v="1"/>
    <x v="2"/>
    <x v="3"/>
    <n v="22.884999999999998"/>
    <n v="137.31"/>
    <x v="1"/>
    <x v="2"/>
    <x v="0"/>
  </r>
  <r>
    <x v="729"/>
    <x v="566"/>
    <x v="566"/>
    <x v="2"/>
    <s v="15380-76513-PS"/>
    <s v="R-D-2.5"/>
    <n v="3"/>
    <x v="691"/>
    <s v="pyea4d@aol.com"/>
    <x v="2"/>
    <x v="1"/>
    <x v="1"/>
    <x v="3"/>
    <n v="20.584999999999997"/>
    <n v="61.754999999999995"/>
    <x v="1"/>
    <x v="1"/>
    <x v="1"/>
  </r>
  <r>
    <x v="730"/>
    <x v="567"/>
    <x v="567"/>
    <x v="0"/>
    <s v="15405-60469-TM"/>
    <s v="R-M-0.5"/>
    <n v="3"/>
    <x v="692"/>
    <s v="pwye2z@dagondesign.com"/>
    <x v="0"/>
    <x v="1"/>
    <x v="2"/>
    <x v="0"/>
    <n v="5.97"/>
    <n v="17.91"/>
    <x v="1"/>
    <x v="2"/>
    <x v="0"/>
  </r>
  <r>
    <x v="731"/>
    <x v="555"/>
    <x v="555"/>
    <x v="1"/>
    <s v="88420-46464-XE"/>
    <s v="L-D-0.5"/>
    <n v="1"/>
    <x v="693"/>
    <s v="peberznn@woothemes.com"/>
    <x v="0"/>
    <x v="3"/>
    <x v="1"/>
    <x v="0"/>
    <n v="7.77"/>
    <n v="7.77"/>
    <x v="3"/>
    <x v="1"/>
    <x v="0"/>
  </r>
  <r>
    <x v="732"/>
    <x v="568"/>
    <x v="568"/>
    <x v="0"/>
    <s v="37191-12203-MX"/>
    <s v="A-M-0.5"/>
    <n v="1"/>
    <x v="694"/>
    <s v="pstonner8e@moonfruit.com"/>
    <x v="0"/>
    <x v="2"/>
    <x v="2"/>
    <x v="0"/>
    <n v="6.75"/>
    <n v="6.75"/>
    <x v="2"/>
    <x v="2"/>
    <x v="1"/>
  </r>
  <r>
    <x v="733"/>
    <x v="527"/>
    <x v="527"/>
    <x v="0"/>
    <s v="14888-85625-TM"/>
    <s v="A-L-2.5"/>
    <n v="3"/>
    <x v="695"/>
    <s v="plyfielde3@baidu.com"/>
    <x v="0"/>
    <x v="2"/>
    <x v="0"/>
    <x v="3"/>
    <n v="29.784999999999997"/>
    <n v="89.35499999999999"/>
    <x v="2"/>
    <x v="0"/>
    <x v="0"/>
  </r>
  <r>
    <x v="734"/>
    <x v="272"/>
    <x v="272"/>
    <x v="3"/>
    <s v="54619-08558-ZU"/>
    <s v="L-D-2.5"/>
    <n v="6"/>
    <x v="696"/>
    <s v="pkingsbury19@comcast.net"/>
    <x v="0"/>
    <x v="3"/>
    <x v="1"/>
    <x v="3"/>
    <n v="29.784999999999997"/>
    <n v="178.70999999999998"/>
    <x v="3"/>
    <x v="1"/>
    <x v="1"/>
  </r>
  <r>
    <x v="735"/>
    <x v="569"/>
    <x v="569"/>
    <x v="2"/>
    <s v="41611-34336-WT"/>
    <s v="L-D-0.5"/>
    <n v="1"/>
    <x v="697"/>
    <s v="plauritzengo@photobucket.com"/>
    <x v="0"/>
    <x v="3"/>
    <x v="1"/>
    <x v="0"/>
    <n v="7.77"/>
    <n v="7.77"/>
    <x v="3"/>
    <x v="1"/>
    <x v="1"/>
  </r>
  <r>
    <x v="736"/>
    <x v="570"/>
    <x v="570"/>
    <x v="0"/>
    <s v="19755-55847-VW"/>
    <s v="E-L-1"/>
    <n v="2"/>
    <x v="698"/>
    <s v="pmatignono7@harvard.edu"/>
    <x v="1"/>
    <x v="0"/>
    <x v="0"/>
    <x v="2"/>
    <n v="14.85"/>
    <n v="29.7"/>
    <x v="0"/>
    <x v="0"/>
    <x v="0"/>
  </r>
  <r>
    <x v="737"/>
    <x v="571"/>
    <x v="571"/>
    <x v="1"/>
    <s v="76293-30918-DQ"/>
    <s v="E-D-1"/>
    <n v="6"/>
    <x v="699"/>
    <s v="ppetrushanko5c@blinklist.com"/>
    <x v="2"/>
    <x v="0"/>
    <x v="1"/>
    <x v="2"/>
    <n v="12.15"/>
    <n v="72.900000000000006"/>
    <x v="0"/>
    <x v="1"/>
    <x v="0"/>
  </r>
  <r>
    <x v="738"/>
    <x v="572"/>
    <x v="572"/>
    <x v="2"/>
    <s v="26248-84194-FI"/>
    <s v="A-D-0.2"/>
    <n v="6"/>
    <x v="700"/>
    <s v="pormerodg0@redcross.org"/>
    <x v="0"/>
    <x v="2"/>
    <x v="1"/>
    <x v="1"/>
    <n v="2.9849999999999999"/>
    <n v="17.91"/>
    <x v="2"/>
    <x v="1"/>
    <x v="1"/>
  </r>
  <r>
    <x v="739"/>
    <x v="573"/>
    <x v="573"/>
    <x v="2"/>
    <s v="49412-86877-VY"/>
    <s v="L-M-0.2"/>
    <n v="6"/>
    <x v="701"/>
    <s v="pwitheringtonea@networkadvertising.org"/>
    <x v="0"/>
    <x v="3"/>
    <x v="2"/>
    <x v="1"/>
    <n v="4.3650000000000002"/>
    <n v="26.19"/>
    <x v="3"/>
    <x v="2"/>
    <x v="0"/>
  </r>
  <r>
    <x v="740"/>
    <x v="574"/>
    <x v="574"/>
    <x v="2"/>
    <s v="84269-49816-ML"/>
    <s v="A-M-2.5"/>
    <n v="2"/>
    <x v="702"/>
    <s v="pcutchie6e@globo.com"/>
    <x v="0"/>
    <x v="2"/>
    <x v="2"/>
    <x v="3"/>
    <n v="25.874999999999996"/>
    <n v="51.749999999999993"/>
    <x v="2"/>
    <x v="2"/>
    <x v="1"/>
  </r>
  <r>
    <x v="741"/>
    <x v="64"/>
    <x v="64"/>
    <x v="3"/>
    <s v="48497-29281-FE"/>
    <s v="A-D-0.2"/>
    <n v="5"/>
    <x v="703"/>
    <s v="pbessal@qq.com"/>
    <x v="0"/>
    <x v="2"/>
    <x v="1"/>
    <x v="1"/>
    <n v="2.9849999999999999"/>
    <n v="14.924999999999999"/>
    <x v="2"/>
    <x v="1"/>
    <x v="0"/>
  </r>
  <r>
    <x v="742"/>
    <x v="494"/>
    <x v="494"/>
    <x v="3"/>
    <s v="60308-06944-GS"/>
    <s v="R-L-0.5"/>
    <n v="1"/>
    <x v="704"/>
    <s v="pdurbancg@symantec.com"/>
    <x v="2"/>
    <x v="1"/>
    <x v="0"/>
    <x v="0"/>
    <n v="7.169999999999999"/>
    <n v="7.169999999999999"/>
    <x v="1"/>
    <x v="0"/>
    <x v="1"/>
  </r>
  <r>
    <x v="743"/>
    <x v="226"/>
    <x v="226"/>
    <x v="1"/>
    <s v="90305-50099-SV"/>
    <s v="A-M-0.5"/>
    <n v="6"/>
    <x v="705"/>
    <s v="qveel2x@jugem.jp"/>
    <x v="0"/>
    <x v="2"/>
    <x v="2"/>
    <x v="0"/>
    <n v="6.75"/>
    <n v="40.5"/>
    <x v="2"/>
    <x v="2"/>
    <x v="0"/>
  </r>
  <r>
    <x v="744"/>
    <x v="575"/>
    <x v="575"/>
    <x v="0"/>
    <s v="94840-49457-UD"/>
    <s v="A-D-0.5"/>
    <n v="3"/>
    <x v="706"/>
    <s v="qparsons98@blogtalkradio.com"/>
    <x v="0"/>
    <x v="2"/>
    <x v="1"/>
    <x v="0"/>
    <n v="5.97"/>
    <n v="17.91"/>
    <x v="2"/>
    <x v="1"/>
    <x v="0"/>
  </r>
  <r>
    <x v="745"/>
    <x v="576"/>
    <x v="576"/>
    <x v="1"/>
    <s v="33555-01585-RP"/>
    <s v="R-D-0.2"/>
    <n v="5"/>
    <x v="707"/>
    <s v="qheavysidepj@unc.edu"/>
    <x v="0"/>
    <x v="1"/>
    <x v="1"/>
    <x v="1"/>
    <n v="2.6849999999999996"/>
    <n v="13.424999999999997"/>
    <x v="1"/>
    <x v="1"/>
    <x v="0"/>
  </r>
  <r>
    <x v="746"/>
    <x v="577"/>
    <x v="577"/>
    <x v="1"/>
    <s v="88446-59251-SQ"/>
    <s v="A-M-1"/>
    <n v="3"/>
    <x v="708"/>
    <s v=""/>
    <x v="0"/>
    <x v="2"/>
    <x v="2"/>
    <x v="2"/>
    <n v="11.25"/>
    <n v="33.75"/>
    <x v="2"/>
    <x v="2"/>
    <x v="0"/>
  </r>
  <r>
    <x v="747"/>
    <x v="249"/>
    <x v="249"/>
    <x v="1"/>
    <s v="09171-42203-EB"/>
    <s v="L-M-2.5"/>
    <n v="1"/>
    <x v="709"/>
    <s v="relizabethh5@live.com"/>
    <x v="0"/>
    <x v="3"/>
    <x v="2"/>
    <x v="3"/>
    <n v="33.464999999999996"/>
    <n v="33.464999999999996"/>
    <x v="3"/>
    <x v="2"/>
    <x v="1"/>
  </r>
  <r>
    <x v="748"/>
    <x v="514"/>
    <x v="514"/>
    <x v="2"/>
    <s v="11212-69985-ZJ"/>
    <s v="A-D-0.5"/>
    <n v="3"/>
    <x v="710"/>
    <s v="rtreachero2@usa.gov"/>
    <x v="2"/>
    <x v="2"/>
    <x v="1"/>
    <x v="0"/>
    <n v="5.97"/>
    <n v="17.91"/>
    <x v="2"/>
    <x v="1"/>
    <x v="1"/>
  </r>
  <r>
    <x v="749"/>
    <x v="578"/>
    <x v="578"/>
    <x v="0"/>
    <s v="08439-55669-AI"/>
    <s v="R-M-1"/>
    <n v="6"/>
    <x v="711"/>
    <s v="rpursglovel9@biblegateway.com"/>
    <x v="0"/>
    <x v="1"/>
    <x v="2"/>
    <x v="2"/>
    <n v="9.9499999999999993"/>
    <n v="59.699999999999996"/>
    <x v="1"/>
    <x v="2"/>
    <x v="0"/>
  </r>
  <r>
    <x v="749"/>
    <x v="578"/>
    <x v="578"/>
    <x v="0"/>
    <s v="08439-55669-AI"/>
    <s v="A-L-0.5"/>
    <n v="2"/>
    <x v="711"/>
    <s v="rpursglovel9@biblegateway.com"/>
    <x v="0"/>
    <x v="2"/>
    <x v="0"/>
    <x v="0"/>
    <n v="7.77"/>
    <n v="15.54"/>
    <x v="2"/>
    <x v="0"/>
    <x v="0"/>
  </r>
  <r>
    <x v="750"/>
    <x v="105"/>
    <x v="105"/>
    <x v="2"/>
    <s v="54904-18397-UD"/>
    <s v="L-D-1"/>
    <n v="6"/>
    <x v="712"/>
    <s v="rlepere3j@shop-pro.jp"/>
    <x v="2"/>
    <x v="3"/>
    <x v="1"/>
    <x v="2"/>
    <n v="12.95"/>
    <n v="77.699999999999989"/>
    <x v="3"/>
    <x v="1"/>
    <x v="1"/>
  </r>
  <r>
    <x v="751"/>
    <x v="579"/>
    <x v="579"/>
    <x v="2"/>
    <s v="66070-30559-WI"/>
    <s v="E-M-2.5"/>
    <n v="1"/>
    <x v="713"/>
    <s v="rcheakrc@tripadvisor.com"/>
    <x v="2"/>
    <x v="0"/>
    <x v="2"/>
    <x v="3"/>
    <n v="31.624999999999996"/>
    <n v="31.624999999999996"/>
    <x v="0"/>
    <x v="2"/>
    <x v="0"/>
  </r>
  <r>
    <x v="752"/>
    <x v="154"/>
    <x v="154"/>
    <x v="3"/>
    <s v="06279-72603-JE"/>
    <s v="R-D-1"/>
    <n v="5"/>
    <x v="714"/>
    <s v="rsharerer@flavors.me"/>
    <x v="0"/>
    <x v="1"/>
    <x v="1"/>
    <x v="2"/>
    <n v="8.9499999999999993"/>
    <n v="44.75"/>
    <x v="1"/>
    <x v="1"/>
    <x v="1"/>
  </r>
  <r>
    <x v="753"/>
    <x v="222"/>
    <x v="222"/>
    <x v="1"/>
    <s v="11263-86515-VU"/>
    <s v="R-L-2.5"/>
    <n v="4"/>
    <x v="715"/>
    <s v="rlongfielday@bluehost.com"/>
    <x v="0"/>
    <x v="1"/>
    <x v="0"/>
    <x v="3"/>
    <n v="27.484999999999996"/>
    <n v="109.93999999999998"/>
    <x v="1"/>
    <x v="0"/>
    <x v="1"/>
  </r>
  <r>
    <x v="754"/>
    <x v="580"/>
    <x v="580"/>
    <x v="1"/>
    <s v="99869-55718-UU"/>
    <s v="R-D-0.2"/>
    <n v="4"/>
    <x v="716"/>
    <s v="rmckallct@sakura.ne.jp"/>
    <x v="1"/>
    <x v="1"/>
    <x v="1"/>
    <x v="1"/>
    <n v="2.6849999999999996"/>
    <n v="10.739999999999998"/>
    <x v="1"/>
    <x v="1"/>
    <x v="0"/>
  </r>
  <r>
    <x v="755"/>
    <x v="581"/>
    <x v="581"/>
    <x v="3"/>
    <s v="91190-84826-IQ"/>
    <s v="L-L-0.5"/>
    <n v="6"/>
    <x v="717"/>
    <s v="rschankelborgot@ameblo.jp"/>
    <x v="0"/>
    <x v="3"/>
    <x v="0"/>
    <x v="0"/>
    <n v="9.51"/>
    <n v="57.06"/>
    <x v="3"/>
    <x v="0"/>
    <x v="0"/>
  </r>
  <r>
    <x v="756"/>
    <x v="582"/>
    <x v="582"/>
    <x v="2"/>
    <s v="08120-16183-AW"/>
    <s v="E-M-0.2"/>
    <n v="6"/>
    <x v="718"/>
    <s v="rjacquemardcc@acquirethisname.com"/>
    <x v="2"/>
    <x v="0"/>
    <x v="2"/>
    <x v="1"/>
    <n v="4.125"/>
    <n v="24.75"/>
    <x v="0"/>
    <x v="2"/>
    <x v="1"/>
  </r>
  <r>
    <x v="757"/>
    <x v="583"/>
    <x v="583"/>
    <x v="1"/>
    <s v="15770-27099-GX"/>
    <s v="A-D-2.5"/>
    <n v="4"/>
    <x v="719"/>
    <s v="rmcgilvary1c@tamu.edu"/>
    <x v="0"/>
    <x v="2"/>
    <x v="1"/>
    <x v="3"/>
    <n v="22.884999999999998"/>
    <n v="91.539999999999992"/>
    <x v="2"/>
    <x v="1"/>
    <x v="1"/>
  </r>
  <r>
    <x v="758"/>
    <x v="242"/>
    <x v="242"/>
    <x v="3"/>
    <s v="66794-66795-VW"/>
    <s v="R-D-0.5"/>
    <n v="4"/>
    <x v="720"/>
    <s v=""/>
    <x v="0"/>
    <x v="1"/>
    <x v="1"/>
    <x v="0"/>
    <n v="5.3699999999999992"/>
    <n v="21.479999999999997"/>
    <x v="1"/>
    <x v="1"/>
    <x v="1"/>
  </r>
  <r>
    <x v="759"/>
    <x v="584"/>
    <x v="584"/>
    <x v="2"/>
    <s v="01474-63436-TP"/>
    <s v="R-M-2.5"/>
    <n v="5"/>
    <x v="721"/>
    <s v="rcuttspy@techcrunch.com"/>
    <x v="0"/>
    <x v="1"/>
    <x v="2"/>
    <x v="3"/>
    <n v="22.884999999999998"/>
    <n v="114.42499999999998"/>
    <x v="1"/>
    <x v="2"/>
    <x v="1"/>
  </r>
  <r>
    <x v="760"/>
    <x v="585"/>
    <x v="585"/>
    <x v="3"/>
    <s v="59480-02795-IU"/>
    <s v="A-L-1"/>
    <n v="3"/>
    <x v="722"/>
    <s v="raynoldfj@ustream.tv"/>
    <x v="0"/>
    <x v="2"/>
    <x v="0"/>
    <x v="2"/>
    <n v="12.95"/>
    <n v="38.849999999999994"/>
    <x v="2"/>
    <x v="0"/>
    <x v="0"/>
  </r>
  <r>
    <x v="761"/>
    <x v="586"/>
    <x v="586"/>
    <x v="2"/>
    <s v="07095-81281-NJ"/>
    <s v="A-L-0.5"/>
    <n v="3"/>
    <x v="723"/>
    <s v="rworg9m@arstechnica.com"/>
    <x v="0"/>
    <x v="2"/>
    <x v="0"/>
    <x v="0"/>
    <n v="7.77"/>
    <n v="23.31"/>
    <x v="2"/>
    <x v="0"/>
    <x v="0"/>
  </r>
  <r>
    <x v="762"/>
    <x v="587"/>
    <x v="587"/>
    <x v="0"/>
    <s v="08934-65581-ZI"/>
    <s v="A-L-2.5"/>
    <n v="6"/>
    <x v="724"/>
    <s v="rsimaonv@simplemachines.org"/>
    <x v="0"/>
    <x v="2"/>
    <x v="0"/>
    <x v="3"/>
    <n v="29.784999999999997"/>
    <n v="178.70999999999998"/>
    <x v="2"/>
    <x v="0"/>
    <x v="1"/>
  </r>
  <r>
    <x v="763"/>
    <x v="387"/>
    <x v="387"/>
    <x v="1"/>
    <s v="36572-91896-PP"/>
    <s v="L-M-1"/>
    <n v="4"/>
    <x v="725"/>
    <s v="rlidgeykm@vimeo.com"/>
    <x v="0"/>
    <x v="3"/>
    <x v="2"/>
    <x v="2"/>
    <n v="14.55"/>
    <n v="58.2"/>
    <x v="3"/>
    <x v="2"/>
    <x v="1"/>
  </r>
  <r>
    <x v="764"/>
    <x v="588"/>
    <x v="588"/>
    <x v="2"/>
    <s v="99899-54612-NX"/>
    <s v="L-M-2.5"/>
    <n v="2"/>
    <x v="726"/>
    <s v="rthickpennyfz@cafepress.com"/>
    <x v="0"/>
    <x v="3"/>
    <x v="2"/>
    <x v="3"/>
    <n v="33.464999999999996"/>
    <n v="66.929999999999993"/>
    <x v="3"/>
    <x v="2"/>
    <x v="1"/>
  </r>
  <r>
    <x v="765"/>
    <x v="589"/>
    <x v="589"/>
    <x v="1"/>
    <s v="92227-49331-QR"/>
    <s v="A-L-0.5"/>
    <n v="3"/>
    <x v="727"/>
    <s v=""/>
    <x v="0"/>
    <x v="2"/>
    <x v="0"/>
    <x v="0"/>
    <n v="7.77"/>
    <n v="23.31"/>
    <x v="2"/>
    <x v="0"/>
    <x v="0"/>
  </r>
  <r>
    <x v="766"/>
    <x v="590"/>
    <x v="590"/>
    <x v="1"/>
    <s v="39789-43945-IV"/>
    <s v="E-L-1"/>
    <n v="3"/>
    <x v="728"/>
    <s v="rkirtleyg4@hatena.ne.jp"/>
    <x v="0"/>
    <x v="0"/>
    <x v="0"/>
    <x v="2"/>
    <n v="14.85"/>
    <n v="44.55"/>
    <x v="0"/>
    <x v="0"/>
    <x v="0"/>
  </r>
  <r>
    <x v="767"/>
    <x v="540"/>
    <x v="540"/>
    <x v="2"/>
    <s v="98573-41811-EQ"/>
    <s v="A-M-1"/>
    <n v="5"/>
    <x v="729"/>
    <s v="rfurman62@t.co"/>
    <x v="2"/>
    <x v="2"/>
    <x v="2"/>
    <x v="2"/>
    <n v="11.25"/>
    <n v="56.25"/>
    <x v="2"/>
    <x v="2"/>
    <x v="0"/>
  </r>
  <r>
    <x v="768"/>
    <x v="591"/>
    <x v="591"/>
    <x v="2"/>
    <s v="67010-92988-CT"/>
    <s v="R-D-2.5"/>
    <n v="4"/>
    <x v="730"/>
    <s v="rcawleycm@yellowbook.com"/>
    <x v="2"/>
    <x v="1"/>
    <x v="1"/>
    <x v="3"/>
    <n v="20.584999999999997"/>
    <n v="82.339999999999989"/>
    <x v="1"/>
    <x v="1"/>
    <x v="0"/>
  </r>
  <r>
    <x v="769"/>
    <x v="592"/>
    <x v="592"/>
    <x v="2"/>
    <s v="93812-74772-MV"/>
    <s v="E-D-0.5"/>
    <n v="5"/>
    <x v="731"/>
    <s v="rcrookshanksk0@unc.edu"/>
    <x v="0"/>
    <x v="0"/>
    <x v="1"/>
    <x v="0"/>
    <n v="7.29"/>
    <n v="36.450000000000003"/>
    <x v="0"/>
    <x v="1"/>
    <x v="0"/>
  </r>
  <r>
    <x v="770"/>
    <x v="405"/>
    <x v="405"/>
    <x v="2"/>
    <s v="89574-96203-EP"/>
    <s v="E-L-0.5"/>
    <n v="2"/>
    <x v="732"/>
    <s v="relnaughlj@comsenz.com"/>
    <x v="0"/>
    <x v="0"/>
    <x v="0"/>
    <x v="0"/>
    <n v="8.91"/>
    <n v="17.82"/>
    <x v="0"/>
    <x v="0"/>
    <x v="0"/>
  </r>
  <r>
    <x v="771"/>
    <x v="593"/>
    <x v="593"/>
    <x v="1"/>
    <s v="64845-00270-NO"/>
    <s v="L-L-1"/>
    <n v="4"/>
    <x v="733"/>
    <s v="rzywickii4@ifeng.com"/>
    <x v="2"/>
    <x v="3"/>
    <x v="0"/>
    <x v="2"/>
    <n v="15.85"/>
    <n v="63.4"/>
    <x v="3"/>
    <x v="0"/>
    <x v="1"/>
  </r>
  <r>
    <x v="772"/>
    <x v="594"/>
    <x v="594"/>
    <x v="0"/>
    <s v="62173-15287-CU"/>
    <s v="A-L-1"/>
    <n v="6"/>
    <x v="734"/>
    <s v="rbroxuph@jimdo.com"/>
    <x v="0"/>
    <x v="2"/>
    <x v="0"/>
    <x v="2"/>
    <n v="12.95"/>
    <n v="77.699999999999989"/>
    <x v="2"/>
    <x v="0"/>
    <x v="1"/>
  </r>
  <r>
    <x v="773"/>
    <x v="595"/>
    <x v="595"/>
    <x v="3"/>
    <s v="40959-32642-DN"/>
    <s v="L-L-0.2"/>
    <n v="5"/>
    <x v="735"/>
    <s v="rstrathernqn@devhub.com"/>
    <x v="0"/>
    <x v="3"/>
    <x v="0"/>
    <x v="1"/>
    <n v="4.7549999999999999"/>
    <n v="23.774999999999999"/>
    <x v="3"/>
    <x v="0"/>
    <x v="0"/>
  </r>
  <r>
    <x v="774"/>
    <x v="596"/>
    <x v="596"/>
    <x v="2"/>
    <s v="22221-71106-JD"/>
    <s v="A-D-0.5"/>
    <n v="1"/>
    <x v="736"/>
    <s v="rlequeuxcz@newyorker.com"/>
    <x v="0"/>
    <x v="2"/>
    <x v="1"/>
    <x v="0"/>
    <n v="5.97"/>
    <n v="5.97"/>
    <x v="2"/>
    <x v="1"/>
    <x v="1"/>
  </r>
  <r>
    <x v="775"/>
    <x v="597"/>
    <x v="597"/>
    <x v="2"/>
    <s v="30844-91890-ZA"/>
    <s v="R-L-0.2"/>
    <n v="6"/>
    <x v="737"/>
    <s v="rreadieg8@guardian.co.uk"/>
    <x v="0"/>
    <x v="1"/>
    <x v="0"/>
    <x v="1"/>
    <n v="3.5849999999999995"/>
    <n v="21.509999999999998"/>
    <x v="1"/>
    <x v="0"/>
    <x v="1"/>
  </r>
  <r>
    <x v="776"/>
    <x v="12"/>
    <x v="12"/>
    <x v="2"/>
    <s v="31599-82152-AD"/>
    <s v="A-M-1"/>
    <n v="1"/>
    <x v="738"/>
    <s v="rfaltinqb@topsy.com"/>
    <x v="2"/>
    <x v="2"/>
    <x v="2"/>
    <x v="2"/>
    <n v="11.25"/>
    <n v="11.25"/>
    <x v="2"/>
    <x v="2"/>
    <x v="1"/>
  </r>
  <r>
    <x v="777"/>
    <x v="598"/>
    <x v="598"/>
    <x v="2"/>
    <s v="57192-13428-PL"/>
    <s v="R-M-0.5"/>
    <n v="5"/>
    <x v="739"/>
    <s v="rtomkowiczk7@bravesites.com"/>
    <x v="2"/>
    <x v="1"/>
    <x v="2"/>
    <x v="0"/>
    <n v="5.97"/>
    <n v="29.849999999999998"/>
    <x v="1"/>
    <x v="2"/>
    <x v="0"/>
  </r>
  <r>
    <x v="778"/>
    <x v="599"/>
    <x v="599"/>
    <x v="0"/>
    <s v="07972-83748-JI"/>
    <s v="L-D-1"/>
    <n v="6"/>
    <x v="740"/>
    <s v=""/>
    <x v="0"/>
    <x v="3"/>
    <x v="1"/>
    <x v="2"/>
    <n v="12.95"/>
    <n v="77.699999999999989"/>
    <x v="3"/>
    <x v="1"/>
    <x v="0"/>
  </r>
  <r>
    <x v="779"/>
    <x v="600"/>
    <x v="600"/>
    <x v="1"/>
    <s v="24891-77957-LU"/>
    <s v="E-D-0.5"/>
    <n v="3"/>
    <x v="741"/>
    <s v="rhuscroftk8@jimdo.com"/>
    <x v="0"/>
    <x v="0"/>
    <x v="1"/>
    <x v="0"/>
    <n v="7.29"/>
    <n v="21.87"/>
    <x v="0"/>
    <x v="1"/>
    <x v="0"/>
  </r>
  <r>
    <x v="780"/>
    <x v="601"/>
    <x v="601"/>
    <x v="0"/>
    <s v="53486-73919-BQ"/>
    <s v="A-M-1"/>
    <n v="2"/>
    <x v="742"/>
    <s v=""/>
    <x v="0"/>
    <x v="2"/>
    <x v="2"/>
    <x v="2"/>
    <n v="11.25"/>
    <n v="22.5"/>
    <x v="2"/>
    <x v="2"/>
    <x v="1"/>
  </r>
  <r>
    <x v="781"/>
    <x v="31"/>
    <x v="31"/>
    <x v="0"/>
    <s v="61021-27840-ZN"/>
    <s v="R-M-0.5"/>
    <n v="1"/>
    <x v="743"/>
    <s v="rraven9@ed.gov"/>
    <x v="0"/>
    <x v="1"/>
    <x v="2"/>
    <x v="0"/>
    <n v="5.97"/>
    <n v="5.97"/>
    <x v="1"/>
    <x v="2"/>
    <x v="1"/>
  </r>
  <r>
    <x v="782"/>
    <x v="148"/>
    <x v="148"/>
    <x v="3"/>
    <s v="28327-84469-ND"/>
    <s v="A-M-1"/>
    <n v="4"/>
    <x v="744"/>
    <s v="rwillowaycq@admin.ch"/>
    <x v="0"/>
    <x v="2"/>
    <x v="2"/>
    <x v="2"/>
    <n v="11.25"/>
    <n v="45"/>
    <x v="2"/>
    <x v="2"/>
    <x v="1"/>
  </r>
  <r>
    <x v="783"/>
    <x v="602"/>
    <x v="602"/>
    <x v="3"/>
    <s v="13082-41034-PD"/>
    <s v="A-D-2.5"/>
    <n v="5"/>
    <x v="745"/>
    <s v="ravrashinna@tamu.edu"/>
    <x v="0"/>
    <x v="2"/>
    <x v="1"/>
    <x v="3"/>
    <n v="22.884999999999998"/>
    <n v="114.42499999999998"/>
    <x v="2"/>
    <x v="1"/>
    <x v="1"/>
  </r>
  <r>
    <x v="784"/>
    <x v="519"/>
    <x v="519"/>
    <x v="0"/>
    <s v="86071-79238-CX"/>
    <s v="R-L-0.2"/>
    <n v="6"/>
    <x v="746"/>
    <s v="rpysono0@constantcontact.com"/>
    <x v="2"/>
    <x v="1"/>
    <x v="0"/>
    <x v="1"/>
    <n v="3.5849999999999995"/>
    <n v="21.509999999999998"/>
    <x v="1"/>
    <x v="0"/>
    <x v="1"/>
  </r>
  <r>
    <x v="785"/>
    <x v="603"/>
    <x v="603"/>
    <x v="3"/>
    <s v="34136-36674-OM"/>
    <s v="R-M-1"/>
    <n v="5"/>
    <x v="747"/>
    <s v="rscholarc@nyu.edu"/>
    <x v="0"/>
    <x v="1"/>
    <x v="2"/>
    <x v="2"/>
    <n v="9.9499999999999993"/>
    <n v="49.75"/>
    <x v="1"/>
    <x v="2"/>
    <x v="1"/>
  </r>
  <r>
    <x v="786"/>
    <x v="39"/>
    <x v="39"/>
    <x v="2"/>
    <s v="46560-73885-PJ"/>
    <s v="R-L-0.5"/>
    <n v="4"/>
    <x v="748"/>
    <s v="rmclae72@dailymotion.com"/>
    <x v="1"/>
    <x v="1"/>
    <x v="0"/>
    <x v="0"/>
    <n v="7.169999999999999"/>
    <n v="28.679999999999996"/>
    <x v="1"/>
    <x v="0"/>
    <x v="1"/>
  </r>
  <r>
    <x v="787"/>
    <x v="604"/>
    <x v="604"/>
    <x v="1"/>
    <s v="92204-96636-BS"/>
    <s v="E-D-0.5"/>
    <n v="5"/>
    <x v="749"/>
    <s v="rdeaconsonja@archive.org"/>
    <x v="0"/>
    <x v="0"/>
    <x v="1"/>
    <x v="0"/>
    <n v="7.29"/>
    <n v="36.450000000000003"/>
    <x v="0"/>
    <x v="1"/>
    <x v="1"/>
  </r>
  <r>
    <x v="788"/>
    <x v="362"/>
    <x v="362"/>
    <x v="1"/>
    <s v="10138-31681-SD"/>
    <s v="A-D-0.2"/>
    <n v="2"/>
    <x v="750"/>
    <s v="rdriversd4@hexun.com"/>
    <x v="0"/>
    <x v="2"/>
    <x v="1"/>
    <x v="1"/>
    <n v="2.9849999999999999"/>
    <n v="5.97"/>
    <x v="2"/>
    <x v="1"/>
    <x v="1"/>
  </r>
  <r>
    <x v="789"/>
    <x v="605"/>
    <x v="605"/>
    <x v="3"/>
    <s v="25729-68859-UA"/>
    <s v="E-L-1"/>
    <n v="4"/>
    <x v="751"/>
    <s v="rrelton1l@stanford.edu"/>
    <x v="0"/>
    <x v="0"/>
    <x v="0"/>
    <x v="2"/>
    <n v="14.85"/>
    <n v="59.4"/>
    <x v="0"/>
    <x v="0"/>
    <x v="1"/>
  </r>
  <r>
    <x v="790"/>
    <x v="356"/>
    <x v="356"/>
    <x v="2"/>
    <s v="08847-29858-HN"/>
    <s v="A-L-0.2"/>
    <n v="2"/>
    <x v="752"/>
    <s v=""/>
    <x v="0"/>
    <x v="2"/>
    <x v="0"/>
    <x v="1"/>
    <n v="3.8849999999999998"/>
    <n v="7.77"/>
    <x v="2"/>
    <x v="0"/>
    <x v="0"/>
  </r>
  <r>
    <x v="791"/>
    <x v="341"/>
    <x v="341"/>
    <x v="1"/>
    <s v="13654-85265-IL"/>
    <s v="A-D-0.2"/>
    <n v="6"/>
    <x v="753"/>
    <s v=""/>
    <x v="2"/>
    <x v="2"/>
    <x v="1"/>
    <x v="1"/>
    <n v="2.9849999999999999"/>
    <n v="17.91"/>
    <x v="2"/>
    <x v="1"/>
    <x v="0"/>
  </r>
  <r>
    <x v="792"/>
    <x v="280"/>
    <x v="280"/>
    <x v="1"/>
    <s v="87223-37422-SK"/>
    <s v="L-D-0.2"/>
    <n v="4"/>
    <x v="754"/>
    <s v="rflearf5@artisteer.com"/>
    <x v="1"/>
    <x v="3"/>
    <x v="1"/>
    <x v="1"/>
    <n v="3.8849999999999998"/>
    <n v="15.54"/>
    <x v="3"/>
    <x v="1"/>
    <x v="1"/>
  </r>
  <r>
    <x v="793"/>
    <x v="606"/>
    <x v="606"/>
    <x v="2"/>
    <s v="91465-84526-IJ"/>
    <s v="E-D-1"/>
    <n v="5"/>
    <x v="755"/>
    <s v="rdonetg6@oakley.com"/>
    <x v="0"/>
    <x v="0"/>
    <x v="1"/>
    <x v="2"/>
    <n v="12.15"/>
    <n v="60.75"/>
    <x v="0"/>
    <x v="1"/>
    <x v="1"/>
  </r>
  <r>
    <x v="794"/>
    <x v="607"/>
    <x v="607"/>
    <x v="0"/>
    <s v="36021-61205-DF"/>
    <s v="L-M-0.2"/>
    <n v="2"/>
    <x v="756"/>
    <s v="rpithcockb5@yellowbook.com"/>
    <x v="0"/>
    <x v="3"/>
    <x v="2"/>
    <x v="1"/>
    <n v="4.3650000000000002"/>
    <n v="8.73"/>
    <x v="3"/>
    <x v="2"/>
    <x v="0"/>
  </r>
  <r>
    <x v="795"/>
    <x v="321"/>
    <x v="321"/>
    <x v="2"/>
    <s v="81861-66046-SU"/>
    <s v="A-D-0.2"/>
    <n v="1"/>
    <x v="757"/>
    <s v=""/>
    <x v="2"/>
    <x v="2"/>
    <x v="1"/>
    <x v="1"/>
    <n v="2.9849999999999999"/>
    <n v="2.9849999999999999"/>
    <x v="2"/>
    <x v="1"/>
    <x v="1"/>
  </r>
  <r>
    <x v="796"/>
    <x v="556"/>
    <x v="556"/>
    <x v="1"/>
    <s v="76730-63769-ND"/>
    <s v="E-D-1"/>
    <n v="2"/>
    <x v="758"/>
    <s v="rsticklerox@printfriendly.com"/>
    <x v="1"/>
    <x v="0"/>
    <x v="1"/>
    <x v="2"/>
    <n v="12.15"/>
    <n v="24.3"/>
    <x v="0"/>
    <x v="1"/>
    <x v="1"/>
  </r>
  <r>
    <x v="797"/>
    <x v="533"/>
    <x v="533"/>
    <x v="1"/>
    <s v="34704-83143-KS"/>
    <s v="R-M-0.2"/>
    <n v="1"/>
    <x v="759"/>
    <s v="sbruunjt@blogtalkradio.com"/>
    <x v="0"/>
    <x v="1"/>
    <x v="2"/>
    <x v="1"/>
    <n v="2.9849999999999999"/>
    <n v="2.9849999999999999"/>
    <x v="1"/>
    <x v="2"/>
    <x v="1"/>
  </r>
  <r>
    <x v="798"/>
    <x v="491"/>
    <x v="491"/>
    <x v="0"/>
    <s v="46885-00260-TL"/>
    <s v="R-D-0.5"/>
    <n v="1"/>
    <x v="760"/>
    <s v="sroseboroughr2@virginia.edu"/>
    <x v="0"/>
    <x v="1"/>
    <x v="1"/>
    <x v="0"/>
    <n v="5.3699999999999992"/>
    <n v="5.3699999999999992"/>
    <x v="1"/>
    <x v="1"/>
    <x v="0"/>
  </r>
  <r>
    <x v="799"/>
    <x v="608"/>
    <x v="608"/>
    <x v="1"/>
    <s v="09960-34242-LZ"/>
    <s v="L-L-1"/>
    <n v="3"/>
    <x v="761"/>
    <s v=""/>
    <x v="0"/>
    <x v="3"/>
    <x v="0"/>
    <x v="2"/>
    <n v="15.85"/>
    <n v="47.55"/>
    <x v="3"/>
    <x v="0"/>
    <x v="1"/>
  </r>
  <r>
    <x v="800"/>
    <x v="609"/>
    <x v="609"/>
    <x v="0"/>
    <s v="32070-55528-UG"/>
    <s v="L-L-2.5"/>
    <n v="5"/>
    <x v="762"/>
    <s v=""/>
    <x v="2"/>
    <x v="3"/>
    <x v="0"/>
    <x v="3"/>
    <n v="36.454999999999998"/>
    <n v="182.27499999999998"/>
    <x v="3"/>
    <x v="0"/>
    <x v="1"/>
  </r>
  <r>
    <x v="801"/>
    <x v="382"/>
    <x v="382"/>
    <x v="0"/>
    <s v="55374-03175-IA"/>
    <s v="R-M-0.2"/>
    <n v="6"/>
    <x v="763"/>
    <s v=""/>
    <x v="0"/>
    <x v="1"/>
    <x v="2"/>
    <x v="1"/>
    <n v="2.9849999999999999"/>
    <n v="17.91"/>
    <x v="1"/>
    <x v="2"/>
    <x v="0"/>
  </r>
  <r>
    <x v="802"/>
    <x v="610"/>
    <x v="610"/>
    <x v="3"/>
    <s v="66527-94478-PB"/>
    <s v="A-L-0.5"/>
    <n v="3"/>
    <x v="764"/>
    <s v=""/>
    <x v="0"/>
    <x v="2"/>
    <x v="0"/>
    <x v="0"/>
    <n v="7.77"/>
    <n v="23.31"/>
    <x v="2"/>
    <x v="0"/>
    <x v="1"/>
  </r>
  <r>
    <x v="803"/>
    <x v="611"/>
    <x v="611"/>
    <x v="1"/>
    <s v="93832-04799-ID"/>
    <s v="E-D-0.5"/>
    <n v="6"/>
    <x v="765"/>
    <s v=""/>
    <x v="0"/>
    <x v="0"/>
    <x v="1"/>
    <x v="0"/>
    <n v="7.29"/>
    <n v="43.74"/>
    <x v="0"/>
    <x v="1"/>
    <x v="1"/>
  </r>
  <r>
    <x v="804"/>
    <x v="612"/>
    <x v="612"/>
    <x v="1"/>
    <s v="01811-60350-CU"/>
    <s v="E-M-1"/>
    <n v="6"/>
    <x v="766"/>
    <s v=""/>
    <x v="0"/>
    <x v="0"/>
    <x v="2"/>
    <x v="2"/>
    <n v="13.75"/>
    <n v="82.5"/>
    <x v="0"/>
    <x v="2"/>
    <x v="1"/>
  </r>
  <r>
    <x v="805"/>
    <x v="175"/>
    <x v="175"/>
    <x v="0"/>
    <s v="73564-98204-EY"/>
    <s v="R-D-2.5"/>
    <n v="6"/>
    <x v="767"/>
    <s v=""/>
    <x v="0"/>
    <x v="1"/>
    <x v="1"/>
    <x v="3"/>
    <n v="20.584999999999997"/>
    <n v="123.50999999999999"/>
    <x v="1"/>
    <x v="1"/>
    <x v="0"/>
  </r>
  <r>
    <x v="806"/>
    <x v="613"/>
    <x v="613"/>
    <x v="0"/>
    <s v="84996-26826-DK"/>
    <s v="R-D-0.2"/>
    <n v="1"/>
    <x v="768"/>
    <s v="soliffeop@yellowbook.com"/>
    <x v="0"/>
    <x v="1"/>
    <x v="1"/>
    <x v="1"/>
    <n v="2.6849999999999996"/>
    <n v="2.6849999999999996"/>
    <x v="1"/>
    <x v="1"/>
    <x v="0"/>
  </r>
  <r>
    <x v="807"/>
    <x v="614"/>
    <x v="614"/>
    <x v="0"/>
    <s v="33000-22405-LO"/>
    <s v="L-L-1"/>
    <n v="6"/>
    <x v="769"/>
    <s v="slorenzettidl@is.gd"/>
    <x v="0"/>
    <x v="3"/>
    <x v="0"/>
    <x v="2"/>
    <n v="15.85"/>
    <n v="95.1"/>
    <x v="3"/>
    <x v="0"/>
    <x v="1"/>
  </r>
  <r>
    <x v="808"/>
    <x v="527"/>
    <x v="527"/>
    <x v="0"/>
    <s v="49231-44455-IC"/>
    <s v="A-M-0.5"/>
    <n v="4"/>
    <x v="770"/>
    <s v="sshalesq@umich.edu"/>
    <x v="0"/>
    <x v="2"/>
    <x v="2"/>
    <x v="0"/>
    <n v="6.75"/>
    <n v="27"/>
    <x v="2"/>
    <x v="2"/>
    <x v="0"/>
  </r>
  <r>
    <x v="809"/>
    <x v="615"/>
    <x v="615"/>
    <x v="3"/>
    <s v="89646-21249-OH"/>
    <s v="R-M-0.2"/>
    <n v="6"/>
    <x v="771"/>
    <s v="sraglesjr@blogtalkradio.com"/>
    <x v="0"/>
    <x v="1"/>
    <x v="2"/>
    <x v="1"/>
    <n v="2.9849999999999999"/>
    <n v="17.91"/>
    <x v="1"/>
    <x v="2"/>
    <x v="1"/>
  </r>
  <r>
    <x v="810"/>
    <x v="616"/>
    <x v="616"/>
    <x v="3"/>
    <s v="64896-18468-BT"/>
    <s v="L-M-0.2"/>
    <n v="1"/>
    <x v="772"/>
    <s v="sscurrerk9@flavors.me"/>
    <x v="1"/>
    <x v="3"/>
    <x v="2"/>
    <x v="1"/>
    <n v="4.3650000000000002"/>
    <n v="4.3650000000000002"/>
    <x v="3"/>
    <x v="2"/>
    <x v="1"/>
  </r>
  <r>
    <x v="811"/>
    <x v="617"/>
    <x v="617"/>
    <x v="0"/>
    <s v="37274-08534-FM"/>
    <s v="R-D-0.5"/>
    <n v="3"/>
    <x v="773"/>
    <s v="smcmillian8t@csmonitor.com"/>
    <x v="0"/>
    <x v="1"/>
    <x v="1"/>
    <x v="0"/>
    <n v="5.3699999999999992"/>
    <n v="16.11"/>
    <x v="1"/>
    <x v="1"/>
    <x v="1"/>
  </r>
  <r>
    <x v="812"/>
    <x v="493"/>
    <x v="493"/>
    <x v="0"/>
    <s v="37274-08534-FM"/>
    <s v="E-D-0.5"/>
    <n v="3"/>
    <x v="773"/>
    <s v="smcmillian8t@csmonitor.com"/>
    <x v="0"/>
    <x v="0"/>
    <x v="1"/>
    <x v="0"/>
    <n v="7.29"/>
    <n v="21.87"/>
    <x v="0"/>
    <x v="1"/>
    <x v="1"/>
  </r>
  <r>
    <x v="813"/>
    <x v="6"/>
    <x v="6"/>
    <x v="2"/>
    <s v="94573-61802-PH"/>
    <s v="E-L-2.5"/>
    <n v="2"/>
    <x v="774"/>
    <s v="searley4q@youku.com"/>
    <x v="1"/>
    <x v="0"/>
    <x v="0"/>
    <x v="3"/>
    <n v="34.154999999999994"/>
    <n v="68.309999999999988"/>
    <x v="0"/>
    <x v="0"/>
    <x v="1"/>
  </r>
  <r>
    <x v="814"/>
    <x v="618"/>
    <x v="618"/>
    <x v="0"/>
    <s v="69958-32065-SW"/>
    <s v="E-L-2.5"/>
    <n v="4"/>
    <x v="775"/>
    <s v="slist1y@mapquest.com"/>
    <x v="0"/>
    <x v="0"/>
    <x v="0"/>
    <x v="3"/>
    <n v="34.154999999999994"/>
    <n v="136.61999999999998"/>
    <x v="0"/>
    <x v="0"/>
    <x v="1"/>
  </r>
  <r>
    <x v="815"/>
    <x v="619"/>
    <x v="619"/>
    <x v="1"/>
    <s v="34570-99384-AF"/>
    <s v="R-D-2.5"/>
    <n v="4"/>
    <x v="776"/>
    <s v=""/>
    <x v="2"/>
    <x v="1"/>
    <x v="1"/>
    <x v="3"/>
    <n v="20.584999999999997"/>
    <n v="82.339999999999989"/>
    <x v="1"/>
    <x v="1"/>
    <x v="0"/>
  </r>
  <r>
    <x v="816"/>
    <x v="620"/>
    <x v="620"/>
    <x v="0"/>
    <s v="79463-01597-FQ"/>
    <s v="E-M-0.5"/>
    <n v="1"/>
    <x v="777"/>
    <s v=""/>
    <x v="0"/>
    <x v="0"/>
    <x v="2"/>
    <x v="0"/>
    <n v="8.25"/>
    <n v="8.25"/>
    <x v="0"/>
    <x v="2"/>
    <x v="1"/>
  </r>
  <r>
    <x v="817"/>
    <x v="621"/>
    <x v="621"/>
    <x v="0"/>
    <s v="40600-58915-WZ"/>
    <s v="L-M-0.5"/>
    <n v="5"/>
    <x v="778"/>
    <s v="sdanilchikl6@mit.edu"/>
    <x v="1"/>
    <x v="3"/>
    <x v="2"/>
    <x v="0"/>
    <n v="8.73"/>
    <n v="43.650000000000006"/>
    <x v="3"/>
    <x v="2"/>
    <x v="1"/>
  </r>
  <r>
    <x v="818"/>
    <x v="622"/>
    <x v="622"/>
    <x v="2"/>
    <s v="07250-63194-JO"/>
    <s v="A-M-1"/>
    <n v="1"/>
    <x v="779"/>
    <s v="scritchlow34@un.org"/>
    <x v="0"/>
    <x v="2"/>
    <x v="2"/>
    <x v="2"/>
    <n v="11.25"/>
    <n v="11.25"/>
    <x v="2"/>
    <x v="2"/>
    <x v="1"/>
  </r>
  <r>
    <x v="819"/>
    <x v="199"/>
    <x v="199"/>
    <x v="1"/>
    <s v="20236-64364-QL"/>
    <s v="L-L-2.5"/>
    <n v="2"/>
    <x v="780"/>
    <s v="scouronneh3@mozilla.org"/>
    <x v="0"/>
    <x v="3"/>
    <x v="0"/>
    <x v="3"/>
    <n v="36.454999999999998"/>
    <n v="72.91"/>
    <x v="3"/>
    <x v="0"/>
    <x v="0"/>
  </r>
  <r>
    <x v="820"/>
    <x v="124"/>
    <x v="124"/>
    <x v="3"/>
    <s v="65223-29612-CB"/>
    <s v="E-D-0.5"/>
    <n v="3"/>
    <x v="781"/>
    <s v="slobe6@nifty.com"/>
    <x v="0"/>
    <x v="0"/>
    <x v="1"/>
    <x v="0"/>
    <n v="7.29"/>
    <n v="21.87"/>
    <x v="0"/>
    <x v="1"/>
    <x v="0"/>
  </r>
  <r>
    <x v="821"/>
    <x v="127"/>
    <x v="127"/>
    <x v="1"/>
    <s v="66580-33745-OQ"/>
    <s v="E-L-0.5"/>
    <n v="2"/>
    <x v="782"/>
    <s v="sgehringjl@gnu.org"/>
    <x v="0"/>
    <x v="0"/>
    <x v="0"/>
    <x v="0"/>
    <n v="8.91"/>
    <n v="17.82"/>
    <x v="0"/>
    <x v="0"/>
    <x v="1"/>
  </r>
  <r>
    <x v="822"/>
    <x v="623"/>
    <x v="623"/>
    <x v="0"/>
    <s v="22503-52799-MI"/>
    <s v="L-M-0.5"/>
    <n v="4"/>
    <x v="783"/>
    <s v="stitleynu@whitehouse.gov"/>
    <x v="0"/>
    <x v="3"/>
    <x v="2"/>
    <x v="0"/>
    <n v="8.73"/>
    <n v="34.92"/>
    <x v="3"/>
    <x v="2"/>
    <x v="1"/>
  </r>
  <r>
    <x v="823"/>
    <x v="624"/>
    <x v="624"/>
    <x v="0"/>
    <s v="21141-12455-VB"/>
    <s v="A-M-0.5"/>
    <n v="2"/>
    <x v="784"/>
    <s v="sdejo@newsvine.com"/>
    <x v="0"/>
    <x v="2"/>
    <x v="2"/>
    <x v="0"/>
    <n v="6.75"/>
    <n v="13.5"/>
    <x v="2"/>
    <x v="2"/>
    <x v="0"/>
  </r>
  <r>
    <x v="824"/>
    <x v="137"/>
    <x v="137"/>
    <x v="0"/>
    <s v="78224-60622-KH"/>
    <s v="E-L-2.5"/>
    <n v="6"/>
    <x v="785"/>
    <s v="skeynd9o@narod.ru"/>
    <x v="0"/>
    <x v="0"/>
    <x v="0"/>
    <x v="3"/>
    <n v="34.154999999999994"/>
    <n v="204.92999999999995"/>
    <x v="0"/>
    <x v="0"/>
    <x v="1"/>
  </r>
  <r>
    <x v="825"/>
    <x v="625"/>
    <x v="625"/>
    <x v="0"/>
    <s v="76534-45229-SG"/>
    <s v="L-L-2.5"/>
    <n v="3"/>
    <x v="786"/>
    <s v="syann29@senate.gov"/>
    <x v="0"/>
    <x v="3"/>
    <x v="0"/>
    <x v="3"/>
    <n v="36.454999999999998"/>
    <n v="109.36499999999999"/>
    <x v="3"/>
    <x v="0"/>
    <x v="0"/>
  </r>
  <r>
    <x v="826"/>
    <x v="445"/>
    <x v="445"/>
    <x v="2"/>
    <s v="59741-90220-OW"/>
    <s v="R-D-0.5"/>
    <n v="5"/>
    <x v="787"/>
    <s v=""/>
    <x v="0"/>
    <x v="1"/>
    <x v="1"/>
    <x v="0"/>
    <n v="5.3699999999999992"/>
    <n v="26.849999999999994"/>
    <x v="1"/>
    <x v="1"/>
    <x v="0"/>
  </r>
  <r>
    <x v="827"/>
    <x v="392"/>
    <x v="392"/>
    <x v="2"/>
    <s v="87858-83734-RK"/>
    <s v="L-D-2.5"/>
    <n v="5"/>
    <x v="788"/>
    <s v="smosebyie@stanford.edu"/>
    <x v="0"/>
    <x v="3"/>
    <x v="1"/>
    <x v="3"/>
    <n v="29.784999999999997"/>
    <n v="148.92499999999998"/>
    <x v="3"/>
    <x v="1"/>
    <x v="1"/>
  </r>
  <r>
    <x v="828"/>
    <x v="626"/>
    <x v="626"/>
    <x v="2"/>
    <s v="17005-82030-EA"/>
    <s v="E-L-1"/>
    <n v="5"/>
    <x v="789"/>
    <s v="sweldsar@wired.com"/>
    <x v="0"/>
    <x v="0"/>
    <x v="0"/>
    <x v="2"/>
    <n v="14.85"/>
    <n v="74.25"/>
    <x v="0"/>
    <x v="0"/>
    <x v="0"/>
  </r>
  <r>
    <x v="829"/>
    <x v="455"/>
    <x v="455"/>
    <x v="2"/>
    <s v="69533-84907-FA"/>
    <s v="L-L-0.2"/>
    <n v="2"/>
    <x v="790"/>
    <s v="sedmondson1z@theguardian.com"/>
    <x v="2"/>
    <x v="3"/>
    <x v="0"/>
    <x v="1"/>
    <n v="4.7549999999999999"/>
    <n v="9.51"/>
    <x v="3"/>
    <x v="0"/>
    <x v="1"/>
  </r>
  <r>
    <x v="830"/>
    <x v="627"/>
    <x v="627"/>
    <x v="1"/>
    <s v="41505-42181-EF"/>
    <s v="E-D-1"/>
    <n v="3"/>
    <x v="791"/>
    <s v="srushbrooke6q@youku.com"/>
    <x v="0"/>
    <x v="0"/>
    <x v="1"/>
    <x v="2"/>
    <n v="12.15"/>
    <n v="36.450000000000003"/>
    <x v="0"/>
    <x v="1"/>
    <x v="0"/>
  </r>
  <r>
    <x v="831"/>
    <x v="276"/>
    <x v="276"/>
    <x v="0"/>
    <s v="22832-98538-RB"/>
    <s v="R-L-0.2"/>
    <n v="1"/>
    <x v="792"/>
    <s v="sgaweng7@creativecommons.org"/>
    <x v="0"/>
    <x v="1"/>
    <x v="0"/>
    <x v="1"/>
    <n v="3.5849999999999995"/>
    <n v="3.5849999999999995"/>
    <x v="1"/>
    <x v="0"/>
    <x v="0"/>
  </r>
  <r>
    <x v="832"/>
    <x v="266"/>
    <x v="266"/>
    <x v="2"/>
    <s v="13181-04387-LI"/>
    <s v="E-M-1"/>
    <n v="6"/>
    <x v="793"/>
    <s v="sbuschff@so-net.ne.jp"/>
    <x v="2"/>
    <x v="0"/>
    <x v="2"/>
    <x v="2"/>
    <n v="13.75"/>
    <n v="82.5"/>
    <x v="0"/>
    <x v="2"/>
    <x v="1"/>
  </r>
  <r>
    <x v="833"/>
    <x v="618"/>
    <x v="618"/>
    <x v="0"/>
    <s v="64988-20636-XQ"/>
    <s v="E-M-0.5"/>
    <n v="2"/>
    <x v="794"/>
    <s v=""/>
    <x v="1"/>
    <x v="0"/>
    <x v="2"/>
    <x v="0"/>
    <n v="8.25"/>
    <n v="16.5"/>
    <x v="0"/>
    <x v="2"/>
    <x v="1"/>
  </r>
  <r>
    <x v="834"/>
    <x v="628"/>
    <x v="628"/>
    <x v="3"/>
    <s v="47011-57815-HJ"/>
    <s v="A-L-0.5"/>
    <n v="3"/>
    <x v="795"/>
    <s v="smcshealy@photobucket.com"/>
    <x v="0"/>
    <x v="2"/>
    <x v="0"/>
    <x v="0"/>
    <n v="7.77"/>
    <n v="23.31"/>
    <x v="2"/>
    <x v="0"/>
    <x v="1"/>
  </r>
  <r>
    <x v="835"/>
    <x v="629"/>
    <x v="629"/>
    <x v="2"/>
    <s v="07972-83134-NM"/>
    <s v="E-D-0.2"/>
    <n v="6"/>
    <x v="796"/>
    <s v="snortheast7f@mashable.com"/>
    <x v="0"/>
    <x v="0"/>
    <x v="1"/>
    <x v="1"/>
    <n v="3.645"/>
    <n v="21.87"/>
    <x v="0"/>
    <x v="1"/>
    <x v="0"/>
  </r>
  <r>
    <x v="836"/>
    <x v="465"/>
    <x v="465"/>
    <x v="0"/>
    <s v="96516-97464-MF"/>
    <s v="E-L-0.2"/>
    <n v="2"/>
    <x v="797"/>
    <s v="senefermm@blog.com"/>
    <x v="0"/>
    <x v="0"/>
    <x v="0"/>
    <x v="1"/>
    <n v="4.4550000000000001"/>
    <n v="8.91"/>
    <x v="0"/>
    <x v="0"/>
    <x v="1"/>
  </r>
  <r>
    <x v="837"/>
    <x v="630"/>
    <x v="630"/>
    <x v="2"/>
    <s v="59367-30821-ZQ"/>
    <s v="L-M-0.2"/>
    <n v="2"/>
    <x v="798"/>
    <s v=""/>
    <x v="0"/>
    <x v="3"/>
    <x v="2"/>
    <x v="1"/>
    <n v="4.3650000000000002"/>
    <n v="8.73"/>
    <x v="3"/>
    <x v="2"/>
    <x v="0"/>
  </r>
  <r>
    <x v="838"/>
    <x v="631"/>
    <x v="631"/>
    <x v="0"/>
    <s v="13694-25001-LX"/>
    <s v="L-L-0.5"/>
    <n v="3"/>
    <x v="799"/>
    <s v="sstrase11@booking.com"/>
    <x v="0"/>
    <x v="3"/>
    <x v="0"/>
    <x v="0"/>
    <n v="9.51"/>
    <n v="28.53"/>
    <x v="3"/>
    <x v="0"/>
    <x v="1"/>
  </r>
  <r>
    <x v="839"/>
    <x v="459"/>
    <x v="459"/>
    <x v="2"/>
    <s v="60748-46813-DZ"/>
    <s v="L-L-0.2"/>
    <n v="5"/>
    <x v="800"/>
    <s v="spamphilonci@mlb.com"/>
    <x v="2"/>
    <x v="3"/>
    <x v="0"/>
    <x v="1"/>
    <n v="4.7549999999999999"/>
    <n v="23.774999999999999"/>
    <x v="3"/>
    <x v="0"/>
    <x v="1"/>
  </r>
  <r>
    <x v="840"/>
    <x v="632"/>
    <x v="632"/>
    <x v="3"/>
    <s v="69410-04668-MA"/>
    <s v="A-D-0.5"/>
    <n v="5"/>
    <x v="801"/>
    <s v="scaponkx@craigslist.org"/>
    <x v="0"/>
    <x v="2"/>
    <x v="1"/>
    <x v="0"/>
    <n v="5.97"/>
    <n v="29.849999999999998"/>
    <x v="2"/>
    <x v="1"/>
    <x v="1"/>
  </r>
  <r>
    <x v="841"/>
    <x v="633"/>
    <x v="633"/>
    <x v="0"/>
    <s v="23600-98432-ME"/>
    <s v="L-M-0.2"/>
    <n v="2"/>
    <x v="802"/>
    <s v=""/>
    <x v="0"/>
    <x v="3"/>
    <x v="2"/>
    <x v="1"/>
    <n v="4.3650000000000002"/>
    <n v="8.73"/>
    <x v="3"/>
    <x v="2"/>
    <x v="0"/>
  </r>
  <r>
    <x v="842"/>
    <x v="634"/>
    <x v="634"/>
    <x v="3"/>
    <s v="51940-02669-OR"/>
    <s v="L-L-1"/>
    <n v="3"/>
    <x v="803"/>
    <s v=""/>
    <x v="2"/>
    <x v="3"/>
    <x v="0"/>
    <x v="2"/>
    <n v="15.85"/>
    <n v="47.55"/>
    <x v="3"/>
    <x v="0"/>
    <x v="1"/>
  </r>
  <r>
    <x v="843"/>
    <x v="635"/>
    <x v="635"/>
    <x v="2"/>
    <s v="25544-84179-QC"/>
    <s v="R-L-0.5"/>
    <n v="5"/>
    <x v="804"/>
    <s v="smorrallnq@answers.com"/>
    <x v="0"/>
    <x v="1"/>
    <x v="0"/>
    <x v="0"/>
    <n v="7.169999999999999"/>
    <n v="35.849999999999994"/>
    <x v="1"/>
    <x v="0"/>
    <x v="0"/>
  </r>
  <r>
    <x v="844"/>
    <x v="636"/>
    <x v="636"/>
    <x v="1"/>
    <s v="06552-04430-AG"/>
    <s v="R-M-0.5"/>
    <n v="6"/>
    <x v="805"/>
    <s v="sfarnishdp@dmoz.org"/>
    <x v="1"/>
    <x v="1"/>
    <x v="2"/>
    <x v="0"/>
    <n v="5.97"/>
    <n v="35.82"/>
    <x v="1"/>
    <x v="2"/>
    <x v="1"/>
  </r>
  <r>
    <x v="845"/>
    <x v="178"/>
    <x v="178"/>
    <x v="1"/>
    <s v="96503-31833-CW"/>
    <s v="L-D-0.5"/>
    <n v="3"/>
    <x v="806"/>
    <s v="sjeyness8y@biglobe.ne.jp"/>
    <x v="2"/>
    <x v="3"/>
    <x v="1"/>
    <x v="0"/>
    <n v="7.77"/>
    <n v="23.31"/>
    <x v="3"/>
    <x v="1"/>
    <x v="1"/>
  </r>
  <r>
    <x v="846"/>
    <x v="637"/>
    <x v="637"/>
    <x v="2"/>
    <s v="28932-49296-TM"/>
    <s v="E-D-0.5"/>
    <n v="2"/>
    <x v="807"/>
    <s v="sdivinyau@ask.com"/>
    <x v="0"/>
    <x v="0"/>
    <x v="1"/>
    <x v="0"/>
    <n v="7.29"/>
    <n v="14.58"/>
    <x v="0"/>
    <x v="1"/>
    <x v="0"/>
  </r>
  <r>
    <x v="847"/>
    <x v="638"/>
    <x v="638"/>
    <x v="0"/>
    <s v="68346-14810-UA"/>
    <s v="E-L-0.5"/>
    <n v="6"/>
    <x v="808"/>
    <s v=""/>
    <x v="0"/>
    <x v="0"/>
    <x v="0"/>
    <x v="0"/>
    <n v="8.91"/>
    <n v="53.46"/>
    <x v="0"/>
    <x v="0"/>
    <x v="1"/>
  </r>
  <r>
    <x v="848"/>
    <x v="448"/>
    <x v="448"/>
    <x v="2"/>
    <s v="47725-34771-FJ"/>
    <s v="R-D-1"/>
    <n v="5"/>
    <x v="809"/>
    <s v=""/>
    <x v="0"/>
    <x v="1"/>
    <x v="1"/>
    <x v="2"/>
    <n v="8.9499999999999993"/>
    <n v="44.75"/>
    <x v="1"/>
    <x v="1"/>
    <x v="1"/>
  </r>
  <r>
    <x v="849"/>
    <x v="639"/>
    <x v="639"/>
    <x v="1"/>
    <s v="15776-91507-GT"/>
    <s v="L-L-0.2"/>
    <n v="2"/>
    <x v="810"/>
    <s v="sbarribalcn@microsoft.com"/>
    <x v="2"/>
    <x v="3"/>
    <x v="0"/>
    <x v="1"/>
    <n v="4.7549999999999999"/>
    <n v="9.51"/>
    <x v="3"/>
    <x v="0"/>
    <x v="0"/>
  </r>
  <r>
    <x v="850"/>
    <x v="126"/>
    <x v="126"/>
    <x v="0"/>
    <s v="87979-56781-YV"/>
    <s v="L-M-0.2"/>
    <n v="5"/>
    <x v="811"/>
    <s v="srodliff3g@ted.com"/>
    <x v="0"/>
    <x v="3"/>
    <x v="2"/>
    <x v="1"/>
    <n v="4.3650000000000002"/>
    <n v="21.825000000000003"/>
    <x v="3"/>
    <x v="2"/>
    <x v="0"/>
  </r>
  <r>
    <x v="851"/>
    <x v="640"/>
    <x v="640"/>
    <x v="2"/>
    <s v="04521-04300-OK"/>
    <s v="L-M-0.5"/>
    <n v="3"/>
    <x v="812"/>
    <s v="sgilroy1n@eepurl.com"/>
    <x v="0"/>
    <x v="3"/>
    <x v="2"/>
    <x v="0"/>
    <n v="8.73"/>
    <n v="26.19"/>
    <x v="3"/>
    <x v="2"/>
    <x v="0"/>
  </r>
  <r>
    <x v="852"/>
    <x v="641"/>
    <x v="641"/>
    <x v="0"/>
    <s v="00256-19905-YG"/>
    <s v="A-M-0.5"/>
    <n v="6"/>
    <x v="813"/>
    <s v=""/>
    <x v="2"/>
    <x v="2"/>
    <x v="2"/>
    <x v="0"/>
    <n v="6.75"/>
    <n v="40.5"/>
    <x v="2"/>
    <x v="2"/>
    <x v="1"/>
  </r>
  <r>
    <x v="853"/>
    <x v="469"/>
    <x v="469"/>
    <x v="2"/>
    <s v="09818-59895-EH"/>
    <s v="E-D-2.5"/>
    <n v="5"/>
    <x v="814"/>
    <s v="skeetsde@answers.com"/>
    <x v="0"/>
    <x v="0"/>
    <x v="1"/>
    <x v="3"/>
    <n v="27.945"/>
    <n v="139.72499999999999"/>
    <x v="0"/>
    <x v="1"/>
    <x v="0"/>
  </r>
  <r>
    <x v="854"/>
    <x v="43"/>
    <x v="43"/>
    <x v="0"/>
    <s v="23187-65750-HZ"/>
    <s v="R-M-1"/>
    <n v="6"/>
    <x v="815"/>
    <s v="sarpinep@moonfruit.com"/>
    <x v="0"/>
    <x v="1"/>
    <x v="2"/>
    <x v="2"/>
    <n v="9.9499999999999993"/>
    <n v="59.699999999999996"/>
    <x v="1"/>
    <x v="2"/>
    <x v="1"/>
  </r>
  <r>
    <x v="855"/>
    <x v="642"/>
    <x v="642"/>
    <x v="3"/>
    <s v="58443-95866-YO"/>
    <s v="E-M-0.5"/>
    <n v="3"/>
    <x v="816"/>
    <s v="scountjq@nba.com"/>
    <x v="0"/>
    <x v="0"/>
    <x v="2"/>
    <x v="0"/>
    <n v="8.25"/>
    <n v="24.75"/>
    <x v="0"/>
    <x v="2"/>
    <x v="1"/>
  </r>
  <r>
    <x v="856"/>
    <x v="643"/>
    <x v="643"/>
    <x v="0"/>
    <s v="74126-88836-KA"/>
    <s v="L-M-0.5"/>
    <n v="3"/>
    <x v="817"/>
    <s v="swoodham3h@businesswire.com"/>
    <x v="2"/>
    <x v="3"/>
    <x v="2"/>
    <x v="0"/>
    <n v="8.73"/>
    <n v="26.19"/>
    <x v="3"/>
    <x v="2"/>
    <x v="0"/>
  </r>
  <r>
    <x v="857"/>
    <x v="638"/>
    <x v="638"/>
    <x v="0"/>
    <s v="19383-33606-PW"/>
    <s v="R-L-0.5"/>
    <n v="3"/>
    <x v="818"/>
    <s v="sbollamlf@list-manage.com"/>
    <x v="0"/>
    <x v="1"/>
    <x v="0"/>
    <x v="0"/>
    <n v="7.169999999999999"/>
    <n v="21.509999999999998"/>
    <x v="1"/>
    <x v="0"/>
    <x v="1"/>
  </r>
  <r>
    <x v="858"/>
    <x v="52"/>
    <x v="52"/>
    <x v="2"/>
    <s v="23243-92649-RY"/>
    <s v="L-D-1"/>
    <n v="4"/>
    <x v="819"/>
    <s v="sjennaroyi8@purevolume.com"/>
    <x v="0"/>
    <x v="3"/>
    <x v="1"/>
    <x v="2"/>
    <n v="12.95"/>
    <n v="51.8"/>
    <x v="3"/>
    <x v="1"/>
    <x v="1"/>
  </r>
  <r>
    <x v="859"/>
    <x v="311"/>
    <x v="311"/>
    <x v="2"/>
    <s v="08743-09057-OO"/>
    <s v="L-D-2.5"/>
    <n v="6"/>
    <x v="820"/>
    <s v="tfelip5m@typepad.com"/>
    <x v="0"/>
    <x v="3"/>
    <x v="1"/>
    <x v="3"/>
    <n v="29.784999999999997"/>
    <n v="178.70999999999998"/>
    <x v="3"/>
    <x v="1"/>
    <x v="0"/>
  </r>
  <r>
    <x v="860"/>
    <x v="161"/>
    <x v="161"/>
    <x v="3"/>
    <s v="62682-27930-PD"/>
    <s v="E-M-0.5"/>
    <n v="5"/>
    <x v="821"/>
    <s v="tfero4n@comsenz.com"/>
    <x v="0"/>
    <x v="0"/>
    <x v="2"/>
    <x v="0"/>
    <n v="8.25"/>
    <n v="41.25"/>
    <x v="0"/>
    <x v="2"/>
    <x v="0"/>
  </r>
  <r>
    <x v="861"/>
    <x v="127"/>
    <x v="127"/>
    <x v="1"/>
    <s v="14307-87663-KB"/>
    <s v="E-D-0.5"/>
    <n v="4"/>
    <x v="822"/>
    <s v="tdrynan6r@deviantart.com"/>
    <x v="0"/>
    <x v="0"/>
    <x v="1"/>
    <x v="0"/>
    <n v="7.29"/>
    <n v="29.16"/>
    <x v="0"/>
    <x v="1"/>
    <x v="0"/>
  </r>
  <r>
    <x v="862"/>
    <x v="372"/>
    <x v="372"/>
    <x v="1"/>
    <s v="34665-62561-AU"/>
    <s v="R-L-2.5"/>
    <n v="1"/>
    <x v="823"/>
    <s v="ttaffarello78@sciencedaily.com"/>
    <x v="0"/>
    <x v="1"/>
    <x v="0"/>
    <x v="3"/>
    <n v="27.484999999999996"/>
    <n v="27.484999999999996"/>
    <x v="1"/>
    <x v="0"/>
    <x v="0"/>
  </r>
  <r>
    <x v="863"/>
    <x v="401"/>
    <x v="401"/>
    <x v="1"/>
    <s v="46681-78850-ZW"/>
    <s v="A-D-1"/>
    <n v="4"/>
    <x v="824"/>
    <s v="tcraggsb8@house.gov"/>
    <x v="2"/>
    <x v="2"/>
    <x v="1"/>
    <x v="2"/>
    <n v="9.9499999999999993"/>
    <n v="39.799999999999997"/>
    <x v="2"/>
    <x v="1"/>
    <x v="1"/>
  </r>
  <r>
    <x v="864"/>
    <x v="350"/>
    <x v="350"/>
    <x v="2"/>
    <s v="40535-56770-UM"/>
    <s v="L-D-1"/>
    <n v="3"/>
    <x v="825"/>
    <s v="tmenaryp7@phoca.cz"/>
    <x v="0"/>
    <x v="3"/>
    <x v="1"/>
    <x v="2"/>
    <n v="12.95"/>
    <n v="38.849999999999994"/>
    <x v="3"/>
    <x v="1"/>
    <x v="1"/>
  </r>
  <r>
    <x v="865"/>
    <x v="644"/>
    <x v="644"/>
    <x v="3"/>
    <s v="16123-07017-TY"/>
    <s v="E-L-2.5"/>
    <n v="6"/>
    <x v="826"/>
    <s v="tcrowthe7n@europa.eu"/>
    <x v="0"/>
    <x v="0"/>
    <x v="0"/>
    <x v="3"/>
    <n v="34.154999999999994"/>
    <n v="204.92999999999995"/>
    <x v="0"/>
    <x v="0"/>
    <x v="1"/>
  </r>
  <r>
    <x v="866"/>
    <x v="200"/>
    <x v="200"/>
    <x v="0"/>
    <s v="54462-58311-YF"/>
    <s v="L-M-0.5"/>
    <n v="4"/>
    <x v="827"/>
    <s v="tquadrikr@opensource.org"/>
    <x v="2"/>
    <x v="3"/>
    <x v="2"/>
    <x v="0"/>
    <n v="8.73"/>
    <n v="34.92"/>
    <x v="3"/>
    <x v="2"/>
    <x v="0"/>
  </r>
  <r>
    <x v="867"/>
    <x v="645"/>
    <x v="645"/>
    <x v="0"/>
    <s v="19524-21432-XP"/>
    <s v="E-L-2.5"/>
    <n v="2"/>
    <x v="828"/>
    <s v="tcastiglionegz@xing.com"/>
    <x v="0"/>
    <x v="0"/>
    <x v="0"/>
    <x v="3"/>
    <n v="34.154999999999994"/>
    <n v="68.309999999999988"/>
    <x v="0"/>
    <x v="0"/>
    <x v="1"/>
  </r>
  <r>
    <x v="868"/>
    <x v="646"/>
    <x v="646"/>
    <x v="1"/>
    <s v="39396-12890-PE"/>
    <s v="R-D-2.5"/>
    <n v="2"/>
    <x v="829"/>
    <s v="tvanyutind@wix.com"/>
    <x v="0"/>
    <x v="1"/>
    <x v="1"/>
    <x v="3"/>
    <n v="20.584999999999997"/>
    <n v="41.169999999999995"/>
    <x v="1"/>
    <x v="1"/>
    <x v="1"/>
  </r>
  <r>
    <x v="869"/>
    <x v="647"/>
    <x v="647"/>
    <x v="2"/>
    <s v="62741-01322-HU"/>
    <s v="A-M-1"/>
    <n v="4"/>
    <x v="830"/>
    <s v="tomoylan9c@liveinternet.ru"/>
    <x v="1"/>
    <x v="2"/>
    <x v="2"/>
    <x v="2"/>
    <n v="11.25"/>
    <n v="45"/>
    <x v="2"/>
    <x v="2"/>
    <x v="1"/>
  </r>
  <r>
    <x v="870"/>
    <x v="370"/>
    <x v="370"/>
    <x v="2"/>
    <s v="16880-78077-FB"/>
    <s v="A-L-1"/>
    <n v="6"/>
    <x v="831"/>
    <s v="tfarraac@behance.net"/>
    <x v="0"/>
    <x v="2"/>
    <x v="0"/>
    <x v="2"/>
    <n v="12.95"/>
    <n v="77.699999999999989"/>
    <x v="2"/>
    <x v="0"/>
    <x v="1"/>
  </r>
  <r>
    <x v="871"/>
    <x v="327"/>
    <x v="327"/>
    <x v="1"/>
    <s v="16880-78077-FB"/>
    <s v="R-L-0.5"/>
    <n v="6"/>
    <x v="831"/>
    <s v="tfarraac@behance.net"/>
    <x v="0"/>
    <x v="1"/>
    <x v="0"/>
    <x v="0"/>
    <n v="7.169999999999999"/>
    <n v="43.019999999999996"/>
    <x v="1"/>
    <x v="0"/>
    <x v="1"/>
  </r>
  <r>
    <x v="872"/>
    <x v="648"/>
    <x v="648"/>
    <x v="1"/>
    <s v="16880-78077-FB"/>
    <s v="L-D-0.5"/>
    <n v="4"/>
    <x v="831"/>
    <s v="tfarraac@behance.net"/>
    <x v="0"/>
    <x v="3"/>
    <x v="1"/>
    <x v="0"/>
    <n v="7.77"/>
    <n v="31.08"/>
    <x v="3"/>
    <x v="1"/>
    <x v="1"/>
  </r>
  <r>
    <x v="872"/>
    <x v="648"/>
    <x v="648"/>
    <x v="1"/>
    <s v="16880-78077-FB"/>
    <s v="A-D-2.5"/>
    <n v="6"/>
    <x v="831"/>
    <s v="tfarraac@behance.net"/>
    <x v="0"/>
    <x v="2"/>
    <x v="1"/>
    <x v="3"/>
    <n v="22.884999999999998"/>
    <n v="137.31"/>
    <x v="2"/>
    <x v="1"/>
    <x v="1"/>
  </r>
  <r>
    <x v="873"/>
    <x v="302"/>
    <x v="302"/>
    <x v="2"/>
    <s v="53386-94266-LJ"/>
    <s v="L-D-2.5"/>
    <n v="4"/>
    <x v="832"/>
    <s v=""/>
    <x v="0"/>
    <x v="3"/>
    <x v="1"/>
    <x v="3"/>
    <n v="29.784999999999997"/>
    <n v="119.13999999999999"/>
    <x v="3"/>
    <x v="1"/>
    <x v="0"/>
  </r>
  <r>
    <x v="874"/>
    <x v="649"/>
    <x v="649"/>
    <x v="0"/>
    <s v="22305-40299-CY"/>
    <s v="L-D-0.5"/>
    <n v="1"/>
    <x v="833"/>
    <s v="tsheryn31@mtv.com"/>
    <x v="0"/>
    <x v="3"/>
    <x v="1"/>
    <x v="0"/>
    <n v="7.77"/>
    <n v="7.77"/>
    <x v="3"/>
    <x v="1"/>
    <x v="0"/>
  </r>
  <r>
    <x v="875"/>
    <x v="650"/>
    <x v="650"/>
    <x v="1"/>
    <s v="25181-97933-UX"/>
    <s v="A-D-0.5"/>
    <n v="3"/>
    <x v="834"/>
    <s v="tcastagnekn@wikia.com"/>
    <x v="0"/>
    <x v="2"/>
    <x v="1"/>
    <x v="0"/>
    <n v="5.97"/>
    <n v="17.91"/>
    <x v="2"/>
    <x v="1"/>
    <x v="1"/>
  </r>
  <r>
    <x v="876"/>
    <x v="651"/>
    <x v="651"/>
    <x v="1"/>
    <s v="53864-36201-FG"/>
    <s v="L-L-1"/>
    <n v="3"/>
    <x v="835"/>
    <s v="tbenediktovichmv@ebay.com"/>
    <x v="0"/>
    <x v="3"/>
    <x v="0"/>
    <x v="2"/>
    <n v="15.85"/>
    <n v="47.55"/>
    <x v="3"/>
    <x v="0"/>
    <x v="0"/>
  </r>
  <r>
    <x v="877"/>
    <x v="208"/>
    <x v="208"/>
    <x v="3"/>
    <s v="54004-04664-AA"/>
    <s v="A-M-2.5"/>
    <n v="2"/>
    <x v="836"/>
    <s v="tbennison8u@google.cn"/>
    <x v="0"/>
    <x v="2"/>
    <x v="2"/>
    <x v="3"/>
    <n v="25.874999999999996"/>
    <n v="51.749999999999993"/>
    <x v="2"/>
    <x v="2"/>
    <x v="0"/>
  </r>
  <r>
    <x v="878"/>
    <x v="652"/>
    <x v="652"/>
    <x v="1"/>
    <s v="04671-85591-RT"/>
    <s v="E-D-0.2"/>
    <n v="3"/>
    <x v="837"/>
    <s v="tgrizard1k@odnoklassniki.ru"/>
    <x v="0"/>
    <x v="0"/>
    <x v="1"/>
    <x v="1"/>
    <n v="3.645"/>
    <n v="10.935"/>
    <x v="0"/>
    <x v="1"/>
    <x v="0"/>
  </r>
  <r>
    <x v="879"/>
    <x v="653"/>
    <x v="653"/>
    <x v="2"/>
    <s v="50449-80974-BZ"/>
    <s v="E-L-0.2"/>
    <n v="5"/>
    <x v="838"/>
    <s v="tbownecb@unicef.org"/>
    <x v="2"/>
    <x v="0"/>
    <x v="0"/>
    <x v="1"/>
    <n v="4.4550000000000001"/>
    <n v="22.274999999999999"/>
    <x v="0"/>
    <x v="0"/>
    <x v="0"/>
  </r>
  <r>
    <x v="880"/>
    <x v="223"/>
    <x v="223"/>
    <x v="1"/>
    <s v="61323-91967-GG"/>
    <s v="L-D-0.5"/>
    <n v="6"/>
    <x v="839"/>
    <s v="tjacobovitziz@cbc.ca"/>
    <x v="0"/>
    <x v="3"/>
    <x v="1"/>
    <x v="0"/>
    <n v="7.77"/>
    <n v="46.62"/>
    <x v="3"/>
    <x v="1"/>
    <x v="1"/>
  </r>
  <r>
    <x v="881"/>
    <x v="654"/>
    <x v="654"/>
    <x v="3"/>
    <s v="00888-74814-UZ"/>
    <s v="A-D-0.5"/>
    <n v="3"/>
    <x v="840"/>
    <s v="tnewburys@usda.gov"/>
    <x v="2"/>
    <x v="2"/>
    <x v="1"/>
    <x v="0"/>
    <n v="5.97"/>
    <n v="17.91"/>
    <x v="2"/>
    <x v="1"/>
    <x v="1"/>
  </r>
  <r>
    <x v="882"/>
    <x v="412"/>
    <x v="412"/>
    <x v="0"/>
    <s v="75986-98864-EZ"/>
    <s v="A-D-0.2"/>
    <n v="1"/>
    <x v="841"/>
    <s v=""/>
    <x v="2"/>
    <x v="2"/>
    <x v="1"/>
    <x v="1"/>
    <n v="2.9849999999999999"/>
    <n v="2.9849999999999999"/>
    <x v="2"/>
    <x v="1"/>
    <x v="1"/>
  </r>
  <r>
    <x v="883"/>
    <x v="655"/>
    <x v="655"/>
    <x v="3"/>
    <s v="70879-00984-FJ"/>
    <s v="R-L-0.5"/>
    <n v="3"/>
    <x v="842"/>
    <s v="ttilzeyeb@hostgator.com"/>
    <x v="0"/>
    <x v="1"/>
    <x v="0"/>
    <x v="0"/>
    <n v="7.169999999999999"/>
    <n v="21.509999999999998"/>
    <x v="1"/>
    <x v="0"/>
    <x v="1"/>
  </r>
  <r>
    <x v="884"/>
    <x v="188"/>
    <x v="188"/>
    <x v="2"/>
    <s v="19017-95853-EK"/>
    <s v="A-M-0.5"/>
    <n v="1"/>
    <x v="843"/>
    <s v="twoofinden3k@businesswire.com"/>
    <x v="0"/>
    <x v="2"/>
    <x v="2"/>
    <x v="0"/>
    <n v="6.75"/>
    <n v="6.75"/>
    <x v="2"/>
    <x v="2"/>
    <x v="1"/>
  </r>
  <r>
    <x v="885"/>
    <x v="656"/>
    <x v="656"/>
    <x v="3"/>
    <s v="73017-69644-MS"/>
    <s v="L-L-0.2"/>
    <n v="2"/>
    <x v="844"/>
    <s v=""/>
    <x v="2"/>
    <x v="3"/>
    <x v="0"/>
    <x v="1"/>
    <n v="4.7549999999999999"/>
    <n v="9.51"/>
    <x v="3"/>
    <x v="0"/>
    <x v="1"/>
  </r>
  <r>
    <x v="886"/>
    <x v="657"/>
    <x v="657"/>
    <x v="3"/>
    <s v="11408-81032-UR"/>
    <s v="L-L-2.5"/>
    <n v="1"/>
    <x v="845"/>
    <s v="tsutty6i@google.es"/>
    <x v="0"/>
    <x v="3"/>
    <x v="0"/>
    <x v="3"/>
    <n v="36.454999999999998"/>
    <n v="36.454999999999998"/>
    <x v="3"/>
    <x v="0"/>
    <x v="1"/>
  </r>
  <r>
    <x v="887"/>
    <x v="658"/>
    <x v="658"/>
    <x v="0"/>
    <s v="64435-53100-WM"/>
    <s v="A-L-2.5"/>
    <n v="1"/>
    <x v="846"/>
    <s v="tcotmore9y@amazonaws.com"/>
    <x v="0"/>
    <x v="2"/>
    <x v="0"/>
    <x v="3"/>
    <n v="29.784999999999997"/>
    <n v="29.784999999999997"/>
    <x v="2"/>
    <x v="0"/>
    <x v="1"/>
  </r>
  <r>
    <x v="888"/>
    <x v="82"/>
    <x v="82"/>
    <x v="2"/>
    <s v="87602-55754-VN"/>
    <s v="A-L-1"/>
    <n v="6"/>
    <x v="847"/>
    <s v="tgottelier2h@vistaprint.com"/>
    <x v="0"/>
    <x v="2"/>
    <x v="0"/>
    <x v="2"/>
    <n v="12.95"/>
    <n v="77.699999999999989"/>
    <x v="2"/>
    <x v="0"/>
    <x v="1"/>
  </r>
  <r>
    <x v="889"/>
    <x v="659"/>
    <x v="659"/>
    <x v="2"/>
    <s v="55232-81621-BX"/>
    <s v="E-M-0.2"/>
    <n v="2"/>
    <x v="848"/>
    <s v="twalas53@google.ca"/>
    <x v="0"/>
    <x v="0"/>
    <x v="2"/>
    <x v="1"/>
    <n v="4.125"/>
    <n v="8.25"/>
    <x v="0"/>
    <x v="2"/>
    <x v="1"/>
  </r>
  <r>
    <x v="890"/>
    <x v="660"/>
    <x v="660"/>
    <x v="1"/>
    <s v="86768-91598-FA"/>
    <s v="L-D-0.2"/>
    <n v="4"/>
    <x v="849"/>
    <s v="tjedrachowicz8d@acquirethisname.com"/>
    <x v="0"/>
    <x v="3"/>
    <x v="1"/>
    <x v="1"/>
    <n v="3.8849999999999998"/>
    <n v="15.54"/>
    <x v="3"/>
    <x v="1"/>
    <x v="0"/>
  </r>
  <r>
    <x v="891"/>
    <x v="257"/>
    <x v="257"/>
    <x v="3"/>
    <s v="79814-23626-JR"/>
    <s v="A-L-2.5"/>
    <n v="1"/>
    <x v="850"/>
    <s v="tle91@epa.gov"/>
    <x v="0"/>
    <x v="2"/>
    <x v="0"/>
    <x v="3"/>
    <n v="29.784999999999997"/>
    <n v="29.784999999999997"/>
    <x v="2"/>
    <x v="0"/>
    <x v="0"/>
  </r>
  <r>
    <x v="892"/>
    <x v="602"/>
    <x v="602"/>
    <x v="3"/>
    <s v="41252-45992-VS"/>
    <s v="L-M-0.2"/>
    <n v="1"/>
    <x v="851"/>
    <s v="ttewelsonnd@cdbaby.com"/>
    <x v="0"/>
    <x v="3"/>
    <x v="2"/>
    <x v="1"/>
    <n v="4.3650000000000002"/>
    <n v="4.3650000000000002"/>
    <x v="3"/>
    <x v="2"/>
    <x v="1"/>
  </r>
  <r>
    <x v="893"/>
    <x v="530"/>
    <x v="530"/>
    <x v="2"/>
    <s v="52143-35672-JF"/>
    <s v="R-L-2.5"/>
    <n v="5"/>
    <x v="852"/>
    <s v="tmathonneti0@google.co.jp"/>
    <x v="0"/>
    <x v="1"/>
    <x v="0"/>
    <x v="3"/>
    <n v="27.484999999999996"/>
    <n v="137.42499999999998"/>
    <x v="1"/>
    <x v="0"/>
    <x v="1"/>
  </r>
  <r>
    <x v="894"/>
    <x v="661"/>
    <x v="661"/>
    <x v="1"/>
    <s v="52143-35672-JF"/>
    <s v="R-D-0.2"/>
    <n v="6"/>
    <x v="852"/>
    <s v="tmathonneti0@google.co.jp"/>
    <x v="0"/>
    <x v="1"/>
    <x v="1"/>
    <x v="1"/>
    <n v="2.6849999999999996"/>
    <n v="16.11"/>
    <x v="1"/>
    <x v="1"/>
    <x v="1"/>
  </r>
  <r>
    <x v="895"/>
    <x v="557"/>
    <x v="557"/>
    <x v="3"/>
    <s v="84493-71314-WX"/>
    <s v="E-L-0.2"/>
    <n v="3"/>
    <x v="853"/>
    <s v="tzanettig2@gravatar.com"/>
    <x v="2"/>
    <x v="0"/>
    <x v="0"/>
    <x v="1"/>
    <n v="4.4550000000000001"/>
    <n v="13.365"/>
    <x v="0"/>
    <x v="0"/>
    <x v="1"/>
  </r>
  <r>
    <x v="895"/>
    <x v="557"/>
    <x v="557"/>
    <x v="3"/>
    <s v="84493-71314-WX"/>
    <s v="A-M-0.5"/>
    <n v="5"/>
    <x v="853"/>
    <s v="tzanettig2@gravatar.com"/>
    <x v="2"/>
    <x v="2"/>
    <x v="2"/>
    <x v="0"/>
    <n v="6.75"/>
    <n v="33.75"/>
    <x v="2"/>
    <x v="2"/>
    <x v="1"/>
  </r>
  <r>
    <x v="896"/>
    <x v="253"/>
    <x v="253"/>
    <x v="1"/>
    <s v="33269-10023-CO"/>
    <s v="L-D-1"/>
    <n v="6"/>
    <x v="854"/>
    <s v="usoutherdenln@hao123.com"/>
    <x v="0"/>
    <x v="3"/>
    <x v="1"/>
    <x v="2"/>
    <n v="12.95"/>
    <n v="77.699999999999989"/>
    <x v="3"/>
    <x v="1"/>
    <x v="0"/>
  </r>
  <r>
    <x v="897"/>
    <x v="207"/>
    <x v="207"/>
    <x v="1"/>
    <s v="44981-99666-XB"/>
    <s v="L-L-0.5"/>
    <n v="6"/>
    <x v="855"/>
    <s v="uwelberryy@ebay.co.uk"/>
    <x v="1"/>
    <x v="3"/>
    <x v="0"/>
    <x v="0"/>
    <n v="9.51"/>
    <n v="57.06"/>
    <x v="3"/>
    <x v="0"/>
    <x v="0"/>
  </r>
  <r>
    <x v="898"/>
    <x v="369"/>
    <x v="369"/>
    <x v="3"/>
    <s v="90993-98984-JK"/>
    <s v="E-M-0.2"/>
    <n v="1"/>
    <x v="856"/>
    <s v="ulethbrigdo@hc360.com"/>
    <x v="0"/>
    <x v="0"/>
    <x v="2"/>
    <x v="1"/>
    <n v="4.125"/>
    <n v="4.125"/>
    <x v="0"/>
    <x v="2"/>
    <x v="0"/>
  </r>
  <r>
    <x v="899"/>
    <x v="329"/>
    <x v="329"/>
    <x v="1"/>
    <s v="56891-86662-UY"/>
    <s v="E-L-0.5"/>
    <n v="6"/>
    <x v="857"/>
    <s v="vwakelinic@unesco.org"/>
    <x v="0"/>
    <x v="0"/>
    <x v="0"/>
    <x v="0"/>
    <n v="8.91"/>
    <n v="53.46"/>
    <x v="0"/>
    <x v="0"/>
    <x v="1"/>
  </r>
  <r>
    <x v="900"/>
    <x v="662"/>
    <x v="662"/>
    <x v="1"/>
    <s v="75156-80911-YT"/>
    <s v="R-M-0.5"/>
    <n v="2"/>
    <x v="858"/>
    <s v="vstansburygc@unblog.fr"/>
    <x v="0"/>
    <x v="1"/>
    <x v="2"/>
    <x v="0"/>
    <n v="5.97"/>
    <n v="11.94"/>
    <x v="1"/>
    <x v="2"/>
    <x v="0"/>
  </r>
  <r>
    <x v="901"/>
    <x v="488"/>
    <x v="488"/>
    <x v="3"/>
    <s v="08694-57330-XR"/>
    <s v="L-D-2.5"/>
    <n v="1"/>
    <x v="859"/>
    <s v="vkundt3w@bigcartel.com"/>
    <x v="2"/>
    <x v="3"/>
    <x v="1"/>
    <x v="3"/>
    <n v="29.784999999999997"/>
    <n v="29.784999999999997"/>
    <x v="3"/>
    <x v="1"/>
    <x v="0"/>
  </r>
  <r>
    <x v="902"/>
    <x v="108"/>
    <x v="108"/>
    <x v="3"/>
    <s v="37490-01572-JW"/>
    <s v="L-L-0.2"/>
    <n v="1"/>
    <x v="860"/>
    <s v="vle5n@disqus.com"/>
    <x v="0"/>
    <x v="3"/>
    <x v="0"/>
    <x v="1"/>
    <n v="4.7549999999999999"/>
    <n v="4.7549999999999999"/>
    <x v="3"/>
    <x v="0"/>
    <x v="1"/>
  </r>
  <r>
    <x v="903"/>
    <x v="663"/>
    <x v="663"/>
    <x v="0"/>
    <s v="48854-01899-FN"/>
    <s v="R-D-0.2"/>
    <n v="3"/>
    <x v="861"/>
    <s v="vskulletah@tinyurl.com"/>
    <x v="2"/>
    <x v="1"/>
    <x v="1"/>
    <x v="1"/>
    <n v="2.6849999999999996"/>
    <n v="8.0549999999999997"/>
    <x v="1"/>
    <x v="1"/>
    <x v="1"/>
  </r>
  <r>
    <x v="904"/>
    <x v="664"/>
    <x v="664"/>
    <x v="0"/>
    <s v="39582-35773-ZJ"/>
    <s v="R-M-0.5"/>
    <n v="5"/>
    <x v="862"/>
    <s v="vupstoneei@google.pl"/>
    <x v="0"/>
    <x v="1"/>
    <x v="2"/>
    <x v="0"/>
    <n v="5.97"/>
    <n v="29.849999999999998"/>
    <x v="1"/>
    <x v="2"/>
    <x v="1"/>
  </r>
  <r>
    <x v="905"/>
    <x v="583"/>
    <x v="583"/>
    <x v="1"/>
    <s v="02009-87294-SY"/>
    <s v="E-M-1"/>
    <n v="5"/>
    <x v="863"/>
    <s v="vpolglasefd@about.me"/>
    <x v="0"/>
    <x v="0"/>
    <x v="2"/>
    <x v="2"/>
    <n v="13.75"/>
    <n v="68.75"/>
    <x v="0"/>
    <x v="2"/>
    <x v="1"/>
  </r>
  <r>
    <x v="906"/>
    <x v="1"/>
    <x v="1"/>
    <x v="1"/>
    <s v="31245-81098-PJ"/>
    <s v="E-M-1"/>
    <n v="3"/>
    <x v="864"/>
    <s v=""/>
    <x v="0"/>
    <x v="0"/>
    <x v="2"/>
    <x v="2"/>
    <n v="13.75"/>
    <n v="41.25"/>
    <x v="0"/>
    <x v="2"/>
    <x v="1"/>
  </r>
  <r>
    <x v="907"/>
    <x v="11"/>
    <x v="11"/>
    <x v="2"/>
    <s v="63411-51758-QC"/>
    <s v="R-L-1"/>
    <n v="3"/>
    <x v="865"/>
    <s v="vpawseyq6@tiny.cc"/>
    <x v="0"/>
    <x v="1"/>
    <x v="0"/>
    <x v="2"/>
    <n v="11.95"/>
    <n v="35.849999999999994"/>
    <x v="1"/>
    <x v="0"/>
    <x v="1"/>
  </r>
  <r>
    <x v="908"/>
    <x v="213"/>
    <x v="213"/>
    <x v="1"/>
    <s v="29050-93691-TS"/>
    <s v="A-D-0.2"/>
    <n v="2"/>
    <x v="866"/>
    <s v="vkirdsch2o@google.fr"/>
    <x v="0"/>
    <x v="2"/>
    <x v="1"/>
    <x v="1"/>
    <n v="2.9849999999999999"/>
    <n v="5.97"/>
    <x v="2"/>
    <x v="1"/>
    <x v="1"/>
  </r>
  <r>
    <x v="909"/>
    <x v="665"/>
    <x v="665"/>
    <x v="1"/>
    <s v="77131-58092-GE"/>
    <s v="E-M-0.2"/>
    <n v="3"/>
    <x v="867"/>
    <s v=""/>
    <x v="1"/>
    <x v="0"/>
    <x v="2"/>
    <x v="1"/>
    <n v="4.125"/>
    <n v="12.375"/>
    <x v="0"/>
    <x v="2"/>
    <x v="0"/>
  </r>
  <r>
    <x v="910"/>
    <x v="666"/>
    <x v="666"/>
    <x v="1"/>
    <s v="41054-59693-XE"/>
    <s v="L-L-0.5"/>
    <n v="2"/>
    <x v="868"/>
    <s v="vshoebothamkv@redcross.org"/>
    <x v="0"/>
    <x v="3"/>
    <x v="0"/>
    <x v="0"/>
    <n v="9.51"/>
    <n v="19.02"/>
    <x v="3"/>
    <x v="0"/>
    <x v="1"/>
  </r>
  <r>
    <x v="911"/>
    <x v="576"/>
    <x v="576"/>
    <x v="1"/>
    <s v="64852-04619-XZ"/>
    <s v="E-M-0.5"/>
    <n v="2"/>
    <x v="869"/>
    <s v=""/>
    <x v="2"/>
    <x v="0"/>
    <x v="2"/>
    <x v="0"/>
    <n v="8.25"/>
    <n v="16.5"/>
    <x v="0"/>
    <x v="2"/>
    <x v="1"/>
  </r>
  <r>
    <x v="912"/>
    <x v="432"/>
    <x v="432"/>
    <x v="1"/>
    <s v="36605-83052-WB"/>
    <s v="A-D-0.5"/>
    <n v="1"/>
    <x v="870"/>
    <s v="vhellmore7d@bbc.co.uk"/>
    <x v="0"/>
    <x v="2"/>
    <x v="1"/>
    <x v="0"/>
    <n v="5.97"/>
    <n v="5.97"/>
    <x v="2"/>
    <x v="1"/>
    <x v="0"/>
  </r>
  <r>
    <x v="913"/>
    <x v="667"/>
    <x v="667"/>
    <x v="2"/>
    <s v="68810-07329-EU"/>
    <s v="L-M-0.5"/>
    <n v="5"/>
    <x v="871"/>
    <s v="vbaumadierap@google.cn"/>
    <x v="0"/>
    <x v="3"/>
    <x v="2"/>
    <x v="0"/>
    <n v="8.73"/>
    <n v="43.650000000000006"/>
    <x v="3"/>
    <x v="2"/>
    <x v="0"/>
  </r>
  <r>
    <x v="914"/>
    <x v="335"/>
    <x v="335"/>
    <x v="0"/>
    <s v="50124-88608-EO"/>
    <s v="A-M-0.2"/>
    <n v="5"/>
    <x v="872"/>
    <s v="vdanneilr@mtv.com"/>
    <x v="2"/>
    <x v="2"/>
    <x v="2"/>
    <x v="1"/>
    <n v="3.375"/>
    <n v="16.875"/>
    <x v="2"/>
    <x v="2"/>
    <x v="1"/>
  </r>
  <r>
    <x v="915"/>
    <x v="668"/>
    <x v="668"/>
    <x v="0"/>
    <s v="81414-81273-DK"/>
    <s v="R-M-0.5"/>
    <n v="4"/>
    <x v="873"/>
    <s v="vceely99@auda.org.au"/>
    <x v="0"/>
    <x v="1"/>
    <x v="2"/>
    <x v="0"/>
    <n v="5.97"/>
    <n v="23.88"/>
    <x v="1"/>
    <x v="2"/>
    <x v="0"/>
  </r>
  <r>
    <x v="916"/>
    <x v="669"/>
    <x v="669"/>
    <x v="0"/>
    <s v="61437-83623-PZ"/>
    <s v="A-L-0.5"/>
    <n v="1"/>
    <x v="874"/>
    <s v="vdunningji@independent.co.uk"/>
    <x v="0"/>
    <x v="2"/>
    <x v="0"/>
    <x v="0"/>
    <n v="7.77"/>
    <n v="7.77"/>
    <x v="2"/>
    <x v="0"/>
    <x v="0"/>
  </r>
  <r>
    <x v="917"/>
    <x v="554"/>
    <x v="554"/>
    <x v="0"/>
    <s v="71364-35210-HS"/>
    <s v="L-M-0.5"/>
    <n v="1"/>
    <x v="875"/>
    <s v="wcholomince@about.com"/>
    <x v="1"/>
    <x v="3"/>
    <x v="2"/>
    <x v="0"/>
    <n v="8.73"/>
    <n v="8.73"/>
    <x v="3"/>
    <x v="2"/>
    <x v="0"/>
  </r>
  <r>
    <x v="918"/>
    <x v="670"/>
    <x v="670"/>
    <x v="3"/>
    <s v="55515-37571-RS"/>
    <s v="L-M-0.2"/>
    <n v="6"/>
    <x v="876"/>
    <s v="wstearleye1@census.gov"/>
    <x v="0"/>
    <x v="3"/>
    <x v="2"/>
    <x v="1"/>
    <n v="4.3650000000000002"/>
    <n v="26.19"/>
    <x v="3"/>
    <x v="2"/>
    <x v="1"/>
  </r>
  <r>
    <x v="919"/>
    <x v="493"/>
    <x v="493"/>
    <x v="0"/>
    <s v="94447-35885-HK"/>
    <s v="A-M-2.5"/>
    <n v="3"/>
    <x v="877"/>
    <s v="wbernthhe@miitbeian.gov.cn"/>
    <x v="0"/>
    <x v="2"/>
    <x v="2"/>
    <x v="3"/>
    <n v="25.874999999999996"/>
    <n v="77.624999999999986"/>
    <x v="2"/>
    <x v="2"/>
    <x v="1"/>
  </r>
  <r>
    <x v="920"/>
    <x v="636"/>
    <x v="636"/>
    <x v="1"/>
    <s v="48090-06534-HI"/>
    <s v="L-D-0.5"/>
    <n v="3"/>
    <x v="878"/>
    <s v="wedinborough66@github.io"/>
    <x v="0"/>
    <x v="3"/>
    <x v="1"/>
    <x v="0"/>
    <n v="7.77"/>
    <n v="23.31"/>
    <x v="3"/>
    <x v="1"/>
    <x v="1"/>
  </r>
  <r>
    <x v="921"/>
    <x v="671"/>
    <x v="671"/>
    <x v="1"/>
    <s v="90985-89807-RW"/>
    <s v="A-L-2.5"/>
    <n v="5"/>
    <x v="879"/>
    <s v="wpowleslandgt@soundcloud.com"/>
    <x v="0"/>
    <x v="2"/>
    <x v="0"/>
    <x v="3"/>
    <n v="29.784999999999997"/>
    <n v="148.92499999999998"/>
    <x v="2"/>
    <x v="0"/>
    <x v="0"/>
  </r>
  <r>
    <x v="922"/>
    <x v="672"/>
    <x v="672"/>
    <x v="3"/>
    <s v="43974-44760-QI"/>
    <s v="A-L-0.2"/>
    <n v="2"/>
    <x v="880"/>
    <s v="wmaddox7l@timesonline.co.uk"/>
    <x v="0"/>
    <x v="2"/>
    <x v="0"/>
    <x v="1"/>
    <n v="3.8849999999999998"/>
    <n v="7.77"/>
    <x v="2"/>
    <x v="0"/>
    <x v="1"/>
  </r>
  <r>
    <x v="923"/>
    <x v="652"/>
    <x v="652"/>
    <x v="1"/>
    <s v="19196-09748-DB"/>
    <s v="L-L-2.5"/>
    <n v="1"/>
    <x v="881"/>
    <s v="wspringallbh@jugem.jp"/>
    <x v="0"/>
    <x v="3"/>
    <x v="0"/>
    <x v="3"/>
    <n v="36.454999999999998"/>
    <n v="36.454999999999998"/>
    <x v="3"/>
    <x v="0"/>
    <x v="0"/>
  </r>
  <r>
    <x v="924"/>
    <x v="280"/>
    <x v="280"/>
    <x v="1"/>
    <s v="59122-08794-WT"/>
    <s v="A-M-0.2"/>
    <n v="2"/>
    <x v="882"/>
    <s v="whollingdaleaf@about.me"/>
    <x v="0"/>
    <x v="2"/>
    <x v="2"/>
    <x v="1"/>
    <n v="3.375"/>
    <n v="6.75"/>
    <x v="2"/>
    <x v="2"/>
    <x v="0"/>
  </r>
  <r>
    <x v="925"/>
    <x v="673"/>
    <x v="673"/>
    <x v="3"/>
    <s v="06058-48844-PI"/>
    <s v="E-M-2.5"/>
    <n v="4"/>
    <x v="883"/>
    <s v="wspeechlyem@amazon.com"/>
    <x v="0"/>
    <x v="0"/>
    <x v="2"/>
    <x v="3"/>
    <n v="31.624999999999996"/>
    <n v="126.49999999999999"/>
    <x v="0"/>
    <x v="2"/>
    <x v="0"/>
  </r>
  <r>
    <x v="926"/>
    <x v="674"/>
    <x v="674"/>
    <x v="0"/>
    <s v="37182-54930-XC"/>
    <s v="E-D-0.5"/>
    <n v="1"/>
    <x v="884"/>
    <s v="wgiorgioni9g@wikipedia.org"/>
    <x v="0"/>
    <x v="0"/>
    <x v="1"/>
    <x v="0"/>
    <n v="7.29"/>
    <n v="7.29"/>
    <x v="0"/>
    <x v="1"/>
    <x v="0"/>
  </r>
  <r>
    <x v="927"/>
    <x v="141"/>
    <x v="141"/>
    <x v="2"/>
    <s v="10142-55267-YO"/>
    <s v="R-L-0.2"/>
    <n v="3"/>
    <x v="885"/>
    <s v="wlightollersf9@baidu.com"/>
    <x v="0"/>
    <x v="1"/>
    <x v="0"/>
    <x v="1"/>
    <n v="3.5849999999999995"/>
    <n v="10.754999999999999"/>
    <x v="1"/>
    <x v="0"/>
    <x v="0"/>
  </r>
  <r>
    <x v="928"/>
    <x v="110"/>
    <x v="110"/>
    <x v="2"/>
    <s v="10142-55267-YO"/>
    <s v="E-L-0.2"/>
    <n v="4"/>
    <x v="885"/>
    <s v="wlightollersf9@baidu.com"/>
    <x v="0"/>
    <x v="0"/>
    <x v="0"/>
    <x v="1"/>
    <n v="4.4550000000000001"/>
    <n v="17.82"/>
    <x v="0"/>
    <x v="0"/>
    <x v="0"/>
  </r>
  <r>
    <x v="929"/>
    <x v="675"/>
    <x v="675"/>
    <x v="3"/>
    <s v="06624-54037-BQ"/>
    <s v="R-M-0.2"/>
    <n v="2"/>
    <x v="886"/>
    <s v="wleopoldqw@blogspot.com"/>
    <x v="0"/>
    <x v="1"/>
    <x v="2"/>
    <x v="1"/>
    <n v="2.9849999999999999"/>
    <n v="5.97"/>
    <x v="1"/>
    <x v="2"/>
    <x v="1"/>
  </r>
  <r>
    <x v="930"/>
    <x v="107"/>
    <x v="107"/>
    <x v="3"/>
    <s v="05501-86351-NX"/>
    <s v="L-D-2.5"/>
    <n v="3"/>
    <x v="887"/>
    <s v=""/>
    <x v="0"/>
    <x v="3"/>
    <x v="1"/>
    <x v="3"/>
    <n v="29.784999999999997"/>
    <n v="89.35499999999999"/>
    <x v="3"/>
    <x v="1"/>
    <x v="0"/>
  </r>
  <r>
    <x v="931"/>
    <x v="676"/>
    <x v="676"/>
    <x v="2"/>
    <s v="76263-95145-GJ"/>
    <s v="L-D-2.5"/>
    <n v="1"/>
    <x v="888"/>
    <s v=""/>
    <x v="0"/>
    <x v="3"/>
    <x v="1"/>
    <x v="3"/>
    <n v="29.784999999999997"/>
    <n v="29.784999999999997"/>
    <x v="3"/>
    <x v="1"/>
    <x v="1"/>
  </r>
  <r>
    <x v="932"/>
    <x v="166"/>
    <x v="166"/>
    <x v="0"/>
    <s v="97741-98924-KT"/>
    <s v="A-D-2.5"/>
    <n v="3"/>
    <x v="889"/>
    <s v="wharvisonjx@gizmodo.com"/>
    <x v="0"/>
    <x v="2"/>
    <x v="1"/>
    <x v="3"/>
    <n v="22.884999999999998"/>
    <n v="68.655000000000001"/>
    <x v="2"/>
    <x v="1"/>
    <x v="1"/>
  </r>
  <r>
    <x v="933"/>
    <x v="560"/>
    <x v="560"/>
    <x v="3"/>
    <s v="35256-12529-FT"/>
    <s v="L-D-1"/>
    <n v="4"/>
    <x v="890"/>
    <s v="wromao9w@chronoengine.com"/>
    <x v="0"/>
    <x v="3"/>
    <x v="1"/>
    <x v="2"/>
    <n v="12.95"/>
    <n v="51.8"/>
    <x v="3"/>
    <x v="1"/>
    <x v="0"/>
  </r>
  <r>
    <x v="934"/>
    <x v="677"/>
    <x v="677"/>
    <x v="2"/>
    <s v="14264-41252-SL"/>
    <s v="L-L-0.2"/>
    <n v="6"/>
    <x v="891"/>
    <s v="wpummeryq3@topsy.com"/>
    <x v="0"/>
    <x v="3"/>
    <x v="0"/>
    <x v="1"/>
    <n v="4.7549999999999999"/>
    <n v="28.53"/>
    <x v="3"/>
    <x v="0"/>
    <x v="1"/>
  </r>
  <r>
    <x v="935"/>
    <x v="447"/>
    <x v="447"/>
    <x v="0"/>
    <s v="21798-04171-XC"/>
    <s v="E-M-0.5"/>
    <n v="2"/>
    <x v="892"/>
    <s v="wcottierj3@cafepress.com"/>
    <x v="0"/>
    <x v="0"/>
    <x v="2"/>
    <x v="0"/>
    <n v="8.25"/>
    <n v="16.5"/>
    <x v="0"/>
    <x v="2"/>
    <x v="1"/>
  </r>
  <r>
    <x v="936"/>
    <x v="139"/>
    <x v="139"/>
    <x v="2"/>
    <s v="89490-75361-AF"/>
    <s v="A-D-2.5"/>
    <n v="4"/>
    <x v="893"/>
    <s v="wjallinpa@pcworld.com"/>
    <x v="0"/>
    <x v="2"/>
    <x v="1"/>
    <x v="3"/>
    <n v="22.884999999999998"/>
    <n v="91.539999999999992"/>
    <x v="2"/>
    <x v="1"/>
    <x v="1"/>
  </r>
  <r>
    <x v="937"/>
    <x v="141"/>
    <x v="141"/>
    <x v="2"/>
    <s v="39919-06540-ZI"/>
    <s v="E-L-2.5"/>
    <n v="2"/>
    <x v="894"/>
    <s v="wkeyse40@apple.com"/>
    <x v="0"/>
    <x v="0"/>
    <x v="0"/>
    <x v="3"/>
    <n v="34.154999999999994"/>
    <n v="68.309999999999988"/>
    <x v="0"/>
    <x v="0"/>
    <x v="0"/>
  </r>
  <r>
    <x v="938"/>
    <x v="133"/>
    <x v="133"/>
    <x v="3"/>
    <s v="17088-16989-PL"/>
    <s v="L-D-0.5"/>
    <n v="2"/>
    <x v="895"/>
    <s v="wrocheh7@xinhuanet.com"/>
    <x v="0"/>
    <x v="3"/>
    <x v="1"/>
    <x v="0"/>
    <n v="7.77"/>
    <n v="15.54"/>
    <x v="3"/>
    <x v="1"/>
    <x v="0"/>
  </r>
  <r>
    <x v="939"/>
    <x v="356"/>
    <x v="356"/>
    <x v="2"/>
    <s v="14121-20527-OJ"/>
    <s v="E-D-2.5"/>
    <n v="3"/>
    <x v="896"/>
    <s v="wransonbz@ted.com"/>
    <x v="2"/>
    <x v="0"/>
    <x v="1"/>
    <x v="3"/>
    <n v="27.945"/>
    <n v="83.835000000000008"/>
    <x v="0"/>
    <x v="1"/>
    <x v="0"/>
  </r>
  <r>
    <x v="940"/>
    <x v="294"/>
    <x v="294"/>
    <x v="1"/>
    <s v="39528-19971-OR"/>
    <s v="A-M-0.5"/>
    <n v="2"/>
    <x v="897"/>
    <s v="wplacei9@wsj.com"/>
    <x v="0"/>
    <x v="2"/>
    <x v="2"/>
    <x v="0"/>
    <n v="6.75"/>
    <n v="13.5"/>
    <x v="2"/>
    <x v="2"/>
    <x v="0"/>
  </r>
  <r>
    <x v="941"/>
    <x v="550"/>
    <x v="550"/>
    <x v="0"/>
    <s v="29581-13303-VB"/>
    <s v="R-L-0.5"/>
    <n v="4"/>
    <x v="898"/>
    <s v="wcalderom3@stumbleupon.com"/>
    <x v="0"/>
    <x v="1"/>
    <x v="0"/>
    <x v="0"/>
    <n v="7.169999999999999"/>
    <n v="28.679999999999996"/>
    <x v="1"/>
    <x v="0"/>
    <x v="1"/>
  </r>
  <r>
    <x v="942"/>
    <x v="678"/>
    <x v="678"/>
    <x v="1"/>
    <s v="44932-34838-RM"/>
    <s v="E-L-1"/>
    <n v="4"/>
    <x v="899"/>
    <s v="wfetherston9e@constantcontact.com"/>
    <x v="0"/>
    <x v="0"/>
    <x v="0"/>
    <x v="2"/>
    <n v="14.85"/>
    <n v="59.4"/>
    <x v="0"/>
    <x v="0"/>
    <x v="1"/>
  </r>
  <r>
    <x v="943"/>
    <x v="679"/>
    <x v="679"/>
    <x v="1"/>
    <s v="77876-28498-HI"/>
    <s v="A-L-0.5"/>
    <n v="5"/>
    <x v="900"/>
    <s v="xgibbonsb0@artisteer.com"/>
    <x v="0"/>
    <x v="2"/>
    <x v="0"/>
    <x v="0"/>
    <n v="7.77"/>
    <n v="38.849999999999994"/>
    <x v="2"/>
    <x v="0"/>
    <x v="1"/>
  </r>
  <r>
    <x v="944"/>
    <x v="284"/>
    <x v="284"/>
    <x v="2"/>
    <s v="64918-67725-MN"/>
    <s v="R-L-1"/>
    <n v="3"/>
    <x v="901"/>
    <s v="ybasillht@theguardian.com"/>
    <x v="0"/>
    <x v="1"/>
    <x v="0"/>
    <x v="2"/>
    <n v="11.95"/>
    <n v="35.849999999999994"/>
    <x v="1"/>
    <x v="0"/>
    <x v="0"/>
  </r>
  <r>
    <x v="945"/>
    <x v="680"/>
    <x v="680"/>
    <x v="2"/>
    <s v="16106-36039-QS"/>
    <s v="E-L-0.5"/>
    <n v="3"/>
    <x v="902"/>
    <s v="ydombrellbs@dedecms.com"/>
    <x v="0"/>
    <x v="0"/>
    <x v="0"/>
    <x v="0"/>
    <n v="8.91"/>
    <n v="26.73"/>
    <x v="0"/>
    <x v="0"/>
    <x v="0"/>
  </r>
  <r>
    <x v="946"/>
    <x v="621"/>
    <x v="621"/>
    <x v="0"/>
    <s v="44699-43836-UH"/>
    <s v="R-L-0.2"/>
    <n v="6"/>
    <x v="903"/>
    <s v="yskipsey9z@spotify.com"/>
    <x v="1"/>
    <x v="1"/>
    <x v="0"/>
    <x v="1"/>
    <n v="3.5849999999999995"/>
    <n v="21.509999999999998"/>
    <x v="1"/>
    <x v="0"/>
    <x v="1"/>
  </r>
  <r>
    <x v="947"/>
    <x v="354"/>
    <x v="354"/>
    <x v="2"/>
    <s v="95342-88311-SF"/>
    <s v="R-M-0.5"/>
    <n v="4"/>
    <x v="904"/>
    <s v="yburrellsqr@vinaora.com"/>
    <x v="0"/>
    <x v="1"/>
    <x v="2"/>
    <x v="0"/>
    <n v="5.97"/>
    <n v="23.88"/>
    <x v="1"/>
    <x v="2"/>
    <x v="0"/>
  </r>
  <r>
    <x v="948"/>
    <x v="681"/>
    <x v="681"/>
    <x v="0"/>
    <s v="30373-66619-CB"/>
    <s v="L-L-0.5"/>
    <n v="1"/>
    <x v="905"/>
    <s v="zsherewood2c@apache.org"/>
    <x v="0"/>
    <x v="3"/>
    <x v="0"/>
    <x v="0"/>
    <n v="9.51"/>
    <n v="9.51"/>
    <x v="3"/>
    <x v="0"/>
    <x v="1"/>
  </r>
  <r>
    <x v="949"/>
    <x v="682"/>
    <x v="682"/>
    <x v="2"/>
    <s v="12729-50170-JE"/>
    <s v="R-L-1"/>
    <n v="6"/>
    <x v="906"/>
    <s v="zcarlson7k@bigcartel.com"/>
    <x v="2"/>
    <x v="1"/>
    <x v="0"/>
    <x v="2"/>
    <n v="11.95"/>
    <n v="71.699999999999989"/>
    <x v="1"/>
    <x v="0"/>
    <x v="0"/>
  </r>
  <r>
    <x v="950"/>
    <x v="683"/>
    <x v="683"/>
    <x v="1"/>
    <s v="04666-71569-RI"/>
    <s v="L-L-1"/>
    <n v="1"/>
    <x v="907"/>
    <s v="zkiffe74@cyberchimps.com"/>
    <x v="0"/>
    <x v="3"/>
    <x v="0"/>
    <x v="2"/>
    <n v="15.85"/>
    <n v="15.85"/>
    <x v="3"/>
    <x v="0"/>
    <x v="0"/>
  </r>
  <r>
    <x v="951"/>
    <x v="684"/>
    <x v="684"/>
    <x v="1"/>
    <s v="04666-71569-RI"/>
    <s v="L-M-0.5"/>
    <n v="2"/>
    <x v="907"/>
    <s v="zkiffe74@cyberchimps.com"/>
    <x v="0"/>
    <x v="3"/>
    <x v="2"/>
    <x v="0"/>
    <n v="8.73"/>
    <n v="17.46"/>
    <x v="3"/>
    <x v="2"/>
    <x v="0"/>
  </r>
  <r>
    <x v="952"/>
    <x v="240"/>
    <x v="240"/>
    <x v="2"/>
    <s v="90882-88130-KQ"/>
    <s v="L-L-0.5"/>
    <n v="3"/>
    <x v="908"/>
    <s v="ztramelod@netlog.com"/>
    <x v="0"/>
    <x v="3"/>
    <x v="0"/>
    <x v="0"/>
    <n v="9.51"/>
    <n v="28.53"/>
    <x v="3"/>
    <x v="0"/>
    <x v="1"/>
  </r>
  <r>
    <x v="953"/>
    <x v="685"/>
    <x v="685"/>
    <x v="2"/>
    <s v="64897-79178-MH"/>
    <s v="A-M-2.5"/>
    <n v="4"/>
    <x v="909"/>
    <s v="zpellettf2@dailymotion.com"/>
    <x v="0"/>
    <x v="2"/>
    <x v="2"/>
    <x v="3"/>
    <n v="25.874999999999996"/>
    <n v="103.49999999999999"/>
    <x v="2"/>
    <x v="2"/>
    <x v="1"/>
  </r>
  <r>
    <x v="954"/>
    <x v="686"/>
    <x v="686"/>
    <x v="2"/>
    <s v="55427-08059-DF"/>
    <s v="R-D-0.2"/>
    <n v="1"/>
    <x v="910"/>
    <s v="zwalisiakqv@ucsd.edu"/>
    <x v="2"/>
    <x v="1"/>
    <x v="1"/>
    <x v="1"/>
    <n v="2.6849999999999996"/>
    <n v="2.6849999999999996"/>
    <x v="1"/>
    <x v="1"/>
    <x v="0"/>
  </r>
  <r>
    <x v="955"/>
    <x v="687"/>
    <x v="687"/>
    <x v="1"/>
    <s v="88992-49081-AT"/>
    <s v="R-L-2.5"/>
    <n v="3"/>
    <x v="911"/>
    <s v=""/>
    <x v="0"/>
    <x v="1"/>
    <x v="0"/>
    <x v="3"/>
    <n v="27.484999999999996"/>
    <n v="82.454999999999984"/>
    <x v="1"/>
    <x v="0"/>
    <x v="1"/>
  </r>
  <r>
    <x v="956"/>
    <x v="688"/>
    <x v="688"/>
    <x v="2"/>
    <s v="77634-13918-GJ"/>
    <s v="L-M-0.2"/>
    <n v="2"/>
    <x v="912"/>
    <s v="zponting10@altervista.org"/>
    <x v="0"/>
    <x v="3"/>
    <x v="2"/>
    <x v="1"/>
    <n v="4.3650000000000002"/>
    <n v="8.73"/>
    <x v="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A198BC-105F-4861-8D20-06789B5C136F}"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8">
  <location ref="A3:G18" firstHeaderRow="1" firstDataRow="2" firstDataCol="2"/>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items count="5">
        <item x="2"/>
        <item x="0"/>
        <item x="3"/>
        <item x="1"/>
        <item t="default"/>
      </items>
    </pivotField>
    <pivotField compact="0" outline="0" subtotalTop="0" showAll="0"/>
    <pivotField compact="0" numFmtId="166" outline="0" subtotalTop="0" showAll="0">
      <items count="5">
        <item x="1"/>
        <item x="0"/>
        <item x="2"/>
        <item x="3"/>
        <item t="default"/>
      </items>
    </pivotField>
    <pivotField compact="0" numFmtId="44" outline="0" subtotalTop="0" showAll="0"/>
    <pivotField dataField="1" compact="0" numFmtId="44" outline="0" subtotalTop="0" showAll="0"/>
    <pivotField axis="axisCol"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axis="axisRow" compact="0" outline="0" subtotalTop="0" showAll="0">
      <items count="7">
        <item sd="0" x="0"/>
        <item x="1"/>
        <item x="2"/>
        <item x="3"/>
        <item x="4"/>
        <item sd="0" x="5"/>
        <item t="default"/>
      </items>
    </pivotField>
  </pivotFields>
  <rowFields count="2">
    <field x="21"/>
    <field x="20"/>
  </rowFields>
  <rowItems count="14">
    <i>
      <x v="1"/>
      <x v="1"/>
    </i>
    <i r="1">
      <x v="2"/>
    </i>
    <i r="1">
      <x v="3"/>
    </i>
    <i r="1">
      <x v="4"/>
    </i>
    <i r="1">
      <x v="5"/>
    </i>
    <i r="1">
      <x v="6"/>
    </i>
    <i r="1">
      <x v="7"/>
    </i>
    <i r="1">
      <x v="8"/>
    </i>
    <i r="1">
      <x v="9"/>
    </i>
    <i r="1">
      <x v="10"/>
    </i>
    <i r="1">
      <x v="11"/>
    </i>
    <i r="1">
      <x v="12"/>
    </i>
    <i t="default">
      <x v="1"/>
    </i>
    <i t="grand">
      <x/>
    </i>
  </rowItems>
  <colFields count="1">
    <field x="15"/>
  </colFields>
  <colItems count="5">
    <i>
      <x/>
    </i>
    <i>
      <x v="1"/>
    </i>
    <i>
      <x v="2"/>
    </i>
    <i>
      <x v="3"/>
    </i>
    <i t="grand">
      <x/>
    </i>
  </colItems>
  <dataFields count="1">
    <dataField name="Sum of Sales" fld="14" baseField="20" baseItem="1" numFmtId="5"/>
  </dataFields>
  <formats count="6">
    <format dxfId="266">
      <pivotArea type="all" dataOnly="0" outline="0" fieldPosition="0"/>
    </format>
    <format dxfId="265">
      <pivotArea outline="0" collapsedLevelsAreSubtotals="1" fieldPosition="0"/>
    </format>
    <format dxfId="264">
      <pivotArea type="origin" dataOnly="0" labelOnly="1" outline="0" fieldPosition="0"/>
    </format>
    <format dxfId="263">
      <pivotArea field="15" type="button" dataOnly="0" labelOnly="1" outline="0" axis="axisCol" fieldPosition="0"/>
    </format>
    <format dxfId="262">
      <pivotArea type="topRight" dataOnly="0" labelOnly="1" outline="0" fieldPosition="0"/>
    </format>
    <format dxfId="261">
      <pivotArea outline="0" fieldPosition="0">
        <references count="1">
          <reference field="4294967294" count="1">
            <x v="0"/>
          </reference>
        </references>
      </pivotArea>
    </format>
  </formats>
  <chartFormats count="5">
    <chartFormat chart="41" format="12" series="1">
      <pivotArea type="data" outline="0" fieldPosition="0">
        <references count="1">
          <reference field="4294967294" count="1" selected="0">
            <x v="0"/>
          </reference>
        </references>
      </pivotArea>
    </chartFormat>
    <chartFormat chart="41" format="13" series="1">
      <pivotArea type="data" outline="0" fieldPosition="0">
        <references count="2">
          <reference field="4294967294" count="1" selected="0">
            <x v="0"/>
          </reference>
          <reference field="15" count="1" selected="0">
            <x v="1"/>
          </reference>
        </references>
      </pivotArea>
    </chartFormat>
    <chartFormat chart="41" format="14" series="1">
      <pivotArea type="data" outline="0" fieldPosition="0">
        <references count="2">
          <reference field="4294967294" count="1" selected="0">
            <x v="0"/>
          </reference>
          <reference field="15" count="1" selected="0">
            <x v="2"/>
          </reference>
        </references>
      </pivotArea>
    </chartFormat>
    <chartFormat chart="41" format="15" series="1">
      <pivotArea type="data" outline="0" fieldPosition="0">
        <references count="2">
          <reference field="4294967294" count="1" selected="0">
            <x v="0"/>
          </reference>
          <reference field="15" count="1" selected="0">
            <x v="3"/>
          </reference>
        </references>
      </pivotArea>
    </chartFormat>
    <chartFormat chart="41" format="16" series="1">
      <pivotArea type="data" outline="0" fieldPosition="0">
        <references count="2">
          <reference field="4294967294" count="1" selected="0">
            <x v="0"/>
          </reference>
          <reference field="15" count="1" selected="0">
            <x v="0"/>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9B29A-0179-4146-A366-9FA227346734}" name="country by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9">
  <location ref="H3:I6" firstHeaderRow="1" firstDataRow="1" firstDataCol="1"/>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sortType="ascending">
      <items count="4">
        <item x="2"/>
        <item x="1"/>
        <item x="0"/>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numFmtId="166" outline="0" subtotalTop="0" showAll="0">
      <items count="5">
        <item x="1"/>
        <item x="0"/>
        <item x="2"/>
        <item x="3"/>
        <item t="default"/>
      </items>
    </pivotField>
    <pivotField compact="0" numFmtId="44" outline="0" subtotalTop="0" showAll="0"/>
    <pivotField dataField="1" compact="0" numFmtId="44" outline="0" subtotalTop="0" showAll="0"/>
    <pivotField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s>
  <rowFields count="1">
    <field x="9"/>
  </rowFields>
  <rowItems count="3">
    <i>
      <x v="1"/>
    </i>
    <i>
      <x/>
    </i>
    <i>
      <x v="2"/>
    </i>
  </rowItems>
  <colItems count="1">
    <i/>
  </colItems>
  <dataFields count="1">
    <dataField name="Sum of Sales" fld="14" baseField="9" baseItem="0" numFmtId="5"/>
  </dataFields>
  <formats count="6">
    <format dxfId="272">
      <pivotArea type="all" dataOnly="0" outline="0" fieldPosition="0"/>
    </format>
    <format dxfId="271">
      <pivotArea outline="0" collapsedLevelsAreSubtotals="1" fieldPosition="0"/>
    </format>
    <format dxfId="270">
      <pivotArea type="origin" dataOnly="0" labelOnly="1" outline="0" fieldPosition="0"/>
    </format>
    <format dxfId="269">
      <pivotArea field="15" type="button" dataOnly="0" labelOnly="1" outline="0"/>
    </format>
    <format dxfId="268">
      <pivotArea type="topRight" dataOnly="0" labelOnly="1" outline="0" fieldPosition="0"/>
    </format>
    <format dxfId="267">
      <pivotArea outline="0" fieldPosition="0">
        <references count="1">
          <reference field="4294967294" count="1">
            <x v="0"/>
          </reference>
        </references>
      </pivotArea>
    </format>
  </formats>
  <chartFormats count="2">
    <chartFormat chart="28" format="4"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0" showRowHeaders="1" showColHeaders="1" showRowStripes="0" showColStripes="0" showLastColumn="1"/>
  <filters count="1">
    <filter fld="1" type="dateBetween" evalOrder="-1" id="9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1E77CE-84EF-495D-AE04-59B248B50E32}" name="top 5 customer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8">
  <location ref="H11:I16" firstHeaderRow="1" firstDataRow="1" firstDataCol="1"/>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compact="0" outline="0" subtotalTop="0" showAll="0"/>
    <pivotField axis="axisRow" compact="0" outline="0" subtotalTop="0" showAll="0" measureFilter="1" sortType="ascending">
      <items count="9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sortType="ascending">
      <items count="4">
        <item x="2"/>
        <item x="1"/>
        <item x="0"/>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numFmtId="166" outline="0" subtotalTop="0" showAll="0">
      <items count="5">
        <item x="1"/>
        <item x="0"/>
        <item x="2"/>
        <item x="3"/>
        <item t="default"/>
      </items>
    </pivotField>
    <pivotField compact="0" numFmtId="44" outline="0" subtotalTop="0" showAll="0"/>
    <pivotField dataField="1" compact="0" numFmtId="44" outline="0" subtotalTop="0" showAll="0"/>
    <pivotField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s>
  <rowFields count="1">
    <field x="7"/>
  </rowFields>
  <rowItems count="5">
    <i>
      <x v="724"/>
    </i>
    <i>
      <x v="762"/>
    </i>
    <i>
      <x v="218"/>
    </i>
    <i>
      <x v="639"/>
    </i>
    <i>
      <x v="785"/>
    </i>
  </rowItems>
  <colItems count="1">
    <i/>
  </colItems>
  <dataFields count="1">
    <dataField name="Sum of Sales" fld="14" baseField="7" baseItem="646" numFmtId="5"/>
  </dataFields>
  <formats count="6">
    <format dxfId="278">
      <pivotArea type="all" dataOnly="0" outline="0" fieldPosition="0"/>
    </format>
    <format dxfId="277">
      <pivotArea outline="0" collapsedLevelsAreSubtotals="1" fieldPosition="0"/>
    </format>
    <format dxfId="276">
      <pivotArea type="origin" dataOnly="0" labelOnly="1" outline="0" fieldPosition="0"/>
    </format>
    <format dxfId="275">
      <pivotArea field="15" type="button" dataOnly="0" labelOnly="1" outline="0"/>
    </format>
    <format dxfId="274">
      <pivotArea type="topRight" dataOnly="0" labelOnly="1" outline="0" fieldPosition="0"/>
    </format>
    <format dxfId="273">
      <pivotArea outline="0" fieldPosition="0">
        <references count="1">
          <reference field="4294967294" count="1">
            <x v="0"/>
          </reference>
        </references>
      </pivotArea>
    </format>
  </formats>
  <chartFormats count="5">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0" showRowHeaders="1" showColHeaders="1" showRowStripes="0" showColStripes="0" showLastColumn="1"/>
  <filters count="2">
    <filter fld="1" type="dateBetween" evalOrder="-1" id="9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7" type="count" evalOrder="-1" id="9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E83730-229A-4572-B96E-EA6D8410C7B6}" name="Customer geopgraphic dis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Q42:R45" firstHeaderRow="1" firstDataRow="1" firstDataCol="1"/>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dataField="1"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items count="4">
        <item x="2"/>
        <item x="1"/>
        <item x="0"/>
        <item t="default"/>
      </items>
    </pivotField>
    <pivotField compact="0" outline="0" subtotalTop="0" showAll="0"/>
    <pivotField compact="0" outline="0" subtotalTop="0" showAll="0">
      <items count="4">
        <item x="1"/>
        <item x="0"/>
        <item x="2"/>
        <item t="default"/>
      </items>
    </pivotField>
    <pivotField compact="0" numFmtId="166" outline="0" subtotalTop="0" showAll="0">
      <items count="5">
        <item x="1"/>
        <item x="0"/>
        <item x="2"/>
        <item x="3"/>
        <item t="default"/>
      </items>
    </pivotField>
    <pivotField compact="0" numFmtId="44" outline="0" subtotalTop="0" showAll="0"/>
    <pivotField compact="0" numFmtId="44" outline="0" subtotalTop="0" showAll="0"/>
    <pivotField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s>
  <rowFields count="1">
    <field x="9"/>
  </rowFields>
  <rowItems count="3">
    <i>
      <x/>
    </i>
    <i>
      <x v="1"/>
    </i>
    <i>
      <x v="2"/>
    </i>
  </rowItems>
  <colItems count="1">
    <i/>
  </colItems>
  <dataFields count="1">
    <dataField name="Count of Customer ID" fld="4" subtotal="count" showDataAs="percentOfTotal" baseField="9" baseItem="0" numFmtId="1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7448E6-48DC-4930-B845-7D7C65728DFD}" name="Roast level Popular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Q13:R14" firstHeaderRow="1" firstDataRow="1" firstDataCol="1"/>
  <pivotFields count="22">
    <pivotField dataField="1"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items count="4">
        <item x="1"/>
        <item x="0"/>
        <item x="2"/>
        <item t="default"/>
      </items>
    </pivotField>
    <pivotField compact="0" numFmtId="166" outline="0" subtotalTop="0" showAll="0">
      <items count="5">
        <item x="1"/>
        <item x="0"/>
        <item x="2"/>
        <item x="3"/>
        <item t="default"/>
      </items>
    </pivotField>
    <pivotField compact="0" numFmtId="44" outline="0" subtotalTop="0" showAll="0"/>
    <pivotField compact="0" numFmtId="44" outline="0" subtotalTop="0" showAll="0"/>
    <pivotField compact="0" outline="0" subtotalTop="0" showAll="0">
      <items count="5">
        <item x="2"/>
        <item x="0"/>
        <item x="3"/>
        <item x="1"/>
        <item t="default"/>
      </items>
    </pivotField>
    <pivotField axis="axisRow"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Fields count="1">
    <field x="16"/>
  </rowFields>
  <rowItems count="1">
    <i>
      <x v="1"/>
    </i>
  </rowItems>
  <colItems count="1">
    <i/>
  </colItems>
  <dataFields count="1">
    <dataField name="Count of Order ID" fld="0" subtotal="count" showDataAs="percentOfTotal" baseField="16" baseItem="0" numFmtId="1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DD0854-DD9F-4EFF-8A70-4BAFD5BD76A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11:M16" firstHeaderRow="1" firstDataRow="2" firstDataCol="1"/>
  <pivotFields count="22">
    <pivotField dataField="1"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axis="axisCol" compact="0" outline="0" subtotalTop="0" showAll="0">
      <items count="4">
        <item x="2"/>
        <item x="1"/>
        <item x="0"/>
        <item t="default"/>
      </items>
    </pivotField>
    <pivotField compact="0" outline="0" subtotalTop="0" showAll="0"/>
    <pivotField compact="0" outline="0" subtotalTop="0" showAll="0"/>
    <pivotField compact="0" numFmtId="166" outline="0" subtotalTop="0" showAll="0"/>
    <pivotField compact="0" numFmtId="44" outline="0" subtotalTop="0" showAll="0"/>
    <pivotField compact="0" numFmtId="44" outline="0" subtotalTop="0" showAll="0"/>
    <pivotField compact="0" outline="0" subtotalTop="0" showAll="0">
      <items count="5">
        <item x="2"/>
        <item x="0"/>
        <item x="3"/>
        <item x="1"/>
        <item t="default"/>
      </items>
    </pivotField>
    <pivotField compact="0" outline="0" subtotalTop="0" showAll="0"/>
    <pivotField compact="0" outline="0" subtotalTop="0" showAll="0"/>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Fields count="1">
    <field x="3"/>
  </rowFields>
  <rowItems count="4">
    <i>
      <x/>
    </i>
    <i>
      <x v="1"/>
    </i>
    <i>
      <x v="2"/>
    </i>
    <i>
      <x v="3"/>
    </i>
  </rowItems>
  <colFields count="1">
    <field x="9"/>
  </colFields>
  <colItems count="3">
    <i>
      <x/>
    </i>
    <i>
      <x v="1"/>
    </i>
    <i>
      <x v="2"/>
    </i>
  </colItems>
  <dataFields count="1">
    <dataField name="Count of Order ID" fld="0"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DFB306-3817-480E-9607-101F6C579746}" name="Cust Cou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26:J27" firstHeaderRow="1" firstDataRow="1" firstDataCol="0"/>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pivotField compact="0" numFmtId="166" outline="0" subtotalTop="0" showAll="0">
      <items count="5">
        <item x="1"/>
        <item x="0"/>
        <item x="2"/>
        <item x="3"/>
        <item t="default"/>
      </items>
    </pivotField>
    <pivotField compact="0" numFmtId="44" outline="0" subtotalTop="0" showAll="0"/>
    <pivotField compact="0" numFmtId="44" outline="0" subtotalTop="0" showAll="0"/>
    <pivotField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Items count="1">
    <i/>
  </rowItems>
  <colItems count="1">
    <i/>
  </colItems>
  <dataFields count="1">
    <dataField name="Count of Customer ID" fld="4" subtotal="count" baseField="0" baseItem="0"/>
  </dataFields>
  <formats count="3">
    <format dxfId="250">
      <pivotArea type="all" dataOnly="0" outline="0" fieldPosition="0"/>
    </format>
    <format dxfId="249">
      <pivotArea outline="0" collapsedLevelsAreSubtotals="1" fieldPosition="0"/>
    </format>
    <format dxfId="248">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6CBFFB-D370-43ED-864C-1C66242F499A}" name="Total qua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L26:L27" firstHeaderRow="1" firstDataRow="1" firstDataCol="0"/>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pivotField compact="0" numFmtId="166" outline="0" subtotalTop="0" showAll="0">
      <items count="5">
        <item x="1"/>
        <item x="0"/>
        <item x="2"/>
        <item x="3"/>
        <item t="default"/>
      </items>
    </pivotField>
    <pivotField compact="0" numFmtId="44" outline="0" subtotalTop="0" showAll="0"/>
    <pivotField compact="0" numFmtId="44" outline="0" subtotalTop="0" showAll="0"/>
    <pivotField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Items count="1">
    <i/>
  </rowItems>
  <colItems count="1">
    <i/>
  </colItems>
  <dataFields count="1">
    <dataField name="Sum of Quantity" fld="6" baseField="0" baseItem="0"/>
  </dataFields>
  <formats count="3">
    <format dxfId="253">
      <pivotArea type="all" dataOnly="0" outline="0" fieldPosition="0"/>
    </format>
    <format dxfId="252">
      <pivotArea outline="0" collapsedLevelsAreSubtotals="1" fieldPosition="0"/>
    </format>
    <format dxfId="251">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0D87C0-8D04-4997-9971-7E81199517A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33:K37" firstHeaderRow="1" firstDataRow="1" firstDataCol="1"/>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items count="4">
        <item x="1"/>
        <item x="0"/>
        <item x="2"/>
        <item t="default"/>
      </items>
    </pivotField>
    <pivotField compact="0" numFmtId="166" outline="0" subtotalTop="0" showAll="0"/>
    <pivotField compact="0" numFmtId="44" outline="0" subtotalTop="0" showAll="0"/>
    <pivotField dataField="1" compact="0" numFmtId="44" outline="0" subtotalTop="0" showAll="0"/>
    <pivotField compact="0" outline="0" subtotalTop="0" showAll="0">
      <items count="5">
        <item x="2"/>
        <item x="0"/>
        <item x="3"/>
        <item x="1"/>
        <item t="default"/>
      </items>
    </pivotField>
    <pivotField compact="0" outline="0" subtotalTop="0" showAll="0">
      <items count="4">
        <item x="1"/>
        <item x="0"/>
        <item x="2"/>
        <item t="default"/>
      </items>
    </pivotField>
    <pivotField compact="0" outline="0" subtotalTop="0" showAll="0">
      <items count="3">
        <item x="1"/>
        <item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s>
  <rowFields count="1">
    <field x="3"/>
  </rowFields>
  <rowItems count="4">
    <i>
      <x/>
    </i>
    <i>
      <x v="1"/>
    </i>
    <i>
      <x v="2"/>
    </i>
    <i>
      <x v="3"/>
    </i>
  </rowItems>
  <colItems count="1">
    <i/>
  </colItems>
  <dataFields count="1">
    <dataField name="Sum of Sales" fld="14" baseField="0" baseItem="0" numFmtId="44"/>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0B63A4-0638-44FA-ABAE-C935F261967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H56" firstHeaderRow="1" firstDataRow="2" firstDataCol="4"/>
  <pivotFields count="22">
    <pivotField dataField="1"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axis="axisRow"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66" outline="0" subtotalTop="0" showAll="0"/>
    <pivotField compact="0" numFmtId="44" outline="0" subtotalTop="0" showAll="0"/>
    <pivotField compact="0" numFmtId="44" outline="0" subtotalTop="0" showAll="0"/>
    <pivotField axis="axisCol" compact="0" outline="0" subtotalTop="0" showAll="0">
      <items count="5">
        <item x="2"/>
        <item x="0"/>
        <item x="3"/>
        <item x="1"/>
        <item t="default"/>
      </items>
    </pivotField>
    <pivotField compact="0" outline="0" subtotalTop="0" showAll="0"/>
    <pivotField compact="0" outline="0" subtotalTop="0" showAll="0"/>
    <pivotField compact="0" outline="0" subtotalTop="0" showAll="0"/>
    <pivotField compact="0" outline="0" subtotalTop="0" showAll="0">
      <items count="7">
        <item x="0"/>
        <item x="1"/>
        <item x="2"/>
        <item x="3"/>
        <item x="4"/>
        <item x="5"/>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axis="axisRow" compact="0" outline="0" subtotalTop="0" showAll="0">
      <items count="7">
        <item sd="0" x="0"/>
        <item x="1"/>
        <item x="2"/>
        <item x="3"/>
        <item x="4"/>
        <item sd="0" x="5"/>
        <item t="default"/>
      </items>
    </pivotField>
  </pivotFields>
  <rowFields count="4">
    <field x="3"/>
    <field x="21"/>
    <field x="20"/>
    <field x="2"/>
  </rowFields>
  <rowItems count="52">
    <i>
      <x/>
      <x v="1"/>
      <x v="1"/>
    </i>
    <i r="2">
      <x v="2"/>
    </i>
    <i r="2">
      <x v="3"/>
    </i>
    <i r="2">
      <x v="4"/>
    </i>
    <i r="2">
      <x v="5"/>
    </i>
    <i r="2">
      <x v="6"/>
    </i>
    <i r="2">
      <x v="7"/>
    </i>
    <i r="2">
      <x v="8"/>
    </i>
    <i r="2">
      <x v="9"/>
    </i>
    <i r="2">
      <x v="10"/>
    </i>
    <i r="2">
      <x v="11"/>
    </i>
    <i r="2">
      <x v="12"/>
    </i>
    <i t="default" r="1">
      <x v="1"/>
    </i>
    <i t="default">
      <x/>
    </i>
    <i>
      <x v="1"/>
      <x v="2"/>
      <x v="1"/>
    </i>
    <i r="2">
      <x v="2"/>
    </i>
    <i r="2">
      <x v="3"/>
    </i>
    <i r="2">
      <x v="4"/>
    </i>
    <i r="2">
      <x v="5"/>
    </i>
    <i r="2">
      <x v="6"/>
    </i>
    <i r="2">
      <x v="7"/>
    </i>
    <i r="2">
      <x v="8"/>
    </i>
    <i r="2">
      <x v="9"/>
    </i>
    <i r="2">
      <x v="10"/>
    </i>
    <i r="2">
      <x v="11"/>
    </i>
    <i r="2">
      <x v="12"/>
    </i>
    <i t="default" r="1">
      <x v="2"/>
    </i>
    <i t="default">
      <x v="1"/>
    </i>
    <i>
      <x v="2"/>
      <x v="3"/>
      <x v="1"/>
    </i>
    <i r="2">
      <x v="2"/>
    </i>
    <i r="2">
      <x v="3"/>
    </i>
    <i r="2">
      <x v="4"/>
    </i>
    <i r="2">
      <x v="5"/>
    </i>
    <i r="2">
      <x v="6"/>
    </i>
    <i r="2">
      <x v="7"/>
    </i>
    <i r="2">
      <x v="8"/>
    </i>
    <i r="2">
      <x v="9"/>
    </i>
    <i r="2">
      <x v="10"/>
    </i>
    <i r="2">
      <x v="11"/>
    </i>
    <i r="2">
      <x v="12"/>
    </i>
    <i t="default" r="1">
      <x v="3"/>
    </i>
    <i t="default">
      <x v="2"/>
    </i>
    <i>
      <x v="3"/>
      <x v="4"/>
      <x v="1"/>
    </i>
    <i r="2">
      <x v="2"/>
    </i>
    <i r="2">
      <x v="3"/>
    </i>
    <i r="2">
      <x v="4"/>
    </i>
    <i r="2">
      <x v="5"/>
    </i>
    <i r="2">
      <x v="6"/>
    </i>
    <i r="2">
      <x v="7"/>
    </i>
    <i r="2">
      <x v="8"/>
    </i>
    <i t="default" r="1">
      <x v="4"/>
    </i>
    <i t="default">
      <x v="3"/>
    </i>
  </rowItems>
  <colFields count="1">
    <field x="15"/>
  </colFields>
  <colItems count="4">
    <i>
      <x/>
    </i>
    <i>
      <x v="1"/>
    </i>
    <i>
      <x v="2"/>
    </i>
    <i>
      <x v="3"/>
    </i>
  </colItems>
  <dataFields count="1">
    <dataField name="Count of Order ID" fld="0"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082467-606F-432C-BB22-29D51770E2B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3:N7" firstHeaderRow="1" firstDataRow="2" firstDataCol="1"/>
  <pivotFields count="22">
    <pivotField dataField="1"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items count="4">
        <item x="2"/>
        <item x="1"/>
        <item x="0"/>
        <item t="default"/>
      </items>
    </pivotField>
    <pivotField compact="0" outline="0" subtotalTop="0" showAll="0"/>
    <pivotField compact="0" outline="0" subtotalTop="0" showAll="0"/>
    <pivotField compact="0" numFmtId="166" outline="0" subtotalTop="0" showAll="0"/>
    <pivotField compact="0" numFmtId="44" outline="0" subtotalTop="0" showAll="0"/>
    <pivotField compact="0" numFmtId="44" outline="0" subtotalTop="0" showAll="0"/>
    <pivotField axis="axisCol" compact="0" outline="0" subtotalTop="0" showAll="0">
      <items count="5">
        <item x="2"/>
        <item x="0"/>
        <item x="3"/>
        <item x="1"/>
        <item t="default"/>
      </items>
    </pivotField>
    <pivotField compact="0" outline="0" subtotalTop="0" showAll="0"/>
    <pivotField compact="0" outline="0" subtotalTop="0" showAll="0"/>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Fields count="1">
    <field x="9"/>
  </rowFields>
  <rowItems count="3">
    <i>
      <x/>
    </i>
    <i>
      <x v="1"/>
    </i>
    <i>
      <x v="2"/>
    </i>
  </rowItems>
  <colFields count="1">
    <field x="15"/>
  </colFields>
  <colItems count="4">
    <i>
      <x/>
    </i>
    <i>
      <x v="1"/>
    </i>
    <i>
      <x v="2"/>
    </i>
    <i>
      <x v="3"/>
    </i>
  </colItems>
  <dataFields count="1">
    <dataField name="Count of Order ID" fld="0"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10E480-3389-446A-8800-EE0F7520DE3C}"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21:J22" firstHeaderRow="1" firstDataRow="1" firstDataCol="0"/>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pivotField compact="0" numFmtId="166" outline="0" subtotalTop="0" showAll="0">
      <items count="5">
        <item x="1"/>
        <item x="0"/>
        <item x="2"/>
        <item x="3"/>
        <item t="default"/>
      </items>
    </pivotField>
    <pivotField compact="0" numFmtId="44" outline="0" subtotalTop="0" showAll="0"/>
    <pivotField dataField="1" compact="0" numFmtId="44" outline="0" subtotalTop="0" showAll="0"/>
    <pivotField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Items count="1">
    <i/>
  </rowItems>
  <colItems count="1">
    <i/>
  </colItems>
  <dataFields count="1">
    <dataField name="Sum of Sales" fld="14" baseField="0" baseItem="0" numFmtId="37"/>
  </dataFields>
  <formats count="4">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outline="0" fieldPosition="0">
        <references count="1">
          <reference field="4294967294" count="1">
            <x v="0"/>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57D068-2BEC-44C0-A2B8-34DF643CDCC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22:R24" firstHeaderRow="1" firstDataRow="1" firstDataCol="1"/>
  <pivotFields count="22">
    <pivotField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items count="4">
        <item x="1"/>
        <item x="0"/>
        <item x="2"/>
        <item t="default"/>
      </items>
    </pivotField>
    <pivotField compact="0" numFmtId="166" outline="0" subtotalTop="0" showAll="0"/>
    <pivotField compact="0" numFmtId="44" outline="0" subtotalTop="0" showAll="0"/>
    <pivotField compact="0" numFmtId="44" outline="0" subtotalTop="0" showAll="0"/>
    <pivotField compact="0" outline="0" subtotalTop="0" showAll="0">
      <items count="5">
        <item x="2"/>
        <item x="0"/>
        <item x="3"/>
        <item x="1"/>
        <item t="default"/>
      </items>
    </pivotField>
    <pivotField compact="0" outline="0" subtotalTop="0" showAll="0">
      <items count="4">
        <item x="1"/>
        <item x="0"/>
        <item x="2"/>
        <item t="default"/>
      </items>
    </pivotField>
    <pivotField axis="axisRow" dataField="1" compact="0" outline="0" subtotalTop="0" showAll="0">
      <items count="3">
        <item x="1"/>
        <item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s>
  <rowFields count="1">
    <field x="17"/>
  </rowFields>
  <rowItems count="2">
    <i>
      <x/>
    </i>
    <i>
      <x v="1"/>
    </i>
  </rowItems>
  <colItems count="1">
    <i/>
  </colItems>
  <dataFields count="1">
    <dataField name="Count of Loyalty Card" fld="17"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AAEEEB-C608-4D66-8B19-64682EB380F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33:R37" firstHeaderRow="1" firstDataRow="1" firstDataCol="1"/>
  <pivotFields count="22">
    <pivotField dataField="1"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items count="4">
        <item x="1"/>
        <item x="0"/>
        <item x="2"/>
        <item t="default"/>
      </items>
    </pivotField>
    <pivotField axis="axisRow" compact="0" numFmtId="166" outline="0" subtotalTop="0" showAll="0">
      <items count="5">
        <item x="1"/>
        <item x="0"/>
        <item x="2"/>
        <item x="3"/>
        <item t="default"/>
      </items>
    </pivotField>
    <pivotField compact="0" numFmtId="44" outline="0" subtotalTop="0" showAll="0"/>
    <pivotField compact="0" numFmtId="44" outline="0" subtotalTop="0" showAll="0"/>
    <pivotField compact="0" outline="0" subtotalTop="0" showAll="0">
      <items count="5">
        <item x="2"/>
        <item x="0"/>
        <item x="3"/>
        <item x="1"/>
        <item t="default"/>
      </items>
    </pivotField>
    <pivotField compact="0" outline="0" subtotalTop="0" showAll="0">
      <items count="4">
        <item x="1"/>
        <item x="0"/>
        <item x="2"/>
        <item t="default"/>
      </items>
    </pivotField>
    <pivotField compact="0" outline="0" subtotalTop="0" showAll="0">
      <items count="3">
        <item x="1"/>
        <item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s>
  <rowFields count="1">
    <field x="12"/>
  </rowFields>
  <rowItems count="4">
    <i>
      <x/>
    </i>
    <i>
      <x v="1"/>
    </i>
    <i>
      <x v="2"/>
    </i>
    <i>
      <x v="3"/>
    </i>
  </rowItems>
  <colItems count="1">
    <i/>
  </colItems>
  <dataFields count="1">
    <dataField name="Count of Order ID" fld="0"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18F5AE-CFE6-4211-996A-B7FD2A48D744}" name="order Cou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L21:L22" firstHeaderRow="1" firstDataRow="1" firstDataCol="0"/>
  <pivotFields count="22">
    <pivotField dataField="1"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pivotField compact="0" numFmtId="166" outline="0" subtotalTop="0" showAll="0">
      <items count="5">
        <item x="1"/>
        <item x="0"/>
        <item x="2"/>
        <item x="3"/>
        <item t="default"/>
      </items>
    </pivotField>
    <pivotField compact="0" numFmtId="44" outline="0" subtotalTop="0" showAll="0"/>
    <pivotField compact="0" numFmtId="44" outline="0" subtotalTop="0" showAll="0"/>
    <pivotField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Items count="1">
    <i/>
  </rowItems>
  <colItems count="1">
    <i/>
  </colItems>
  <dataFields count="1">
    <dataField name="Count of Order ID" fld="0" subtotal="count" baseField="0" baseItem="0"/>
  </dataFields>
  <formats count="3">
    <format dxfId="260">
      <pivotArea type="all" dataOnly="0" outline="0" fieldPosition="0"/>
    </format>
    <format dxfId="259">
      <pivotArea outline="0" collapsedLevelsAreSubtotals="1" fieldPosition="0"/>
    </format>
    <format dxfId="258">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152561-7944-4BE2-BA8A-85DCB9654084}" name="coffee type distribu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Q3:R7" firstHeaderRow="1" firstDataRow="1" firstDataCol="1"/>
  <pivotFields count="22">
    <pivotField dataField="1" compact="0" outline="0" subtotalTop="0" showAll="0"/>
    <pivotField compact="0" numFmtId="165"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numFmtId="167" outline="0" subtotalTop="0" showAll="0">
      <items count="690">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501"/>
        <item x="408"/>
        <item x="425"/>
        <item x="204"/>
        <item x="491"/>
        <item x="216"/>
        <item x="167"/>
        <item x="621"/>
        <item x="479"/>
        <item x="27"/>
        <item x="567"/>
        <item x="609"/>
        <item x="38"/>
        <item x="465"/>
        <item x="492"/>
        <item x="83"/>
        <item x="631"/>
        <item x="126"/>
        <item x="437"/>
        <item x="477"/>
        <item x="504"/>
        <item x="406"/>
        <item x="607"/>
        <item x="419"/>
        <item x="194"/>
        <item x="259"/>
        <item x="658"/>
        <item x="429"/>
        <item x="60"/>
        <item x="278"/>
        <item x="149"/>
        <item x="2"/>
        <item x="643"/>
        <item x="328"/>
        <item x="374"/>
        <item x="17"/>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30"/>
        <item x="587"/>
        <item x="267"/>
        <item x="36"/>
        <item x="130"/>
        <item x="415"/>
        <item x="343"/>
        <item x="565"/>
        <item x="509"/>
        <item x="620"/>
        <item x="9"/>
        <item x="80"/>
        <item x="480"/>
        <item x="645"/>
        <item x="375"/>
        <item x="273"/>
        <item x="45"/>
        <item x="335"/>
        <item x="534"/>
        <item x="496"/>
        <item x="466"/>
        <item x="473"/>
        <item x="358"/>
        <item x="132"/>
        <item x="594"/>
        <item x="519"/>
        <item x="528"/>
        <item x="342"/>
        <item x="568"/>
        <item x="625"/>
        <item x="112"/>
        <item x="55"/>
        <item x="503"/>
        <item x="529"/>
        <item x="252"/>
        <item x="450"/>
        <item x="202"/>
        <item x="617"/>
        <item x="681"/>
        <item x="443"/>
        <item x="500"/>
        <item x="54"/>
        <item x="324"/>
        <item x="96"/>
        <item x="116"/>
        <item x="85"/>
        <item x="442"/>
        <item x="137"/>
        <item x="624"/>
        <item x="543"/>
        <item x="601"/>
        <item x="649"/>
        <item x="537"/>
        <item x="131"/>
        <item x="238"/>
        <item x="74"/>
        <item x="554"/>
        <item x="323"/>
        <item x="512"/>
        <item x="451"/>
        <item x="182"/>
        <item x="225"/>
        <item x="412"/>
        <item x="294"/>
        <item x="349"/>
        <item x="427"/>
        <item x="35"/>
        <item x="639"/>
        <item x="481"/>
        <item x="684"/>
        <item x="666"/>
        <item x="37"/>
        <item x="21"/>
        <item x="511"/>
        <item x="402"/>
        <item x="652"/>
        <item x="486"/>
        <item x="683"/>
        <item x="291"/>
        <item x="186"/>
        <item x="648"/>
        <item x="687"/>
        <item x="29"/>
        <item x="362"/>
        <item x="545"/>
        <item x="432"/>
        <item x="138"/>
        <item x="611"/>
        <item x="414"/>
        <item x="248"/>
        <item x="483"/>
        <item x="235"/>
        <item x="1"/>
        <item x="661"/>
        <item x="185"/>
        <item x="41"/>
        <item x="136"/>
        <item x="95"/>
        <item x="373"/>
        <item x="546"/>
        <item x="593"/>
        <item x="104"/>
        <item x="5"/>
        <item x="555"/>
        <item x="589"/>
        <item x="135"/>
        <item x="193"/>
        <item x="97"/>
        <item x="66"/>
        <item x="4"/>
        <item x="214"/>
        <item x="163"/>
        <item x="604"/>
        <item x="452"/>
        <item x="627"/>
        <item x="571"/>
        <item x="471"/>
        <item x="212"/>
        <item x="454"/>
        <item x="249"/>
        <item x="556"/>
        <item x="352"/>
        <item x="463"/>
        <item x="223"/>
        <item x="192"/>
        <item x="260"/>
        <item x="348"/>
        <item x="181"/>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1"/>
        <item x="69"/>
        <item x="679"/>
        <item x="531"/>
        <item x="129"/>
        <item x="285"/>
        <item x="42"/>
        <item x="417"/>
        <item x="340"/>
        <item x="517"/>
        <item x="600"/>
        <item x="372"/>
        <item x="304"/>
        <item x="499"/>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6"/>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2"/>
        <item x="320"/>
        <item x="574"/>
        <item x="15"/>
        <item x="63"/>
        <item x="330"/>
        <item x="10"/>
        <item x="498"/>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5"/>
        <item x="667"/>
        <item x="446"/>
        <item x="309"/>
        <item x="208"/>
        <item x="333"/>
        <item x="232"/>
        <item x="169"/>
        <item x="396"/>
        <item x="461"/>
        <item x="265"/>
        <item x="532"/>
        <item x="124"/>
        <item x="634"/>
        <item x="656"/>
        <item x="562"/>
        <item x="610"/>
        <item x="336"/>
        <item x="154"/>
        <item x="272"/>
        <item x="470"/>
        <item x="595"/>
        <item x="615"/>
        <item x="657"/>
        <item x="365"/>
        <item x="487"/>
        <item x="108"/>
        <item x="670"/>
        <item x="410"/>
        <item x="628"/>
        <item x="369"/>
        <item x="107"/>
        <item x="46"/>
        <item x="404"/>
        <item x="395"/>
        <item x="560"/>
        <item x="187"/>
        <item x="616"/>
        <item x="115"/>
        <item x="394"/>
        <item x="274"/>
        <item x="58"/>
        <item x="675"/>
        <item x="298"/>
        <item x="439"/>
        <item x="13"/>
        <item x="64"/>
        <item x="581"/>
        <item x="642"/>
        <item x="19"/>
        <item x="159"/>
        <item x="254"/>
        <item x="525"/>
        <item x="93"/>
        <item x="585"/>
        <item x="655"/>
        <item x="366"/>
        <item x="521"/>
        <item x="228"/>
        <item x="157"/>
        <item x="296"/>
        <item x="672"/>
        <item x="133"/>
        <item x="59"/>
        <item x="495"/>
        <item x="297"/>
        <item x="538"/>
        <item x="453"/>
        <item x="243"/>
        <item x="488"/>
        <item x="435"/>
        <item x="68"/>
        <item x="515"/>
        <item x="270"/>
        <item x="416"/>
        <item x="632"/>
        <item x="205"/>
        <item x="148"/>
        <item x="351"/>
        <item x="510"/>
        <item x="165"/>
        <item x="301"/>
        <item x="418"/>
        <item x="673"/>
        <item x="494"/>
        <item x="72"/>
        <item x="557"/>
        <item x="123"/>
        <item x="176"/>
        <item x="242"/>
        <item x="644"/>
        <item x="409"/>
        <item x="497"/>
        <item x="206"/>
        <item x="50"/>
        <item x="201"/>
        <item x="224"/>
        <item x="603"/>
        <item x="268"/>
        <item x="468"/>
        <item x="120"/>
        <item x="403"/>
        <item x="310"/>
        <item x="602"/>
        <item x="257"/>
        <item x="76"/>
        <item x="293"/>
        <item x="605"/>
        <item x="28"/>
        <item x="219"/>
        <item x="230"/>
        <item x="423"/>
        <item x="654"/>
        <item x="161"/>
        <item x="236"/>
        <item x="464"/>
        <item x="438"/>
        <item x="386"/>
        <item x="90"/>
        <item t="default"/>
      </items>
    </pivotField>
    <pivotField compact="0" outline="0" subtotalTop="0" showAll="0">
      <items count="5">
        <item x="0"/>
        <item h="1" x="1"/>
        <item h="1" x="2"/>
        <item h="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4">
        <item x="2"/>
        <item x="1"/>
        <item x="0"/>
        <item t="default"/>
      </items>
    </pivotField>
    <pivotField compact="0" outline="0" subtotalTop="0" showAll="0"/>
    <pivotField compact="0" outline="0" subtotalTop="0" showAll="0"/>
    <pivotField compact="0" numFmtId="166" outline="0" subtotalTop="0" showAll="0">
      <items count="5">
        <item x="1"/>
        <item x="0"/>
        <item x="2"/>
        <item x="3"/>
        <item t="default"/>
      </items>
    </pivotField>
    <pivotField compact="0" numFmtId="44" outline="0" subtotalTop="0" showAll="0"/>
    <pivotField compact="0" numFmtId="44" outline="0" subtotalTop="0" showAll="0"/>
    <pivotField axis="axisRow" compact="0" outline="0" subtotalTop="0" showAll="0">
      <items count="5">
        <item x="2"/>
        <item x="0"/>
        <item x="3"/>
        <item x="1"/>
        <item t="default"/>
      </items>
    </pivotField>
    <pivotField compact="0" outline="0" subtotalTop="0" showAll="0">
      <items count="4">
        <item h="1" x="1"/>
        <item x="0"/>
        <item h="1" x="2"/>
        <item t="default"/>
      </items>
    </pivotField>
    <pivotField compact="0" outline="0" subtotalTop="0" showAll="0">
      <items count="3">
        <item x="1"/>
        <item h="1" x="0"/>
        <item t="default"/>
      </items>
    </pivotField>
    <pivotField compact="0" outline="0" subtotalTop="0" showAll="0"/>
    <pivotField compact="0" outline="0" subtotalTop="0" showAll="0">
      <items count="7">
        <item x="0"/>
        <item x="1"/>
        <item x="2"/>
        <item x="3"/>
        <item x="4"/>
        <item x="5"/>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x="1"/>
        <item x="2"/>
        <item x="3"/>
        <item x="4"/>
        <item sd="0" x="5"/>
        <item t="default"/>
      </items>
    </pivotField>
  </pivotFields>
  <rowFields count="1">
    <field x="15"/>
  </rowFields>
  <rowItems count="4">
    <i>
      <x/>
    </i>
    <i>
      <x v="1"/>
    </i>
    <i>
      <x v="2"/>
    </i>
    <i>
      <x v="3"/>
    </i>
  </rowItems>
  <colItems count="1">
    <i/>
  </colItems>
  <dataFields count="1">
    <dataField name="Count of Order ID" fld="0" subtotal="count" showDataAs="percentOfTotal" baseField="15" baseItem="0" numFmtId="10"/>
  </dataField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5" count="1" selected="0">
            <x v="0"/>
          </reference>
        </references>
      </pivotArea>
    </chartFormat>
    <chartFormat chart="11" format="8">
      <pivotArea type="data" outline="0" fieldPosition="0">
        <references count="2">
          <reference field="4294967294" count="1" selected="0">
            <x v="0"/>
          </reference>
          <reference field="15" count="1" selected="0">
            <x v="1"/>
          </reference>
        </references>
      </pivotArea>
    </chartFormat>
    <chartFormat chart="11" format="9">
      <pivotArea type="data" outline="0" fieldPosition="0">
        <references count="2">
          <reference field="4294967294" count="1" selected="0">
            <x v="0"/>
          </reference>
          <reference field="15" count="1" selected="0">
            <x v="2"/>
          </reference>
        </references>
      </pivotArea>
    </chartFormat>
    <chartFormat chart="11" format="10">
      <pivotArea type="data" outline="0" fieldPosition="0">
        <references count="2">
          <reference field="4294967294" count="1" selected="0">
            <x v="0"/>
          </reference>
          <reference field="15"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97D6230-6448-4BB2-B2E1-4242B6BE1BBC}" sourceName="Size">
  <pivotTables>
    <pivotTable tabId="20" name="Total Sales"/>
    <pivotTable tabId="20" name="country by sales"/>
    <pivotTable tabId="20" name="top 5 customers"/>
    <pivotTable tabId="28" name="coffee type distribution"/>
    <pivotTable tabId="28" name="Roast level Popularity"/>
    <pivotTable tabId="28" name="Customer geopgraphic dist"/>
    <pivotTable tabId="28" name="Total Sales"/>
    <pivotTable tabId="28" name="Cust Count"/>
    <pivotTable tabId="28" name="Total quan"/>
    <pivotTable tabId="28" name="order Count"/>
  </pivotTables>
  <data>
    <tabular pivotCacheId="182752704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8C32041-858D-4260-B138-A83A470C8BAA}" sourceName="Roast Type Name">
  <pivotTables>
    <pivotTable tabId="20" name="Total Sales"/>
    <pivotTable tabId="20" name="country by sales"/>
    <pivotTable tabId="20" name="top 5 customers"/>
    <pivotTable tabId="28" name="coffee type distribution"/>
    <pivotTable tabId="28" name="Roast level Popularity"/>
    <pivotTable tabId="28" name="Customer geopgraphic dist"/>
    <pivotTable tabId="28" name="Total Sales"/>
    <pivotTable tabId="28" name="Cust Count"/>
    <pivotTable tabId="28" name="order Count"/>
    <pivotTable tabId="28" name="Total quan"/>
  </pivotTables>
  <data>
    <tabular pivotCacheId="1827527041">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43D6F50-00AB-4B68-B404-5F983628F0F6}" sourceName="Loyalty Card">
  <pivotTables>
    <pivotTable tabId="20" name="Total Sales"/>
    <pivotTable tabId="20" name="country by sales"/>
    <pivotTable tabId="20" name="top 5 customers"/>
    <pivotTable tabId="28" name="coffee type distribution"/>
    <pivotTable tabId="28" name="Roast level Popularity"/>
    <pivotTable tabId="28" name="Customer geopgraphic dist"/>
    <pivotTable tabId="28" name="Total Sales"/>
    <pivotTable tabId="28" name="Cust Count"/>
    <pivotTable tabId="28" name="Total quan"/>
    <pivotTable tabId="28" name="order Count"/>
  </pivotTables>
  <data>
    <tabular pivotCacheId="1827527041">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1D1843-D896-4A43-90CF-B5EAF0041BB3}" sourceName="Year">
  <pivotTables>
    <pivotTable tabId="20" name="Total Sales"/>
    <pivotTable tabId="20" name="country by sales"/>
    <pivotTable tabId="20" name="top 5 customers"/>
    <pivotTable tabId="28" name="coffee type distribution"/>
    <pivotTable tabId="28" name="Roast level Popularity"/>
    <pivotTable tabId="28" name="Customer geopgraphic dist"/>
    <pivotTable tabId="28" name="Total Sales"/>
    <pivotTable tabId="28" name="order Count"/>
    <pivotTable tabId="28" name="Cust Count"/>
    <pivotTable tabId="28" name="Total quan"/>
  </pivotTables>
  <data>
    <tabular pivotCacheId="1827527041">
      <items count="4">
        <i x="0" s="1"/>
        <i x="1"/>
        <i x="2"/>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829952-AAD8-4BE4-87D2-1F24B8CF86ED}" sourceName="Country">
  <pivotTables>
    <pivotTable tabId="28" name="coffee type distribution"/>
    <pivotTable tabId="28" name="Roast level Popularity"/>
    <pivotTable tabId="28" name="Total Sales"/>
    <pivotTable tabId="20" name="top 5 customers"/>
    <pivotTable tabId="28" name="Cust Count"/>
    <pivotTable tabId="28" name="order Count"/>
    <pivotTable tabId="28" name="Total quan"/>
    <pivotTable tabId="20" name="Total Sales"/>
  </pivotTables>
  <data>
    <tabular pivotCacheId="182752704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3DEF7703-977B-4604-82A9-6FE4F7F67A64}" cache="Slicer_Size" caption="Size" columnCount="2" style="SlicerStyleDark6 2" rowHeight="241300"/>
  <slicer name="Roast Type Name 2" xr10:uid="{4FC453DA-241B-4C18-B898-FA58B7C6169B}" cache="Slicer_Roast_Type_Name" caption="Roast Type Name" columnCount="3" style="SlicerStyleDark6 2" rowHeight="241300"/>
  <slicer name="Loyalty Card 2" xr10:uid="{AA7087BF-DC6A-4D8D-A8C8-340B70BDF175}" cache="Slicer_Loyalty_Card" caption="Loyalty Card" style="SlicerStyleDark6 2" rowHeight="241300"/>
  <slicer name="Year" xr10:uid="{823F0985-A269-4228-8235-F59E95E0BA70}" cache="Slicer_Year" caption="Year" columnCount="4" style="SlicerStyleDark6 2" rowHeight="241300"/>
  <slicer name="Country" xr10:uid="{AF5CF7C0-B2CF-44D8-B815-664B1B7EC974}" cache="Slicer_Country" caption="Country" columnCount="3" style="SlicerStyleDark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21A3AF-55B1-48B1-8EB9-FE674AD6EC3C}" name="Orders" displayName="Orders" ref="A1:R1001" totalsRowShown="0" headerRowDxfId="292">
  <autoFilter ref="A1:R1001" xr:uid="{8B21A3AF-55B1-48B1-8EB9-FE674AD6EC3C}"/>
  <sortState xmlns:xlrd2="http://schemas.microsoft.com/office/spreadsheetml/2017/richdata2" ref="A2:R1001">
    <sortCondition ref="H1:H1001"/>
  </sortState>
  <tableColumns count="18">
    <tableColumn id="1" xr3:uid="{AF2CEC47-1CBA-48BD-B582-A6B776D3F81E}" name="Order ID" dataDxfId="291"/>
    <tableColumn id="2" xr3:uid="{14D81014-634F-4C76-9A2D-050290596D4C}" name="Order Date" dataDxfId="290"/>
    <tableColumn id="17" xr3:uid="{AC3C356F-8C89-4C8B-922E-A9AC0ABDEF93}" name="Month" dataDxfId="289">
      <calculatedColumnFormula>Orders[[#This Row],[Order Date]]</calculatedColumnFormula>
    </tableColumn>
    <tableColumn id="18" xr3:uid="{15AAF749-0B8B-4F35-82C0-4687972BE830}" name="Year" dataDxfId="288">
      <calculatedColumnFormula>YEAR(Orders[[#This Row],[Order Date]])</calculatedColumnFormula>
    </tableColumn>
    <tableColumn id="3" xr3:uid="{FFAC3E04-E4F8-43AB-A90B-EBCCDDCB4B48}" name="Customer ID" dataDxfId="287"/>
    <tableColumn id="4" xr3:uid="{7E86538F-6978-488D-8C87-F9649FA4AF57}" name="Product ID"/>
    <tableColumn id="5" xr3:uid="{FBE7D00B-94EC-4A46-8E2F-FC3E8E7EE13E}" name="Quantity" dataDxfId="286"/>
    <tableColumn id="6" xr3:uid="{47D219AC-78E1-402E-AB07-E4F74B967889}" name="Customer Name" dataDxfId="285">
      <calculatedColumnFormula>INDEX(customers!$A$1:$I$1001,MATCH($E2,customers!$A$1:$A$1001,),MATCH($H$1,customers!$A$1:$I$1,0))</calculatedColumnFormula>
    </tableColumn>
    <tableColumn id="7" xr3:uid="{715D23BB-AD34-4154-B67D-C87794768139}" name="Email" dataDxfId="284">
      <calculatedColumnFormula>IF(INDEX(customers!$A$1:$I$1001,MATCH($E2,customers!$A$1:$A$1001,0),3)=0,"",INDEX(customers!$A$1:$I$1001,MATCH($E2,customers!$A$1:$A$1001,0),3))</calculatedColumnFormula>
    </tableColumn>
    <tableColumn id="8" xr3:uid="{537C0619-03AA-4F18-8DEB-C8B2A686B4DC}" name="Country" dataDxfId="283">
      <calculatedColumnFormula>_xlfn.XLOOKUP(E2,customers!$A$1:$A$1001,customers!$G$1:$G$1001)</calculatedColumnFormula>
    </tableColumn>
    <tableColumn id="9" xr3:uid="{42B80E2F-EF2A-4853-970F-BE4CC3690A8B}" name="Coffee Type">
      <calculatedColumnFormula>INDEX(products!$A$1:$G$49,MATCH($F2,products!$A$1:$A$49,0),MATCH(K$1,products!$A$1:$G$1,0))</calculatedColumnFormula>
    </tableColumn>
    <tableColumn id="10" xr3:uid="{0F8E577C-72B4-437B-93E0-3689E3640A5D}" name="Roast Type">
      <calculatedColumnFormula>INDEX(products!$A$1:$G$49,MATCH($F2,products!$A$1:$A$49,0),MATCH(L$1,products!$A$1:$G$1,0))</calculatedColumnFormula>
    </tableColumn>
    <tableColumn id="11" xr3:uid="{5B32317F-B1DB-4DDF-B99B-A9226874FDA9}" name="Size" dataDxfId="282">
      <calculatedColumnFormula>INDEX(products!$A$1:$G$49,MATCH($F2,products!$A$1:$A$49,0),MATCH(M$1,products!$A$1:$G$1,0))</calculatedColumnFormula>
    </tableColumn>
    <tableColumn id="12" xr3:uid="{E6239847-D874-4A86-B137-F593616A7F08}" name="Unit Price" dataDxfId="281" dataCellStyle="Currency">
      <calculatedColumnFormula>INDEX(products!$A$1:$G$49,MATCH($F2,products!$A$1:$A$49,0),MATCH(N$1,products!$A$1:$G$1,0))</calculatedColumnFormula>
    </tableColumn>
    <tableColumn id="13" xr3:uid="{BD17084B-F9F3-46FD-A28C-026F463D9F25}" name="Sales" dataDxfId="280" dataCellStyle="Currency">
      <calculatedColumnFormula>N2*G2</calculatedColumnFormula>
    </tableColumn>
    <tableColumn id="14" xr3:uid="{616E4EDB-52AD-48D1-AF0E-60345A3395D2}" name="Coffee Type Name">
      <calculatedColumnFormula array="1">_xlfn.IFS(K2="Rob","Robusta",K2="Exc","Excelsa",K2="Ara","Arabica",K2="Lib","Liberica")</calculatedColumnFormula>
    </tableColumn>
    <tableColumn id="15" xr3:uid="{267209C5-7271-4B9C-AB19-9369D77DBD5A}" name="Roast Type Name">
      <calculatedColumnFormula array="1">_xlfn.IFS(L2="M","Medium",L2="L","Light",L2="D","Dark")</calculatedColumnFormula>
    </tableColumn>
    <tableColumn id="16" xr3:uid="{CE856FAC-872C-4F4E-96FF-BFAAC641A064}" name="Loyalty Card" dataDxfId="279">
      <calculatedColumnFormula>_xlfn.XLOOKUP(Orders[[#This Row],[Customer ID]],customers!$A$1:$A$1001,customers!$I$1:$I$1001)</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85" zoomScaleNormal="85" workbookViewId="0">
      <selection activeCell="F2" sqref="F2"/>
    </sheetView>
  </sheetViews>
  <sheetFormatPr defaultRowHeight="14.5" x14ac:dyDescent="0.35"/>
  <cols>
    <col min="1" max="1" width="16.54296875" bestFit="1" customWidth="1"/>
    <col min="2" max="2" width="11.81640625" bestFit="1" customWidth="1"/>
    <col min="3" max="3" width="17.453125" bestFit="1" customWidth="1"/>
    <col min="4" max="4" width="10.1796875" bestFit="1" customWidth="1"/>
    <col min="5" max="5" width="8.7265625" bestFit="1" customWidth="1"/>
    <col min="6" max="6" width="15.453125" bestFit="1" customWidth="1"/>
    <col min="7" max="7" width="5.81640625" bestFit="1" customWidth="1"/>
    <col min="8" max="8" width="8.1796875" bestFit="1" customWidth="1"/>
    <col min="9" max="9" width="11.7265625" bestFit="1" customWidth="1"/>
    <col min="10" max="10" width="10.54296875" bestFit="1" customWidth="1"/>
    <col min="11" max="11" width="4.54296875" bestFit="1" customWidth="1"/>
    <col min="12" max="12" width="9.54296875" bestFit="1" customWidth="1"/>
    <col min="13" max="13" width="5.54296875" bestFit="1" customWidth="1"/>
  </cols>
  <sheetData>
    <row r="1" spans="1:13" x14ac:dyDescent="0.35">
      <c r="A1" s="2" t="s">
        <v>0</v>
      </c>
      <c r="B1" s="2" t="s">
        <v>1</v>
      </c>
      <c r="C1" s="2" t="s">
        <v>3</v>
      </c>
      <c r="D1" s="2" t="s">
        <v>11</v>
      </c>
      <c r="E1" s="2" t="s">
        <v>14</v>
      </c>
      <c r="F1" s="2" t="s">
        <v>4</v>
      </c>
      <c r="G1" s="2" t="s">
        <v>2</v>
      </c>
      <c r="H1" s="2" t="s">
        <v>7</v>
      </c>
      <c r="I1" s="2" t="s">
        <v>9</v>
      </c>
      <c r="J1" s="2" t="s">
        <v>10</v>
      </c>
      <c r="K1" s="2" t="s">
        <v>12</v>
      </c>
      <c r="L1" s="2" t="s">
        <v>13</v>
      </c>
      <c r="M1" s="2" t="s">
        <v>15</v>
      </c>
    </row>
    <row r="2" spans="1:13" x14ac:dyDescent="0.35">
      <c r="A2" s="2" t="s">
        <v>490</v>
      </c>
      <c r="B2" s="3">
        <v>43713</v>
      </c>
      <c r="C2" s="2" t="s">
        <v>491</v>
      </c>
      <c r="D2" t="s">
        <v>6138</v>
      </c>
      <c r="E2" s="2">
        <v>2</v>
      </c>
      <c r="F2" s="2"/>
      <c r="G2" s="2"/>
      <c r="H2" s="2"/>
    </row>
    <row r="3" spans="1:13" x14ac:dyDescent="0.35">
      <c r="A3" s="2" t="s">
        <v>490</v>
      </c>
      <c r="B3" s="3">
        <v>43713</v>
      </c>
      <c r="C3" s="2" t="s">
        <v>491</v>
      </c>
      <c r="D3" t="s">
        <v>6139</v>
      </c>
      <c r="E3" s="2">
        <v>5</v>
      </c>
      <c r="F3" s="2"/>
      <c r="G3" s="2"/>
      <c r="H3" s="2"/>
    </row>
    <row r="4" spans="1:13" x14ac:dyDescent="0.35">
      <c r="A4" s="2" t="s">
        <v>501</v>
      </c>
      <c r="B4" s="3">
        <v>44364</v>
      </c>
      <c r="C4" s="2" t="s">
        <v>502</v>
      </c>
      <c r="D4" t="s">
        <v>6140</v>
      </c>
      <c r="E4" s="2">
        <v>1</v>
      </c>
      <c r="F4" s="2"/>
      <c r="G4" s="2"/>
      <c r="H4" s="2"/>
    </row>
    <row r="5" spans="1:13" x14ac:dyDescent="0.35">
      <c r="A5" s="2" t="s">
        <v>512</v>
      </c>
      <c r="B5" s="3">
        <v>44392</v>
      </c>
      <c r="C5" s="2" t="s">
        <v>513</v>
      </c>
      <c r="D5" t="s">
        <v>6141</v>
      </c>
      <c r="E5" s="2">
        <v>2</v>
      </c>
      <c r="F5" s="2"/>
      <c r="G5" s="2"/>
      <c r="H5" s="2"/>
    </row>
    <row r="6" spans="1:13" x14ac:dyDescent="0.35">
      <c r="A6" s="2" t="s">
        <v>512</v>
      </c>
      <c r="B6" s="3">
        <v>44392</v>
      </c>
      <c r="C6" s="2" t="s">
        <v>513</v>
      </c>
      <c r="D6" t="s">
        <v>6142</v>
      </c>
      <c r="E6" s="2">
        <v>2</v>
      </c>
      <c r="F6" s="2"/>
      <c r="G6" s="2"/>
      <c r="H6" s="2"/>
    </row>
    <row r="7" spans="1:13" x14ac:dyDescent="0.35">
      <c r="A7" s="2" t="s">
        <v>519</v>
      </c>
      <c r="B7" s="3">
        <v>44412</v>
      </c>
      <c r="C7" s="2" t="s">
        <v>520</v>
      </c>
      <c r="D7" t="s">
        <v>6143</v>
      </c>
      <c r="E7" s="2">
        <v>3</v>
      </c>
      <c r="F7" s="2"/>
      <c r="G7" s="2"/>
      <c r="H7" s="2"/>
    </row>
    <row r="8" spans="1:13" x14ac:dyDescent="0.35">
      <c r="A8" s="2" t="s">
        <v>524</v>
      </c>
      <c r="B8" s="3">
        <v>44582</v>
      </c>
      <c r="C8" s="2" t="s">
        <v>525</v>
      </c>
      <c r="D8" t="s">
        <v>6144</v>
      </c>
      <c r="E8" s="2">
        <v>3</v>
      </c>
      <c r="F8" s="2"/>
      <c r="G8" s="2"/>
      <c r="H8" s="2"/>
    </row>
    <row r="9" spans="1:13" x14ac:dyDescent="0.35">
      <c r="A9" s="2" t="s">
        <v>530</v>
      </c>
      <c r="B9" s="3">
        <v>44701</v>
      </c>
      <c r="C9" s="2" t="s">
        <v>531</v>
      </c>
      <c r="D9" t="s">
        <v>6145</v>
      </c>
      <c r="E9" s="2">
        <v>1</v>
      </c>
      <c r="F9" s="2"/>
      <c r="G9" s="2"/>
      <c r="H9" s="2"/>
    </row>
    <row r="10" spans="1:13" x14ac:dyDescent="0.35">
      <c r="A10" s="2" t="s">
        <v>535</v>
      </c>
      <c r="B10" s="3">
        <v>43467</v>
      </c>
      <c r="C10" s="2" t="s">
        <v>536</v>
      </c>
      <c r="D10" t="s">
        <v>6146</v>
      </c>
      <c r="E10" s="2">
        <v>3</v>
      </c>
      <c r="F10" s="2"/>
      <c r="G10" s="2"/>
      <c r="H10" s="2"/>
    </row>
    <row r="11" spans="1:13" x14ac:dyDescent="0.35">
      <c r="A11" s="2" t="s">
        <v>541</v>
      </c>
      <c r="B11" s="3">
        <v>43713</v>
      </c>
      <c r="C11" s="2" t="s">
        <v>542</v>
      </c>
      <c r="D11" t="s">
        <v>6146</v>
      </c>
      <c r="E11" s="2">
        <v>1</v>
      </c>
      <c r="F11" s="2"/>
      <c r="G11" s="2"/>
      <c r="H11" s="2"/>
    </row>
    <row r="12" spans="1:13" x14ac:dyDescent="0.35">
      <c r="A12" s="2" t="s">
        <v>547</v>
      </c>
      <c r="B12" s="3">
        <v>44263</v>
      </c>
      <c r="C12" s="2" t="s">
        <v>548</v>
      </c>
      <c r="D12" t="s">
        <v>6147</v>
      </c>
      <c r="E12" s="2">
        <v>4</v>
      </c>
      <c r="F12" s="2"/>
      <c r="G12" s="2"/>
      <c r="H12" s="2"/>
    </row>
    <row r="13" spans="1:13" x14ac:dyDescent="0.35">
      <c r="A13" s="2" t="s">
        <v>553</v>
      </c>
      <c r="B13" s="3">
        <v>44132</v>
      </c>
      <c r="C13" s="2" t="s">
        <v>554</v>
      </c>
      <c r="D13" t="s">
        <v>6148</v>
      </c>
      <c r="E13" s="2">
        <v>5</v>
      </c>
      <c r="F13" s="2"/>
      <c r="G13" s="2"/>
      <c r="H13" s="2"/>
    </row>
    <row r="14" spans="1:13" x14ac:dyDescent="0.35">
      <c r="A14" s="2" t="s">
        <v>559</v>
      </c>
      <c r="B14" s="3">
        <v>44744</v>
      </c>
      <c r="C14" s="2" t="s">
        <v>560</v>
      </c>
      <c r="D14" t="s">
        <v>6138</v>
      </c>
      <c r="E14" s="2">
        <v>5</v>
      </c>
      <c r="F14" s="2"/>
      <c r="G14" s="2"/>
      <c r="H14" s="2"/>
    </row>
    <row r="15" spans="1:13" x14ac:dyDescent="0.35">
      <c r="A15" s="2" t="s">
        <v>565</v>
      </c>
      <c r="B15" s="3">
        <v>43973</v>
      </c>
      <c r="C15" s="2" t="s">
        <v>566</v>
      </c>
      <c r="D15" t="s">
        <v>6149</v>
      </c>
      <c r="E15" s="2">
        <v>2</v>
      </c>
      <c r="F15" s="2"/>
      <c r="G15" s="2"/>
      <c r="H15" s="2"/>
    </row>
    <row r="16" spans="1:13" x14ac:dyDescent="0.35">
      <c r="A16" s="2" t="s">
        <v>570</v>
      </c>
      <c r="B16" s="3">
        <v>44656</v>
      </c>
      <c r="C16" s="2" t="s">
        <v>571</v>
      </c>
      <c r="D16" t="s">
        <v>6150</v>
      </c>
      <c r="E16" s="2">
        <v>3</v>
      </c>
      <c r="F16" s="2"/>
      <c r="G16" s="2"/>
      <c r="H16" s="2"/>
    </row>
    <row r="17" spans="1:8" x14ac:dyDescent="0.35">
      <c r="A17" s="2" t="s">
        <v>576</v>
      </c>
      <c r="B17" s="3">
        <v>44719</v>
      </c>
      <c r="C17" s="2" t="s">
        <v>577</v>
      </c>
      <c r="D17" t="s">
        <v>6151</v>
      </c>
      <c r="E17" s="2">
        <v>5</v>
      </c>
      <c r="F17" s="2"/>
      <c r="G17" s="2"/>
      <c r="H17" s="2"/>
    </row>
    <row r="18" spans="1:8" x14ac:dyDescent="0.35">
      <c r="A18" s="2" t="s">
        <v>581</v>
      </c>
      <c r="B18" s="3">
        <v>43544</v>
      </c>
      <c r="C18" s="2" t="s">
        <v>582</v>
      </c>
      <c r="D18" t="s">
        <v>6152</v>
      </c>
      <c r="E18" s="2">
        <v>6</v>
      </c>
      <c r="F18" s="2"/>
      <c r="G18" s="2"/>
      <c r="H18" s="2"/>
    </row>
    <row r="19" spans="1:8" x14ac:dyDescent="0.35">
      <c r="A19" s="2" t="s">
        <v>587</v>
      </c>
      <c r="B19" s="3">
        <v>43757</v>
      </c>
      <c r="C19" s="2" t="s">
        <v>588</v>
      </c>
      <c r="D19" t="s">
        <v>6140</v>
      </c>
      <c r="E19" s="2">
        <v>6</v>
      </c>
      <c r="F19" s="2"/>
      <c r="G19" s="2"/>
      <c r="H19" s="2"/>
    </row>
    <row r="20" spans="1:8" x14ac:dyDescent="0.35">
      <c r="A20" s="2" t="s">
        <v>593</v>
      </c>
      <c r="B20" s="3">
        <v>43629</v>
      </c>
      <c r="C20" s="2" t="s">
        <v>594</v>
      </c>
      <c r="D20" t="s">
        <v>6149</v>
      </c>
      <c r="E20" s="2">
        <v>4</v>
      </c>
      <c r="F20" s="2"/>
      <c r="G20" s="2"/>
      <c r="H20" s="2"/>
    </row>
    <row r="21" spans="1:8" x14ac:dyDescent="0.35">
      <c r="A21" s="2" t="s">
        <v>598</v>
      </c>
      <c r="B21" s="3">
        <v>44169</v>
      </c>
      <c r="C21" s="2" t="s">
        <v>599</v>
      </c>
      <c r="D21" t="s">
        <v>6152</v>
      </c>
      <c r="E21" s="2">
        <v>5</v>
      </c>
      <c r="F21" s="2"/>
      <c r="G21" s="2"/>
      <c r="H21" s="2"/>
    </row>
    <row r="22" spans="1:8" x14ac:dyDescent="0.35">
      <c r="A22" s="2" t="s">
        <v>598</v>
      </c>
      <c r="B22" s="3">
        <v>44169</v>
      </c>
      <c r="C22" s="2" t="s">
        <v>599</v>
      </c>
      <c r="D22" t="s">
        <v>6153</v>
      </c>
      <c r="E22" s="2">
        <v>4</v>
      </c>
      <c r="F22" s="2"/>
      <c r="G22" s="2"/>
      <c r="H22" s="2"/>
    </row>
    <row r="23" spans="1:8" x14ac:dyDescent="0.35">
      <c r="A23" s="2" t="s">
        <v>608</v>
      </c>
      <c r="B23" s="3">
        <v>44169</v>
      </c>
      <c r="C23" s="2" t="s">
        <v>609</v>
      </c>
      <c r="D23" t="s">
        <v>6154</v>
      </c>
      <c r="E23" s="2">
        <v>6</v>
      </c>
      <c r="F23" s="2"/>
      <c r="G23" s="2"/>
      <c r="H23" s="2"/>
    </row>
    <row r="24" spans="1:8" x14ac:dyDescent="0.35">
      <c r="A24" s="2" t="s">
        <v>614</v>
      </c>
      <c r="B24" s="3">
        <v>44218</v>
      </c>
      <c r="C24" s="2" t="s">
        <v>615</v>
      </c>
      <c r="D24" t="s">
        <v>6151</v>
      </c>
      <c r="E24" s="2">
        <v>4</v>
      </c>
      <c r="F24" s="2"/>
      <c r="G24" s="2"/>
      <c r="H24" s="2"/>
    </row>
    <row r="25" spans="1:8" x14ac:dyDescent="0.35">
      <c r="A25" s="2" t="s">
        <v>620</v>
      </c>
      <c r="B25" s="3">
        <v>44603</v>
      </c>
      <c r="C25" s="2" t="s">
        <v>621</v>
      </c>
      <c r="D25" t="s">
        <v>6154</v>
      </c>
      <c r="E25" s="2">
        <v>4</v>
      </c>
      <c r="F25" s="2"/>
      <c r="G25" s="2"/>
      <c r="H25" s="2"/>
    </row>
    <row r="26" spans="1:8" x14ac:dyDescent="0.35">
      <c r="A26" s="2" t="s">
        <v>626</v>
      </c>
      <c r="B26" s="3">
        <v>44454</v>
      </c>
      <c r="C26" s="2" t="s">
        <v>627</v>
      </c>
      <c r="D26" t="s">
        <v>6155</v>
      </c>
      <c r="E26" s="2">
        <v>1</v>
      </c>
      <c r="F26" s="2"/>
      <c r="G26" s="2"/>
      <c r="H26" s="2"/>
    </row>
    <row r="27" spans="1:8" x14ac:dyDescent="0.35">
      <c r="A27" s="2" t="s">
        <v>632</v>
      </c>
      <c r="B27" s="3">
        <v>44128</v>
      </c>
      <c r="C27" s="2" t="s">
        <v>633</v>
      </c>
      <c r="D27" t="s">
        <v>6156</v>
      </c>
      <c r="E27" s="2">
        <v>3</v>
      </c>
      <c r="F27" s="2"/>
      <c r="G27" s="2"/>
      <c r="H27" s="2"/>
    </row>
    <row r="28" spans="1:8" x14ac:dyDescent="0.35">
      <c r="A28" s="2" t="s">
        <v>637</v>
      </c>
      <c r="B28" s="3">
        <v>43516</v>
      </c>
      <c r="C28" s="2" t="s">
        <v>638</v>
      </c>
      <c r="D28" t="s">
        <v>6157</v>
      </c>
      <c r="E28" s="2">
        <v>4</v>
      </c>
      <c r="F28" s="2"/>
      <c r="G28" s="2"/>
      <c r="H28" s="2"/>
    </row>
    <row r="29" spans="1:8" x14ac:dyDescent="0.35">
      <c r="A29" s="2" t="s">
        <v>643</v>
      </c>
      <c r="B29" s="3">
        <v>43746</v>
      </c>
      <c r="C29" s="2" t="s">
        <v>644</v>
      </c>
      <c r="D29" t="s">
        <v>6152</v>
      </c>
      <c r="E29" s="2">
        <v>5</v>
      </c>
      <c r="F29" s="2"/>
      <c r="G29" s="2"/>
      <c r="H29" s="2"/>
    </row>
    <row r="30" spans="1:8" x14ac:dyDescent="0.35">
      <c r="A30" s="2" t="s">
        <v>649</v>
      </c>
      <c r="B30" s="3">
        <v>44775</v>
      </c>
      <c r="C30" s="2" t="s">
        <v>650</v>
      </c>
      <c r="D30" t="s">
        <v>6158</v>
      </c>
      <c r="E30" s="2">
        <v>3</v>
      </c>
      <c r="F30" s="2"/>
      <c r="G30" s="2"/>
      <c r="H30" s="2"/>
    </row>
    <row r="31" spans="1:8" x14ac:dyDescent="0.35">
      <c r="A31" s="2" t="s">
        <v>655</v>
      </c>
      <c r="B31" s="3">
        <v>43516</v>
      </c>
      <c r="C31" s="2" t="s">
        <v>656</v>
      </c>
      <c r="D31" t="s">
        <v>6147</v>
      </c>
      <c r="E31" s="2">
        <v>4</v>
      </c>
      <c r="F31" s="2"/>
      <c r="G31" s="2"/>
      <c r="H31" s="2"/>
    </row>
    <row r="32" spans="1:8" x14ac:dyDescent="0.35">
      <c r="A32" s="2" t="s">
        <v>661</v>
      </c>
      <c r="B32" s="3">
        <v>44464</v>
      </c>
      <c r="C32" s="2" t="s">
        <v>662</v>
      </c>
      <c r="D32" t="s">
        <v>6159</v>
      </c>
      <c r="E32" s="2">
        <v>5</v>
      </c>
      <c r="F32" s="2"/>
      <c r="G32" s="2"/>
      <c r="H32" s="2"/>
    </row>
    <row r="33" spans="1:8" x14ac:dyDescent="0.35">
      <c r="A33" s="2" t="s">
        <v>661</v>
      </c>
      <c r="B33" s="3">
        <v>44464</v>
      </c>
      <c r="C33" s="2" t="s">
        <v>662</v>
      </c>
      <c r="D33" t="s">
        <v>6158</v>
      </c>
      <c r="E33" s="2">
        <v>6</v>
      </c>
      <c r="F33" s="2"/>
      <c r="G33" s="2"/>
      <c r="H33" s="2"/>
    </row>
    <row r="34" spans="1:8" x14ac:dyDescent="0.35">
      <c r="A34" s="2" t="s">
        <v>661</v>
      </c>
      <c r="B34" s="3">
        <v>44464</v>
      </c>
      <c r="C34" s="2" t="s">
        <v>662</v>
      </c>
      <c r="D34" t="s">
        <v>6160</v>
      </c>
      <c r="E34" s="2">
        <v>6</v>
      </c>
      <c r="F34" s="2"/>
      <c r="G34" s="2"/>
      <c r="H34" s="2"/>
    </row>
    <row r="35" spans="1:8" x14ac:dyDescent="0.35">
      <c r="A35" s="2" t="s">
        <v>676</v>
      </c>
      <c r="B35" s="3">
        <v>44394</v>
      </c>
      <c r="C35" s="2" t="s">
        <v>677</v>
      </c>
      <c r="D35" t="s">
        <v>6145</v>
      </c>
      <c r="E35" s="2">
        <v>5</v>
      </c>
      <c r="F35" s="2"/>
      <c r="G35" s="2"/>
      <c r="H35" s="2"/>
    </row>
    <row r="36" spans="1:8" x14ac:dyDescent="0.35">
      <c r="A36" s="2" t="s">
        <v>681</v>
      </c>
      <c r="B36" s="3">
        <v>44011</v>
      </c>
      <c r="C36" s="2" t="s">
        <v>682</v>
      </c>
      <c r="D36" t="s">
        <v>6161</v>
      </c>
      <c r="E36" s="2">
        <v>6</v>
      </c>
      <c r="F36" s="2"/>
      <c r="G36" s="2"/>
      <c r="H36" s="2"/>
    </row>
    <row r="37" spans="1:8" x14ac:dyDescent="0.35">
      <c r="A37" s="2" t="s">
        <v>687</v>
      </c>
      <c r="B37" s="3">
        <v>44348</v>
      </c>
      <c r="C37" s="2" t="s">
        <v>688</v>
      </c>
      <c r="D37" t="s">
        <v>6158</v>
      </c>
      <c r="E37" s="2">
        <v>6</v>
      </c>
      <c r="F37" s="2"/>
      <c r="G37" s="2"/>
      <c r="H37" s="2"/>
    </row>
    <row r="38" spans="1:8" x14ac:dyDescent="0.35">
      <c r="A38" s="2" t="s">
        <v>693</v>
      </c>
      <c r="B38" s="3">
        <v>44233</v>
      </c>
      <c r="C38" s="2" t="s">
        <v>694</v>
      </c>
      <c r="D38" t="s">
        <v>6159</v>
      </c>
      <c r="E38" s="2">
        <v>2</v>
      </c>
      <c r="F38" s="2"/>
      <c r="G38" s="2"/>
      <c r="H38" s="2"/>
    </row>
    <row r="39" spans="1:8" x14ac:dyDescent="0.35">
      <c r="A39" s="2" t="s">
        <v>699</v>
      </c>
      <c r="B39" s="3">
        <v>43580</v>
      </c>
      <c r="C39" s="2" t="s">
        <v>700</v>
      </c>
      <c r="D39" t="s">
        <v>6161</v>
      </c>
      <c r="E39" s="2">
        <v>3</v>
      </c>
      <c r="F39" s="2"/>
      <c r="G39" s="2"/>
      <c r="H39" s="2"/>
    </row>
    <row r="40" spans="1:8" x14ac:dyDescent="0.35">
      <c r="A40" s="2" t="s">
        <v>705</v>
      </c>
      <c r="B40" s="3">
        <v>43946</v>
      </c>
      <c r="C40" s="2" t="s">
        <v>706</v>
      </c>
      <c r="D40" t="s">
        <v>6151</v>
      </c>
      <c r="E40" s="2">
        <v>5</v>
      </c>
      <c r="F40" s="2"/>
      <c r="G40" s="2"/>
      <c r="H40" s="2"/>
    </row>
    <row r="41" spans="1:8" x14ac:dyDescent="0.35">
      <c r="A41" s="2" t="s">
        <v>711</v>
      </c>
      <c r="B41" s="3">
        <v>44524</v>
      </c>
      <c r="C41" s="2" t="s">
        <v>712</v>
      </c>
      <c r="D41" t="s">
        <v>6138</v>
      </c>
      <c r="E41" s="2">
        <v>6</v>
      </c>
      <c r="F41" s="2"/>
      <c r="G41" s="2"/>
      <c r="H41" s="2"/>
    </row>
    <row r="42" spans="1:8" x14ac:dyDescent="0.35">
      <c r="A42" s="2" t="s">
        <v>715</v>
      </c>
      <c r="B42" s="3">
        <v>44305</v>
      </c>
      <c r="C42" s="2" t="s">
        <v>716</v>
      </c>
      <c r="D42" t="s">
        <v>6162</v>
      </c>
      <c r="E42" s="2">
        <v>3</v>
      </c>
      <c r="F42" s="2"/>
      <c r="G42" s="2"/>
      <c r="H42" s="2"/>
    </row>
    <row r="43" spans="1:8" x14ac:dyDescent="0.35">
      <c r="A43" s="2" t="s">
        <v>720</v>
      </c>
      <c r="B43" s="3">
        <v>44749</v>
      </c>
      <c r="C43" s="2" t="s">
        <v>721</v>
      </c>
      <c r="D43" t="s">
        <v>6153</v>
      </c>
      <c r="E43" s="2">
        <v>2</v>
      </c>
      <c r="F43" s="2"/>
      <c r="G43" s="2"/>
      <c r="H43" s="2"/>
    </row>
    <row r="44" spans="1:8" x14ac:dyDescent="0.35">
      <c r="A44" s="2" t="s">
        <v>726</v>
      </c>
      <c r="B44" s="3">
        <v>43607</v>
      </c>
      <c r="C44" s="2" t="s">
        <v>727</v>
      </c>
      <c r="D44" t="s">
        <v>6163</v>
      </c>
      <c r="E44" s="2">
        <v>3</v>
      </c>
      <c r="F44" s="2"/>
      <c r="G44" s="2"/>
      <c r="H44" s="2"/>
    </row>
    <row r="45" spans="1:8" x14ac:dyDescent="0.35">
      <c r="A45" s="2" t="s">
        <v>733</v>
      </c>
      <c r="B45" s="3">
        <v>44473</v>
      </c>
      <c r="C45" s="2" t="s">
        <v>734</v>
      </c>
      <c r="D45" t="s">
        <v>6164</v>
      </c>
      <c r="E45" s="2">
        <v>2</v>
      </c>
      <c r="F45" s="2"/>
      <c r="G45" s="2"/>
      <c r="H45" s="2"/>
    </row>
    <row r="46" spans="1:8" x14ac:dyDescent="0.35">
      <c r="A46" s="2" t="s">
        <v>738</v>
      </c>
      <c r="B46" s="3">
        <v>43932</v>
      </c>
      <c r="C46" s="2" t="s">
        <v>739</v>
      </c>
      <c r="D46" t="s">
        <v>6139</v>
      </c>
      <c r="E46" s="2">
        <v>2</v>
      </c>
      <c r="F46" s="2"/>
      <c r="G46" s="2"/>
      <c r="H46" s="2"/>
    </row>
    <row r="47" spans="1:8" x14ac:dyDescent="0.35">
      <c r="A47" s="2" t="s">
        <v>744</v>
      </c>
      <c r="B47" s="3">
        <v>44592</v>
      </c>
      <c r="C47" s="2" t="s">
        <v>745</v>
      </c>
      <c r="D47" t="s">
        <v>6165</v>
      </c>
      <c r="E47" s="2">
        <v>6</v>
      </c>
      <c r="F47" s="2"/>
      <c r="G47" s="2"/>
      <c r="H47" s="2"/>
    </row>
    <row r="48" spans="1:8" x14ac:dyDescent="0.35">
      <c r="A48" s="2" t="s">
        <v>750</v>
      </c>
      <c r="B48" s="3">
        <v>43776</v>
      </c>
      <c r="C48" s="2" t="s">
        <v>751</v>
      </c>
      <c r="D48" t="s">
        <v>6166</v>
      </c>
      <c r="E48" s="2">
        <v>2</v>
      </c>
      <c r="F48" s="2"/>
      <c r="G48" s="2"/>
      <c r="H48" s="2"/>
    </row>
    <row r="49" spans="1:8" x14ac:dyDescent="0.35">
      <c r="A49" s="2" t="s">
        <v>755</v>
      </c>
      <c r="B49" s="3">
        <v>43644</v>
      </c>
      <c r="C49" s="2" t="s">
        <v>756</v>
      </c>
      <c r="D49" t="s">
        <v>6167</v>
      </c>
      <c r="E49" s="2">
        <v>2</v>
      </c>
      <c r="F49" s="2"/>
      <c r="G49" s="2"/>
      <c r="H49" s="2"/>
    </row>
    <row r="50" spans="1:8" x14ac:dyDescent="0.35">
      <c r="A50" s="2" t="s">
        <v>761</v>
      </c>
      <c r="B50" s="3">
        <v>44085</v>
      </c>
      <c r="C50" s="2" t="s">
        <v>762</v>
      </c>
      <c r="D50" t="s">
        <v>6168</v>
      </c>
      <c r="E50" s="2">
        <v>4</v>
      </c>
      <c r="F50" s="2"/>
      <c r="G50" s="2"/>
      <c r="H50" s="2"/>
    </row>
    <row r="51" spans="1:8" x14ac:dyDescent="0.35">
      <c r="A51" s="2" t="s">
        <v>766</v>
      </c>
      <c r="B51" s="3">
        <v>44790</v>
      </c>
      <c r="C51" s="2" t="s">
        <v>767</v>
      </c>
      <c r="D51" t="s">
        <v>6140</v>
      </c>
      <c r="E51" s="2">
        <v>3</v>
      </c>
      <c r="F51" s="2"/>
      <c r="G51" s="2"/>
      <c r="H51" s="2"/>
    </row>
    <row r="52" spans="1:8" x14ac:dyDescent="0.35">
      <c r="A52" s="2" t="s">
        <v>772</v>
      </c>
      <c r="B52" s="3">
        <v>44792</v>
      </c>
      <c r="C52" s="2" t="s">
        <v>773</v>
      </c>
      <c r="D52" t="s">
        <v>6169</v>
      </c>
      <c r="E52" s="2">
        <v>2</v>
      </c>
      <c r="F52" s="2"/>
      <c r="G52" s="2"/>
      <c r="H52" s="2"/>
    </row>
    <row r="53" spans="1:8" x14ac:dyDescent="0.35">
      <c r="A53" s="2" t="s">
        <v>778</v>
      </c>
      <c r="B53" s="3">
        <v>43600</v>
      </c>
      <c r="C53" s="2" t="s">
        <v>779</v>
      </c>
      <c r="D53" t="s">
        <v>6164</v>
      </c>
      <c r="E53" s="2">
        <v>4</v>
      </c>
      <c r="F53" s="2"/>
      <c r="G53" s="2"/>
      <c r="H53" s="2"/>
    </row>
    <row r="54" spans="1:8" x14ac:dyDescent="0.35">
      <c r="A54" s="2" t="s">
        <v>784</v>
      </c>
      <c r="B54" s="3">
        <v>43719</v>
      </c>
      <c r="C54" s="2" t="s">
        <v>785</v>
      </c>
      <c r="D54" t="s">
        <v>6146</v>
      </c>
      <c r="E54" s="2">
        <v>5</v>
      </c>
      <c r="F54" s="2"/>
      <c r="G54" s="2"/>
      <c r="H54" s="2"/>
    </row>
    <row r="55" spans="1:8" x14ac:dyDescent="0.35">
      <c r="A55" s="2" t="s">
        <v>784</v>
      </c>
      <c r="B55" s="3">
        <v>43719</v>
      </c>
      <c r="C55" s="2" t="s">
        <v>785</v>
      </c>
      <c r="D55" t="s">
        <v>6164</v>
      </c>
      <c r="E55" s="2">
        <v>2</v>
      </c>
      <c r="F55" s="2"/>
      <c r="G55" s="2"/>
      <c r="H55" s="2"/>
    </row>
    <row r="56" spans="1:8" x14ac:dyDescent="0.35">
      <c r="A56" s="2" t="s">
        <v>794</v>
      </c>
      <c r="B56" s="3">
        <v>44271</v>
      </c>
      <c r="C56" s="2" t="s">
        <v>795</v>
      </c>
      <c r="D56" t="s">
        <v>6162</v>
      </c>
      <c r="E56" s="2">
        <v>5</v>
      </c>
      <c r="F56" s="2"/>
      <c r="G56" s="2"/>
      <c r="H56" s="2"/>
    </row>
    <row r="57" spans="1:8" x14ac:dyDescent="0.35">
      <c r="A57" s="2" t="s">
        <v>800</v>
      </c>
      <c r="B57" s="3">
        <v>44168</v>
      </c>
      <c r="C57" s="2" t="s">
        <v>801</v>
      </c>
      <c r="D57" t="s">
        <v>6170</v>
      </c>
      <c r="E57" s="2">
        <v>3</v>
      </c>
      <c r="F57" s="2"/>
      <c r="G57" s="2"/>
      <c r="H57" s="2"/>
    </row>
    <row r="58" spans="1:8" x14ac:dyDescent="0.35">
      <c r="A58" s="2" t="s">
        <v>805</v>
      </c>
      <c r="B58" s="3">
        <v>43857</v>
      </c>
      <c r="C58" s="2" t="s">
        <v>806</v>
      </c>
      <c r="D58" t="s">
        <v>6153</v>
      </c>
      <c r="E58" s="2">
        <v>3</v>
      </c>
      <c r="F58" s="2"/>
      <c r="G58" s="2"/>
      <c r="H58" s="2"/>
    </row>
    <row r="59" spans="1:8" x14ac:dyDescent="0.35">
      <c r="A59" s="2" t="s">
        <v>811</v>
      </c>
      <c r="B59" s="3">
        <v>44759</v>
      </c>
      <c r="C59" s="2" t="s">
        <v>812</v>
      </c>
      <c r="D59" t="s">
        <v>6171</v>
      </c>
      <c r="E59" s="2">
        <v>4</v>
      </c>
      <c r="F59" s="2"/>
      <c r="G59" s="2"/>
      <c r="H59" s="2"/>
    </row>
    <row r="60" spans="1:8" x14ac:dyDescent="0.35">
      <c r="A60" s="2" t="s">
        <v>817</v>
      </c>
      <c r="B60" s="3">
        <v>44624</v>
      </c>
      <c r="C60" s="2" t="s">
        <v>818</v>
      </c>
      <c r="D60" t="s">
        <v>6165</v>
      </c>
      <c r="E60" s="2">
        <v>3</v>
      </c>
      <c r="F60" s="2"/>
      <c r="G60" s="2"/>
      <c r="H60" s="2"/>
    </row>
    <row r="61" spans="1:8" x14ac:dyDescent="0.35">
      <c r="A61" s="2" t="s">
        <v>822</v>
      </c>
      <c r="B61" s="3">
        <v>44537</v>
      </c>
      <c r="C61" s="2" t="s">
        <v>823</v>
      </c>
      <c r="D61" t="s">
        <v>6160</v>
      </c>
      <c r="E61" s="2">
        <v>3</v>
      </c>
      <c r="F61" s="2"/>
      <c r="G61" s="2"/>
      <c r="H61" s="2"/>
    </row>
    <row r="62" spans="1:8" x14ac:dyDescent="0.35">
      <c r="A62" s="2" t="s">
        <v>827</v>
      </c>
      <c r="B62" s="3">
        <v>44252</v>
      </c>
      <c r="C62" s="2" t="s">
        <v>828</v>
      </c>
      <c r="D62" t="s">
        <v>6168</v>
      </c>
      <c r="E62" s="2">
        <v>5</v>
      </c>
      <c r="F62" s="2"/>
      <c r="G62" s="2"/>
      <c r="H62" s="2"/>
    </row>
    <row r="63" spans="1:8" x14ac:dyDescent="0.35">
      <c r="A63" s="2" t="s">
        <v>833</v>
      </c>
      <c r="B63" s="3">
        <v>43521</v>
      </c>
      <c r="C63" s="2" t="s">
        <v>834</v>
      </c>
      <c r="D63" t="s">
        <v>6172</v>
      </c>
      <c r="E63" s="2">
        <v>5</v>
      </c>
      <c r="F63" s="2"/>
      <c r="G63" s="2"/>
      <c r="H63" s="2"/>
    </row>
    <row r="64" spans="1:8" x14ac:dyDescent="0.35">
      <c r="A64" s="2" t="s">
        <v>838</v>
      </c>
      <c r="B64" s="3">
        <v>43505</v>
      </c>
      <c r="C64" s="2" t="s">
        <v>839</v>
      </c>
      <c r="D64" t="s">
        <v>6145</v>
      </c>
      <c r="E64" s="2">
        <v>5</v>
      </c>
      <c r="F64" s="2"/>
      <c r="G64" s="2"/>
      <c r="H64" s="2"/>
    </row>
    <row r="65" spans="1:8" x14ac:dyDescent="0.35">
      <c r="A65" s="2" t="s">
        <v>843</v>
      </c>
      <c r="B65" s="3">
        <v>43868</v>
      </c>
      <c r="C65" s="2" t="s">
        <v>844</v>
      </c>
      <c r="D65" t="s">
        <v>6157</v>
      </c>
      <c r="E65" s="2">
        <v>1</v>
      </c>
      <c r="F65" s="2"/>
      <c r="G65" s="2"/>
      <c r="H65" s="2"/>
    </row>
    <row r="66" spans="1:8" x14ac:dyDescent="0.35">
      <c r="A66" s="2" t="s">
        <v>849</v>
      </c>
      <c r="B66" s="3">
        <v>43913</v>
      </c>
      <c r="C66" s="2" t="s">
        <v>850</v>
      </c>
      <c r="D66" t="s">
        <v>6146</v>
      </c>
      <c r="E66" s="2">
        <v>6</v>
      </c>
      <c r="F66" s="2"/>
      <c r="G66" s="2"/>
      <c r="H66" s="2"/>
    </row>
    <row r="67" spans="1:8" x14ac:dyDescent="0.35">
      <c r="A67" s="2" t="s">
        <v>854</v>
      </c>
      <c r="B67" s="3">
        <v>44626</v>
      </c>
      <c r="C67" s="2" t="s">
        <v>855</v>
      </c>
      <c r="D67" t="s">
        <v>6149</v>
      </c>
      <c r="E67" s="2">
        <v>4</v>
      </c>
      <c r="F67" s="2"/>
      <c r="G67" s="2"/>
      <c r="H67" s="2"/>
    </row>
    <row r="68" spans="1:8" x14ac:dyDescent="0.35">
      <c r="A68" s="2" t="s">
        <v>860</v>
      </c>
      <c r="B68" s="3">
        <v>44666</v>
      </c>
      <c r="C68" s="2" t="s">
        <v>861</v>
      </c>
      <c r="D68" t="s">
        <v>6173</v>
      </c>
      <c r="E68" s="2">
        <v>1</v>
      </c>
      <c r="F68" s="2"/>
      <c r="G68" s="2"/>
      <c r="H68" s="2"/>
    </row>
    <row r="69" spans="1:8" x14ac:dyDescent="0.35">
      <c r="A69" s="2" t="s">
        <v>866</v>
      </c>
      <c r="B69" s="3">
        <v>44519</v>
      </c>
      <c r="C69" s="2" t="s">
        <v>867</v>
      </c>
      <c r="D69" t="s">
        <v>6145</v>
      </c>
      <c r="E69" s="2">
        <v>2</v>
      </c>
      <c r="F69" s="2"/>
      <c r="G69" s="2"/>
      <c r="H69" s="2"/>
    </row>
    <row r="70" spans="1:8" x14ac:dyDescent="0.35">
      <c r="A70" s="2" t="s">
        <v>872</v>
      </c>
      <c r="B70" s="3">
        <v>43754</v>
      </c>
      <c r="C70" s="2" t="s">
        <v>873</v>
      </c>
      <c r="D70" t="s">
        <v>6174</v>
      </c>
      <c r="E70" s="2">
        <v>1</v>
      </c>
      <c r="F70" s="2"/>
      <c r="G70" s="2"/>
      <c r="H70" s="2"/>
    </row>
    <row r="71" spans="1:8" x14ac:dyDescent="0.35">
      <c r="A71" s="2" t="s">
        <v>878</v>
      </c>
      <c r="B71" s="3">
        <v>43795</v>
      </c>
      <c r="C71" s="2" t="s">
        <v>879</v>
      </c>
      <c r="D71" t="s">
        <v>6138</v>
      </c>
      <c r="E71" s="2">
        <v>6</v>
      </c>
      <c r="F71" s="2"/>
      <c r="G71" s="2"/>
      <c r="H71" s="2"/>
    </row>
    <row r="72" spans="1:8" x14ac:dyDescent="0.35">
      <c r="A72" s="2" t="s">
        <v>885</v>
      </c>
      <c r="B72" s="3">
        <v>43646</v>
      </c>
      <c r="C72" s="2" t="s">
        <v>886</v>
      </c>
      <c r="D72" t="s">
        <v>6148</v>
      </c>
      <c r="E72" s="2">
        <v>4</v>
      </c>
      <c r="F72" s="2"/>
      <c r="G72" s="2"/>
      <c r="H72" s="2"/>
    </row>
    <row r="73" spans="1:8" x14ac:dyDescent="0.35">
      <c r="A73" s="2" t="s">
        <v>891</v>
      </c>
      <c r="B73" s="3">
        <v>44200</v>
      </c>
      <c r="C73" s="2" t="s">
        <v>892</v>
      </c>
      <c r="D73" t="s">
        <v>6145</v>
      </c>
      <c r="E73" s="2">
        <v>2</v>
      </c>
      <c r="F73" s="2"/>
      <c r="G73" s="2"/>
      <c r="H73" s="2"/>
    </row>
    <row r="74" spans="1:8" x14ac:dyDescent="0.35">
      <c r="A74" s="2" t="s">
        <v>897</v>
      </c>
      <c r="B74" s="3">
        <v>44131</v>
      </c>
      <c r="C74" s="2" t="s">
        <v>898</v>
      </c>
      <c r="D74" t="s">
        <v>6175</v>
      </c>
      <c r="E74" s="2">
        <v>3</v>
      </c>
      <c r="F74" s="2"/>
      <c r="G74" s="2"/>
      <c r="H74" s="2"/>
    </row>
    <row r="75" spans="1:8" x14ac:dyDescent="0.35">
      <c r="A75" s="2" t="s">
        <v>902</v>
      </c>
      <c r="B75" s="3">
        <v>44362</v>
      </c>
      <c r="C75" s="2" t="s">
        <v>903</v>
      </c>
      <c r="D75" t="s">
        <v>6159</v>
      </c>
      <c r="E75" s="2">
        <v>5</v>
      </c>
      <c r="F75" s="2"/>
      <c r="G75" s="2"/>
      <c r="H75" s="2"/>
    </row>
    <row r="76" spans="1:8" x14ac:dyDescent="0.35">
      <c r="A76" s="2" t="s">
        <v>907</v>
      </c>
      <c r="B76" s="3">
        <v>44396</v>
      </c>
      <c r="C76" s="2" t="s">
        <v>908</v>
      </c>
      <c r="D76" t="s">
        <v>6176</v>
      </c>
      <c r="E76" s="2">
        <v>2</v>
      </c>
      <c r="F76" s="2"/>
      <c r="G76" s="2"/>
      <c r="H76" s="2"/>
    </row>
    <row r="77" spans="1:8" x14ac:dyDescent="0.35">
      <c r="A77" s="2" t="s">
        <v>913</v>
      </c>
      <c r="B77" s="3">
        <v>44400</v>
      </c>
      <c r="C77" s="2" t="s">
        <v>914</v>
      </c>
      <c r="D77" t="s">
        <v>6177</v>
      </c>
      <c r="E77" s="2">
        <v>6</v>
      </c>
      <c r="F77" s="2"/>
      <c r="G77" s="2"/>
      <c r="H77" s="2"/>
    </row>
    <row r="78" spans="1:8" x14ac:dyDescent="0.35">
      <c r="A78" s="2" t="s">
        <v>919</v>
      </c>
      <c r="B78" s="3">
        <v>43855</v>
      </c>
      <c r="C78" s="2" t="s">
        <v>920</v>
      </c>
      <c r="D78" t="s">
        <v>6178</v>
      </c>
      <c r="E78" s="2">
        <v>1</v>
      </c>
      <c r="F78" s="2"/>
      <c r="G78" s="2"/>
      <c r="H78" s="2"/>
    </row>
    <row r="79" spans="1:8" x14ac:dyDescent="0.35">
      <c r="A79" s="2" t="s">
        <v>924</v>
      </c>
      <c r="B79" s="3">
        <v>43594</v>
      </c>
      <c r="C79" s="2" t="s">
        <v>925</v>
      </c>
      <c r="D79" t="s">
        <v>6153</v>
      </c>
      <c r="E79" s="2">
        <v>2</v>
      </c>
      <c r="F79" s="2"/>
      <c r="G79" s="2"/>
      <c r="H79" s="2"/>
    </row>
    <row r="80" spans="1:8" x14ac:dyDescent="0.35">
      <c r="A80" s="2" t="s">
        <v>930</v>
      </c>
      <c r="B80" s="3">
        <v>43920</v>
      </c>
      <c r="C80" s="2" t="s">
        <v>931</v>
      </c>
      <c r="D80" t="s">
        <v>6157</v>
      </c>
      <c r="E80" s="2">
        <v>6</v>
      </c>
      <c r="F80" s="2"/>
      <c r="G80" s="2"/>
      <c r="H80" s="2"/>
    </row>
    <row r="81" spans="1:8" x14ac:dyDescent="0.35">
      <c r="A81" s="2" t="s">
        <v>936</v>
      </c>
      <c r="B81" s="3">
        <v>44633</v>
      </c>
      <c r="C81" s="2" t="s">
        <v>937</v>
      </c>
      <c r="D81" t="s">
        <v>6179</v>
      </c>
      <c r="E81" s="2">
        <v>4</v>
      </c>
      <c r="F81" s="2"/>
      <c r="G81" s="2"/>
      <c r="H81" s="2"/>
    </row>
    <row r="82" spans="1:8" x14ac:dyDescent="0.35">
      <c r="A82" s="2" t="s">
        <v>942</v>
      </c>
      <c r="B82" s="3">
        <v>43572</v>
      </c>
      <c r="C82" s="2" t="s">
        <v>943</v>
      </c>
      <c r="D82" t="s">
        <v>6180</v>
      </c>
      <c r="E82" s="2">
        <v>5</v>
      </c>
      <c r="F82" s="2"/>
      <c r="G82" s="2"/>
      <c r="H82" s="2"/>
    </row>
    <row r="83" spans="1:8" x14ac:dyDescent="0.35">
      <c r="A83" s="2" t="s">
        <v>948</v>
      </c>
      <c r="B83" s="3">
        <v>43763</v>
      </c>
      <c r="C83" s="2" t="s">
        <v>949</v>
      </c>
      <c r="D83" t="s">
        <v>6164</v>
      </c>
      <c r="E83" s="2">
        <v>3</v>
      </c>
      <c r="F83" s="2"/>
      <c r="G83" s="2"/>
      <c r="H83" s="2"/>
    </row>
    <row r="84" spans="1:8" x14ac:dyDescent="0.35">
      <c r="A84" s="2" t="s">
        <v>954</v>
      </c>
      <c r="B84" s="3">
        <v>43721</v>
      </c>
      <c r="C84" s="2" t="s">
        <v>955</v>
      </c>
      <c r="D84" t="s">
        <v>6181</v>
      </c>
      <c r="E84" s="2">
        <v>3</v>
      </c>
      <c r="F84" s="2"/>
      <c r="G84" s="2"/>
      <c r="H84" s="2"/>
    </row>
    <row r="85" spans="1:8" x14ac:dyDescent="0.35">
      <c r="A85" s="2" t="s">
        <v>960</v>
      </c>
      <c r="B85" s="3">
        <v>43933</v>
      </c>
      <c r="C85" s="2" t="s">
        <v>961</v>
      </c>
      <c r="D85" t="s">
        <v>6149</v>
      </c>
      <c r="E85" s="2">
        <v>4</v>
      </c>
      <c r="F85" s="2"/>
      <c r="G85" s="2"/>
      <c r="H85" s="2"/>
    </row>
    <row r="86" spans="1:8" x14ac:dyDescent="0.35">
      <c r="A86" s="2" t="s">
        <v>965</v>
      </c>
      <c r="B86" s="3">
        <v>43783</v>
      </c>
      <c r="C86" s="2" t="s">
        <v>966</v>
      </c>
      <c r="D86" t="s">
        <v>6161</v>
      </c>
      <c r="E86" s="2">
        <v>1</v>
      </c>
      <c r="F86" s="2"/>
      <c r="G86" s="2"/>
      <c r="H86" s="2"/>
    </row>
    <row r="87" spans="1:8" x14ac:dyDescent="0.35">
      <c r="A87" s="2" t="s">
        <v>971</v>
      </c>
      <c r="B87" s="3">
        <v>43664</v>
      </c>
      <c r="C87" s="2" t="s">
        <v>972</v>
      </c>
      <c r="D87" t="s">
        <v>6182</v>
      </c>
      <c r="E87" s="2">
        <v>3</v>
      </c>
      <c r="F87" s="2"/>
      <c r="G87" s="2"/>
      <c r="H87" s="2"/>
    </row>
    <row r="88" spans="1:8" x14ac:dyDescent="0.35">
      <c r="A88" s="2" t="s">
        <v>971</v>
      </c>
      <c r="B88" s="3">
        <v>43664</v>
      </c>
      <c r="C88" s="2" t="s">
        <v>972</v>
      </c>
      <c r="D88" t="s">
        <v>6154</v>
      </c>
      <c r="E88" s="2">
        <v>4</v>
      </c>
      <c r="F88" s="2"/>
      <c r="G88" s="2"/>
      <c r="H88" s="2"/>
    </row>
    <row r="89" spans="1:8" x14ac:dyDescent="0.35">
      <c r="A89" s="2" t="s">
        <v>980</v>
      </c>
      <c r="B89" s="3">
        <v>44289</v>
      </c>
      <c r="C89" s="2" t="s">
        <v>981</v>
      </c>
      <c r="D89" t="s">
        <v>6155</v>
      </c>
      <c r="E89" s="2">
        <v>3</v>
      </c>
      <c r="F89" s="2"/>
      <c r="G89" s="2"/>
      <c r="H89" s="2"/>
    </row>
    <row r="90" spans="1:8" x14ac:dyDescent="0.35">
      <c r="A90" s="2" t="s">
        <v>985</v>
      </c>
      <c r="B90" s="3">
        <v>44284</v>
      </c>
      <c r="C90" s="2" t="s">
        <v>986</v>
      </c>
      <c r="D90" t="s">
        <v>6179</v>
      </c>
      <c r="E90" s="2">
        <v>3</v>
      </c>
      <c r="F90" s="2"/>
      <c r="G90" s="2"/>
      <c r="H90" s="2"/>
    </row>
    <row r="91" spans="1:8" x14ac:dyDescent="0.35">
      <c r="A91" s="2" t="s">
        <v>990</v>
      </c>
      <c r="B91" s="3">
        <v>44545</v>
      </c>
      <c r="C91" s="2" t="s">
        <v>991</v>
      </c>
      <c r="D91" t="s">
        <v>6140</v>
      </c>
      <c r="E91" s="2">
        <v>6</v>
      </c>
      <c r="F91" s="2"/>
      <c r="G91" s="2"/>
      <c r="H91" s="2"/>
    </row>
    <row r="92" spans="1:8" x14ac:dyDescent="0.35">
      <c r="A92" s="2" t="s">
        <v>996</v>
      </c>
      <c r="B92" s="3">
        <v>43971</v>
      </c>
      <c r="C92" s="2" t="s">
        <v>997</v>
      </c>
      <c r="D92" t="s">
        <v>6140</v>
      </c>
      <c r="E92" s="2">
        <v>4</v>
      </c>
      <c r="F92" s="2"/>
      <c r="G92" s="2"/>
      <c r="H92" s="2"/>
    </row>
    <row r="93" spans="1:8" x14ac:dyDescent="0.35">
      <c r="A93" s="2" t="s">
        <v>1001</v>
      </c>
      <c r="B93" s="3">
        <v>44137</v>
      </c>
      <c r="C93" s="2" t="s">
        <v>1002</v>
      </c>
      <c r="D93" t="s">
        <v>6175</v>
      </c>
      <c r="E93" s="2">
        <v>4</v>
      </c>
      <c r="F93" s="2"/>
      <c r="G93" s="2"/>
      <c r="H93" s="2"/>
    </row>
    <row r="94" spans="1:8" x14ac:dyDescent="0.35">
      <c r="A94" s="2" t="s">
        <v>1007</v>
      </c>
      <c r="B94" s="3">
        <v>44037</v>
      </c>
      <c r="C94" s="2" t="s">
        <v>1008</v>
      </c>
      <c r="D94" t="s">
        <v>6171</v>
      </c>
      <c r="E94" s="2">
        <v>3</v>
      </c>
      <c r="F94" s="2"/>
      <c r="G94" s="2"/>
      <c r="H94" s="2"/>
    </row>
    <row r="95" spans="1:8" x14ac:dyDescent="0.35">
      <c r="A95" s="2" t="s">
        <v>1012</v>
      </c>
      <c r="B95" s="3">
        <v>43538</v>
      </c>
      <c r="C95" s="2" t="s">
        <v>1013</v>
      </c>
      <c r="D95" t="s">
        <v>6176</v>
      </c>
      <c r="E95" s="2">
        <v>4</v>
      </c>
      <c r="F95" s="2"/>
      <c r="G95" s="2"/>
      <c r="H95" s="2"/>
    </row>
    <row r="96" spans="1:8" x14ac:dyDescent="0.35">
      <c r="A96" s="2" t="s">
        <v>1018</v>
      </c>
      <c r="B96" s="3">
        <v>44014</v>
      </c>
      <c r="C96" s="2" t="s">
        <v>1019</v>
      </c>
      <c r="D96" t="s">
        <v>6154</v>
      </c>
      <c r="E96" s="2">
        <v>6</v>
      </c>
      <c r="F96" s="2"/>
      <c r="G96" s="2"/>
      <c r="H96" s="2"/>
    </row>
    <row r="97" spans="1:8" x14ac:dyDescent="0.35">
      <c r="A97" s="2" t="s">
        <v>1022</v>
      </c>
      <c r="B97" s="3">
        <v>43816</v>
      </c>
      <c r="C97" s="2" t="s">
        <v>1023</v>
      </c>
      <c r="D97" t="s">
        <v>6175</v>
      </c>
      <c r="E97" s="2">
        <v>6</v>
      </c>
      <c r="F97" s="2"/>
      <c r="G97" s="2"/>
      <c r="H97" s="2"/>
    </row>
    <row r="98" spans="1:8" x14ac:dyDescent="0.35">
      <c r="A98" s="2" t="s">
        <v>1027</v>
      </c>
      <c r="B98" s="3">
        <v>44171</v>
      </c>
      <c r="C98" s="2" t="s">
        <v>1028</v>
      </c>
      <c r="D98" t="s">
        <v>6154</v>
      </c>
      <c r="E98" s="2">
        <v>2</v>
      </c>
      <c r="F98" s="2"/>
      <c r="G98" s="2"/>
      <c r="H98" s="2"/>
    </row>
    <row r="99" spans="1:8" x14ac:dyDescent="0.35">
      <c r="A99" s="2" t="s">
        <v>1032</v>
      </c>
      <c r="B99" s="3">
        <v>44259</v>
      </c>
      <c r="C99" s="2" t="s">
        <v>1033</v>
      </c>
      <c r="D99" t="s">
        <v>6157</v>
      </c>
      <c r="E99" s="2">
        <v>2</v>
      </c>
      <c r="F99" s="2"/>
      <c r="G99" s="2"/>
      <c r="H99" s="2"/>
    </row>
    <row r="100" spans="1:8" x14ac:dyDescent="0.35">
      <c r="A100" s="2" t="s">
        <v>1038</v>
      </c>
      <c r="B100" s="3">
        <v>44394</v>
      </c>
      <c r="C100" s="2" t="s">
        <v>1039</v>
      </c>
      <c r="D100" t="s">
        <v>6154</v>
      </c>
      <c r="E100" s="2">
        <v>1</v>
      </c>
      <c r="F100" s="2"/>
      <c r="G100" s="2"/>
      <c r="H100" s="2"/>
    </row>
    <row r="101" spans="1:8" x14ac:dyDescent="0.35">
      <c r="A101" s="2" t="s">
        <v>1043</v>
      </c>
      <c r="B101" s="3">
        <v>44139</v>
      </c>
      <c r="C101" s="2" t="s">
        <v>1044</v>
      </c>
      <c r="D101" t="s">
        <v>6159</v>
      </c>
      <c r="E101" s="2">
        <v>3</v>
      </c>
      <c r="F101" s="2"/>
      <c r="G101" s="2"/>
      <c r="H101" s="2"/>
    </row>
    <row r="102" spans="1:8" x14ac:dyDescent="0.35">
      <c r="A102" s="2" t="s">
        <v>1048</v>
      </c>
      <c r="B102" s="3">
        <v>44291</v>
      </c>
      <c r="C102" s="2" t="s">
        <v>1049</v>
      </c>
      <c r="D102" t="s">
        <v>6167</v>
      </c>
      <c r="E102" s="2">
        <v>2</v>
      </c>
      <c r="F102" s="2"/>
      <c r="G102" s="2"/>
      <c r="H102" s="2"/>
    </row>
    <row r="103" spans="1:8" x14ac:dyDescent="0.35">
      <c r="A103" s="2" t="s">
        <v>1053</v>
      </c>
      <c r="B103" s="3">
        <v>43891</v>
      </c>
      <c r="C103" s="2" t="s">
        <v>1054</v>
      </c>
      <c r="D103" t="s">
        <v>6165</v>
      </c>
      <c r="E103" s="2">
        <v>5</v>
      </c>
      <c r="F103" s="2"/>
      <c r="G103" s="2"/>
      <c r="H103" s="2"/>
    </row>
    <row r="104" spans="1:8" x14ac:dyDescent="0.35">
      <c r="A104" s="2" t="s">
        <v>1059</v>
      </c>
      <c r="B104" s="3">
        <v>44488</v>
      </c>
      <c r="C104" s="2" t="s">
        <v>1060</v>
      </c>
      <c r="D104" t="s">
        <v>6143</v>
      </c>
      <c r="E104" s="2">
        <v>3</v>
      </c>
      <c r="F104" s="2"/>
      <c r="G104" s="2"/>
      <c r="H104" s="2"/>
    </row>
    <row r="105" spans="1:8" x14ac:dyDescent="0.35">
      <c r="A105" s="2" t="s">
        <v>1065</v>
      </c>
      <c r="B105" s="3">
        <v>44750</v>
      </c>
      <c r="C105" s="2" t="s">
        <v>1066</v>
      </c>
      <c r="D105" t="s">
        <v>6174</v>
      </c>
      <c r="E105" s="2">
        <v>4</v>
      </c>
      <c r="F105" s="2"/>
      <c r="G105" s="2"/>
      <c r="H105" s="2"/>
    </row>
    <row r="106" spans="1:8" x14ac:dyDescent="0.35">
      <c r="A106" s="2" t="s">
        <v>1071</v>
      </c>
      <c r="B106" s="3">
        <v>43694</v>
      </c>
      <c r="C106" s="2" t="s">
        <v>1072</v>
      </c>
      <c r="D106" t="s">
        <v>6162</v>
      </c>
      <c r="E106" s="2">
        <v>6</v>
      </c>
      <c r="F106" s="2"/>
      <c r="G106" s="2"/>
      <c r="H106" s="2"/>
    </row>
    <row r="107" spans="1:8" x14ac:dyDescent="0.35">
      <c r="A107" s="2" t="s">
        <v>1077</v>
      </c>
      <c r="B107" s="3">
        <v>43982</v>
      </c>
      <c r="C107" s="2" t="s">
        <v>1078</v>
      </c>
      <c r="D107" t="s">
        <v>6157</v>
      </c>
      <c r="E107" s="2">
        <v>6</v>
      </c>
      <c r="F107" s="2"/>
      <c r="G107" s="2"/>
      <c r="H107" s="2"/>
    </row>
    <row r="108" spans="1:8" x14ac:dyDescent="0.35">
      <c r="A108" s="2" t="s">
        <v>1083</v>
      </c>
      <c r="B108" s="3">
        <v>43956</v>
      </c>
      <c r="C108" s="2" t="s">
        <v>1084</v>
      </c>
      <c r="D108" t="s">
        <v>6183</v>
      </c>
      <c r="E108" s="2">
        <v>2</v>
      </c>
      <c r="F108" s="2"/>
      <c r="G108" s="2"/>
      <c r="H108" s="2"/>
    </row>
    <row r="109" spans="1:8" x14ac:dyDescent="0.35">
      <c r="A109" s="2" t="s">
        <v>1089</v>
      </c>
      <c r="B109" s="3">
        <v>43569</v>
      </c>
      <c r="C109" s="2" t="s">
        <v>1090</v>
      </c>
      <c r="D109" t="s">
        <v>6146</v>
      </c>
      <c r="E109" s="2">
        <v>3</v>
      </c>
      <c r="F109" s="2"/>
      <c r="G109" s="2"/>
      <c r="H109" s="2"/>
    </row>
    <row r="110" spans="1:8" x14ac:dyDescent="0.35">
      <c r="A110" s="2" t="s">
        <v>1095</v>
      </c>
      <c r="B110" s="3">
        <v>44041</v>
      </c>
      <c r="C110" s="2" t="s">
        <v>1096</v>
      </c>
      <c r="D110" t="s">
        <v>6157</v>
      </c>
      <c r="E110" s="2">
        <v>4</v>
      </c>
      <c r="F110" s="2"/>
      <c r="G110" s="2"/>
      <c r="H110" s="2"/>
    </row>
    <row r="111" spans="1:8" x14ac:dyDescent="0.35">
      <c r="A111" s="2" t="s">
        <v>1100</v>
      </c>
      <c r="B111" s="3">
        <v>43811</v>
      </c>
      <c r="C111" s="2" t="s">
        <v>1101</v>
      </c>
      <c r="D111" t="s">
        <v>6169</v>
      </c>
      <c r="E111" s="2">
        <v>1</v>
      </c>
      <c r="F111" s="2"/>
      <c r="G111" s="2"/>
      <c r="H111" s="2"/>
    </row>
    <row r="112" spans="1:8" x14ac:dyDescent="0.35">
      <c r="A112" s="2" t="s">
        <v>1106</v>
      </c>
      <c r="B112" s="3">
        <v>44727</v>
      </c>
      <c r="C112" s="2" t="s">
        <v>1107</v>
      </c>
      <c r="D112" t="s">
        <v>6184</v>
      </c>
      <c r="E112" s="2">
        <v>3</v>
      </c>
      <c r="F112" s="2"/>
      <c r="G112" s="2"/>
      <c r="H112" s="2"/>
    </row>
    <row r="113" spans="1:8" x14ac:dyDescent="0.35">
      <c r="A113" s="2" t="s">
        <v>1112</v>
      </c>
      <c r="B113" s="3">
        <v>43642</v>
      </c>
      <c r="C113" s="2" t="s">
        <v>1113</v>
      </c>
      <c r="D113" t="s">
        <v>6172</v>
      </c>
      <c r="E113" s="2">
        <v>5</v>
      </c>
      <c r="F113" s="2"/>
      <c r="G113" s="2"/>
      <c r="H113" s="2"/>
    </row>
    <row r="114" spans="1:8" x14ac:dyDescent="0.35">
      <c r="A114" s="2" t="s">
        <v>1117</v>
      </c>
      <c r="B114" s="3">
        <v>44481</v>
      </c>
      <c r="C114" s="2" t="s">
        <v>1118</v>
      </c>
      <c r="D114" t="s">
        <v>6155</v>
      </c>
      <c r="E114" s="2">
        <v>1</v>
      </c>
      <c r="F114" s="2"/>
      <c r="G114" s="2"/>
      <c r="H114" s="2"/>
    </row>
    <row r="115" spans="1:8" x14ac:dyDescent="0.35">
      <c r="A115" s="2" t="s">
        <v>1123</v>
      </c>
      <c r="B115" s="3">
        <v>43556</v>
      </c>
      <c r="C115" s="2" t="s">
        <v>1124</v>
      </c>
      <c r="D115" t="s">
        <v>6162</v>
      </c>
      <c r="E115" s="2">
        <v>1</v>
      </c>
      <c r="F115" s="2"/>
      <c r="G115" s="2"/>
      <c r="H115" s="2"/>
    </row>
    <row r="116" spans="1:8" x14ac:dyDescent="0.35">
      <c r="A116" s="2" t="s">
        <v>1129</v>
      </c>
      <c r="B116" s="3">
        <v>44265</v>
      </c>
      <c r="C116" s="2" t="s">
        <v>1130</v>
      </c>
      <c r="D116" t="s">
        <v>6178</v>
      </c>
      <c r="E116" s="2">
        <v>4</v>
      </c>
      <c r="F116" s="2"/>
      <c r="G116" s="2"/>
      <c r="H116" s="2"/>
    </row>
    <row r="117" spans="1:8" x14ac:dyDescent="0.35">
      <c r="A117" s="2" t="s">
        <v>1134</v>
      </c>
      <c r="B117" s="3">
        <v>43693</v>
      </c>
      <c r="C117" s="2" t="s">
        <v>1135</v>
      </c>
      <c r="D117" t="s">
        <v>6170</v>
      </c>
      <c r="E117" s="2">
        <v>1</v>
      </c>
      <c r="F117" s="2"/>
      <c r="G117" s="2"/>
      <c r="H117" s="2"/>
    </row>
    <row r="118" spans="1:8" x14ac:dyDescent="0.35">
      <c r="A118" s="2" t="s">
        <v>1140</v>
      </c>
      <c r="B118" s="3">
        <v>44054</v>
      </c>
      <c r="C118" s="2" t="s">
        <v>1141</v>
      </c>
      <c r="D118" t="s">
        <v>6145</v>
      </c>
      <c r="E118" s="2">
        <v>4</v>
      </c>
      <c r="F118" s="2"/>
      <c r="G118" s="2"/>
      <c r="H118" s="2"/>
    </row>
    <row r="119" spans="1:8" x14ac:dyDescent="0.35">
      <c r="A119" s="2" t="s">
        <v>1146</v>
      </c>
      <c r="B119" s="3">
        <v>44656</v>
      </c>
      <c r="C119" s="2" t="s">
        <v>1147</v>
      </c>
      <c r="D119" t="s">
        <v>6161</v>
      </c>
      <c r="E119" s="2">
        <v>4</v>
      </c>
      <c r="F119" s="2"/>
      <c r="G119" s="2"/>
      <c r="H119" s="2"/>
    </row>
    <row r="120" spans="1:8" x14ac:dyDescent="0.35">
      <c r="A120" s="2" t="s">
        <v>1152</v>
      </c>
      <c r="B120" s="3">
        <v>43760</v>
      </c>
      <c r="C120" s="2" t="s">
        <v>1153</v>
      </c>
      <c r="D120" t="s">
        <v>6144</v>
      </c>
      <c r="E120" s="2">
        <v>3</v>
      </c>
      <c r="F120" s="2"/>
      <c r="G120" s="2"/>
      <c r="H120" s="2"/>
    </row>
    <row r="121" spans="1:8" x14ac:dyDescent="0.35">
      <c r="A121" s="2" t="s">
        <v>1158</v>
      </c>
      <c r="B121" s="3">
        <v>44471</v>
      </c>
      <c r="C121" s="2" t="s">
        <v>1159</v>
      </c>
      <c r="D121" t="s">
        <v>6156</v>
      </c>
      <c r="E121" s="2">
        <v>1</v>
      </c>
      <c r="F121" s="2"/>
      <c r="G121" s="2"/>
      <c r="H121" s="2"/>
    </row>
    <row r="122" spans="1:8" x14ac:dyDescent="0.35">
      <c r="A122" s="2" t="s">
        <v>1158</v>
      </c>
      <c r="B122" s="3">
        <v>44471</v>
      </c>
      <c r="C122" s="2" t="s">
        <v>1159</v>
      </c>
      <c r="D122" t="s">
        <v>6167</v>
      </c>
      <c r="E122" s="2">
        <v>1</v>
      </c>
      <c r="F122" s="2"/>
      <c r="G122" s="2"/>
      <c r="H122" s="2"/>
    </row>
    <row r="123" spans="1:8" x14ac:dyDescent="0.35">
      <c r="A123" s="2" t="s">
        <v>1158</v>
      </c>
      <c r="B123" s="3">
        <v>44471</v>
      </c>
      <c r="C123" s="2" t="s">
        <v>1159</v>
      </c>
      <c r="D123" t="s">
        <v>6141</v>
      </c>
      <c r="E123" s="2">
        <v>5</v>
      </c>
      <c r="F123" s="2"/>
      <c r="G123" s="2"/>
      <c r="H123" s="2"/>
    </row>
    <row r="124" spans="1:8" x14ac:dyDescent="0.35">
      <c r="A124" s="2" t="s">
        <v>1174</v>
      </c>
      <c r="B124" s="3">
        <v>44268</v>
      </c>
      <c r="C124" s="2" t="s">
        <v>1175</v>
      </c>
      <c r="D124" t="s">
        <v>6158</v>
      </c>
      <c r="E124" s="2">
        <v>4</v>
      </c>
      <c r="F124" s="2"/>
      <c r="G124" s="2"/>
      <c r="H124" s="2"/>
    </row>
    <row r="125" spans="1:8" x14ac:dyDescent="0.35">
      <c r="A125" s="2" t="s">
        <v>1180</v>
      </c>
      <c r="B125" s="3">
        <v>44724</v>
      </c>
      <c r="C125" s="2" t="s">
        <v>1181</v>
      </c>
      <c r="D125" t="s">
        <v>6164</v>
      </c>
      <c r="E125" s="2">
        <v>4</v>
      </c>
      <c r="F125" s="2"/>
      <c r="G125" s="2"/>
      <c r="H125" s="2"/>
    </row>
    <row r="126" spans="1:8" x14ac:dyDescent="0.35">
      <c r="A126" s="2" t="s">
        <v>1186</v>
      </c>
      <c r="B126" s="3">
        <v>43582</v>
      </c>
      <c r="C126" s="2" t="s">
        <v>1187</v>
      </c>
      <c r="D126" t="s">
        <v>6159</v>
      </c>
      <c r="E126" s="2">
        <v>5</v>
      </c>
      <c r="F126" s="2"/>
      <c r="G126" s="2"/>
      <c r="H126" s="2"/>
    </row>
    <row r="127" spans="1:8" x14ac:dyDescent="0.35">
      <c r="A127" s="2" t="s">
        <v>1192</v>
      </c>
      <c r="B127" s="3">
        <v>43608</v>
      </c>
      <c r="C127" s="2" t="s">
        <v>1193</v>
      </c>
      <c r="D127" t="s">
        <v>6160</v>
      </c>
      <c r="E127" s="2">
        <v>3</v>
      </c>
      <c r="F127" s="2"/>
      <c r="G127" s="2"/>
      <c r="H127" s="2"/>
    </row>
    <row r="128" spans="1:8" x14ac:dyDescent="0.35">
      <c r="A128" s="2" t="s">
        <v>1198</v>
      </c>
      <c r="B128" s="3">
        <v>44026</v>
      </c>
      <c r="C128" s="2" t="s">
        <v>1199</v>
      </c>
      <c r="D128" t="s">
        <v>6155</v>
      </c>
      <c r="E128" s="2">
        <v>1</v>
      </c>
      <c r="F128" s="2"/>
      <c r="G128" s="2"/>
      <c r="H128" s="2"/>
    </row>
    <row r="129" spans="1:8" x14ac:dyDescent="0.35">
      <c r="A129" s="2" t="s">
        <v>1204</v>
      </c>
      <c r="B129" s="3">
        <v>44510</v>
      </c>
      <c r="C129" s="2" t="s">
        <v>1205</v>
      </c>
      <c r="D129" t="s">
        <v>6143</v>
      </c>
      <c r="E129" s="2">
        <v>6</v>
      </c>
      <c r="F129" s="2"/>
      <c r="G129" s="2"/>
      <c r="H129" s="2"/>
    </row>
    <row r="130" spans="1:8" x14ac:dyDescent="0.35">
      <c r="A130" s="2" t="s">
        <v>1210</v>
      </c>
      <c r="B130" s="3">
        <v>44439</v>
      </c>
      <c r="C130" s="2" t="s">
        <v>1211</v>
      </c>
      <c r="D130" t="s">
        <v>6157</v>
      </c>
      <c r="E130" s="2">
        <v>1</v>
      </c>
      <c r="F130" s="2"/>
      <c r="G130" s="2"/>
      <c r="H130" s="2"/>
    </row>
    <row r="131" spans="1:8" x14ac:dyDescent="0.35">
      <c r="A131" s="2" t="s">
        <v>1216</v>
      </c>
      <c r="B131" s="3">
        <v>43652</v>
      </c>
      <c r="C131" s="2" t="s">
        <v>1217</v>
      </c>
      <c r="D131" t="s">
        <v>6183</v>
      </c>
      <c r="E131" s="2">
        <v>1</v>
      </c>
      <c r="F131" s="2"/>
      <c r="G131" s="2"/>
      <c r="H131" s="2"/>
    </row>
    <row r="132" spans="1:8" x14ac:dyDescent="0.35">
      <c r="A132" s="2" t="s">
        <v>1222</v>
      </c>
      <c r="B132" s="3">
        <v>44624</v>
      </c>
      <c r="C132" s="2" t="s">
        <v>1223</v>
      </c>
      <c r="D132" t="s">
        <v>6182</v>
      </c>
      <c r="E132" s="2">
        <v>5</v>
      </c>
      <c r="F132" s="2"/>
      <c r="G132" s="2"/>
      <c r="H132" s="2"/>
    </row>
    <row r="133" spans="1:8" x14ac:dyDescent="0.35">
      <c r="A133" s="2" t="s">
        <v>1227</v>
      </c>
      <c r="B133" s="3">
        <v>44196</v>
      </c>
      <c r="C133" s="2" t="s">
        <v>1228</v>
      </c>
      <c r="D133" t="s">
        <v>6144</v>
      </c>
      <c r="E133" s="2">
        <v>2</v>
      </c>
      <c r="F133" s="2"/>
      <c r="G133" s="2"/>
      <c r="H133" s="2"/>
    </row>
    <row r="134" spans="1:8" x14ac:dyDescent="0.35">
      <c r="A134" s="2" t="s">
        <v>1233</v>
      </c>
      <c r="B134" s="3">
        <v>44043</v>
      </c>
      <c r="C134" s="2" t="s">
        <v>1234</v>
      </c>
      <c r="D134" t="s">
        <v>6182</v>
      </c>
      <c r="E134" s="2">
        <v>5</v>
      </c>
      <c r="F134" s="2"/>
      <c r="G134" s="2"/>
      <c r="H134" s="2"/>
    </row>
    <row r="135" spans="1:8" x14ac:dyDescent="0.35">
      <c r="A135" s="2" t="s">
        <v>1239</v>
      </c>
      <c r="B135" s="3">
        <v>44340</v>
      </c>
      <c r="C135" s="2" t="s">
        <v>1240</v>
      </c>
      <c r="D135" t="s">
        <v>6143</v>
      </c>
      <c r="E135" s="2">
        <v>1</v>
      </c>
      <c r="F135" s="2"/>
      <c r="G135" s="2"/>
      <c r="H135" s="2"/>
    </row>
    <row r="136" spans="1:8" x14ac:dyDescent="0.35">
      <c r="A136" s="2" t="s">
        <v>1245</v>
      </c>
      <c r="B136" s="3">
        <v>44758</v>
      </c>
      <c r="C136" s="2" t="s">
        <v>1246</v>
      </c>
      <c r="D136" t="s">
        <v>6166</v>
      </c>
      <c r="E136" s="2">
        <v>3</v>
      </c>
      <c r="F136" s="2"/>
      <c r="G136" s="2"/>
      <c r="H136" s="2"/>
    </row>
    <row r="137" spans="1:8" x14ac:dyDescent="0.35">
      <c r="A137" s="2" t="s">
        <v>1249</v>
      </c>
      <c r="B137" s="3">
        <v>44232</v>
      </c>
      <c r="C137" s="2" t="s">
        <v>976</v>
      </c>
      <c r="D137" t="s">
        <v>6180</v>
      </c>
      <c r="E137" s="2">
        <v>5</v>
      </c>
      <c r="F137" s="2"/>
      <c r="G137" s="2"/>
      <c r="H137" s="2"/>
    </row>
    <row r="138" spans="1:8" x14ac:dyDescent="0.35">
      <c r="A138" s="2" t="s">
        <v>1255</v>
      </c>
      <c r="B138" s="3">
        <v>44406</v>
      </c>
      <c r="C138" s="2" t="s">
        <v>1256</v>
      </c>
      <c r="D138" t="s">
        <v>6154</v>
      </c>
      <c r="E138" s="2">
        <v>4</v>
      </c>
      <c r="F138" s="2"/>
      <c r="G138" s="2"/>
      <c r="H138" s="2"/>
    </row>
    <row r="139" spans="1:8" x14ac:dyDescent="0.35">
      <c r="A139" s="2" t="s">
        <v>1261</v>
      </c>
      <c r="B139" s="3">
        <v>44637</v>
      </c>
      <c r="C139" s="2" t="s">
        <v>1262</v>
      </c>
      <c r="D139" t="s">
        <v>6148</v>
      </c>
      <c r="E139" s="2">
        <v>3</v>
      </c>
      <c r="F139" s="2"/>
      <c r="G139" s="2"/>
      <c r="H139" s="2"/>
    </row>
    <row r="140" spans="1:8" x14ac:dyDescent="0.35">
      <c r="A140" s="2" t="s">
        <v>1266</v>
      </c>
      <c r="B140" s="3">
        <v>44238</v>
      </c>
      <c r="C140" s="2" t="s">
        <v>1267</v>
      </c>
      <c r="D140" t="s">
        <v>6183</v>
      </c>
      <c r="E140" s="2">
        <v>4</v>
      </c>
      <c r="F140" s="2"/>
      <c r="G140" s="2"/>
      <c r="H140" s="2"/>
    </row>
    <row r="141" spans="1:8" x14ac:dyDescent="0.35">
      <c r="A141" s="2" t="s">
        <v>1271</v>
      </c>
      <c r="B141" s="3">
        <v>43509</v>
      </c>
      <c r="C141" s="2" t="s">
        <v>1272</v>
      </c>
      <c r="D141" t="s">
        <v>6143</v>
      </c>
      <c r="E141" s="2">
        <v>6</v>
      </c>
      <c r="F141" s="2"/>
      <c r="G141" s="2"/>
      <c r="H141" s="2"/>
    </row>
    <row r="142" spans="1:8" x14ac:dyDescent="0.35">
      <c r="A142" s="2" t="s">
        <v>1276</v>
      </c>
      <c r="B142" s="3">
        <v>44694</v>
      </c>
      <c r="C142" s="2" t="s">
        <v>1277</v>
      </c>
      <c r="D142" t="s">
        <v>6165</v>
      </c>
      <c r="E142" s="2">
        <v>1</v>
      </c>
      <c r="F142" s="2"/>
      <c r="G142" s="2"/>
      <c r="H142" s="2"/>
    </row>
    <row r="143" spans="1:8" x14ac:dyDescent="0.35">
      <c r="A143" s="2" t="s">
        <v>1283</v>
      </c>
      <c r="B143" s="3">
        <v>43970</v>
      </c>
      <c r="C143" s="2" t="s">
        <v>1284</v>
      </c>
      <c r="D143" t="s">
        <v>6167</v>
      </c>
      <c r="E143" s="2">
        <v>4</v>
      </c>
      <c r="F143" s="2"/>
      <c r="G143" s="2"/>
      <c r="H143" s="2"/>
    </row>
    <row r="144" spans="1:8" x14ac:dyDescent="0.35">
      <c r="A144" s="2" t="s">
        <v>1289</v>
      </c>
      <c r="B144" s="3">
        <v>44678</v>
      </c>
      <c r="C144" s="2" t="s">
        <v>1290</v>
      </c>
      <c r="D144" t="s">
        <v>6148</v>
      </c>
      <c r="E144" s="2">
        <v>4</v>
      </c>
      <c r="F144" s="2"/>
      <c r="G144" s="2"/>
      <c r="H144" s="2"/>
    </row>
    <row r="145" spans="1:8" x14ac:dyDescent="0.35">
      <c r="A145" s="2" t="s">
        <v>1293</v>
      </c>
      <c r="B145" s="3">
        <v>44083</v>
      </c>
      <c r="C145" s="2" t="s">
        <v>1294</v>
      </c>
      <c r="D145" t="s">
        <v>6160</v>
      </c>
      <c r="E145" s="2">
        <v>2</v>
      </c>
      <c r="F145" s="2"/>
      <c r="G145" s="2"/>
      <c r="H145" s="2"/>
    </row>
    <row r="146" spans="1:8" x14ac:dyDescent="0.35">
      <c r="A146" s="2" t="s">
        <v>1299</v>
      </c>
      <c r="B146" s="3">
        <v>44265</v>
      </c>
      <c r="C146" s="2" t="s">
        <v>1300</v>
      </c>
      <c r="D146" t="s">
        <v>6148</v>
      </c>
      <c r="E146" s="2">
        <v>2</v>
      </c>
      <c r="F146" s="2"/>
      <c r="G146" s="2"/>
      <c r="H146" s="2"/>
    </row>
    <row r="147" spans="1:8" x14ac:dyDescent="0.35">
      <c r="A147" s="2" t="s">
        <v>1305</v>
      </c>
      <c r="B147" s="3">
        <v>43562</v>
      </c>
      <c r="C147" s="2" t="s">
        <v>1306</v>
      </c>
      <c r="D147" t="s">
        <v>6159</v>
      </c>
      <c r="E147" s="2">
        <v>4</v>
      </c>
      <c r="F147" s="2"/>
      <c r="G147" s="2"/>
      <c r="H147" s="2"/>
    </row>
    <row r="148" spans="1:8" x14ac:dyDescent="0.35">
      <c r="A148" s="2" t="s">
        <v>1311</v>
      </c>
      <c r="B148" s="3">
        <v>44024</v>
      </c>
      <c r="C148" s="2" t="s">
        <v>1312</v>
      </c>
      <c r="D148" t="s">
        <v>6162</v>
      </c>
      <c r="E148" s="2">
        <v>3</v>
      </c>
      <c r="F148" s="2"/>
      <c r="G148" s="2"/>
      <c r="H148" s="2"/>
    </row>
    <row r="149" spans="1:8" x14ac:dyDescent="0.35">
      <c r="A149" s="2" t="s">
        <v>1311</v>
      </c>
      <c r="B149" s="3">
        <v>44024</v>
      </c>
      <c r="C149" s="2" t="s">
        <v>1312</v>
      </c>
      <c r="D149" t="s">
        <v>6141</v>
      </c>
      <c r="E149" s="2">
        <v>2</v>
      </c>
      <c r="F149" s="2"/>
      <c r="G149" s="2"/>
      <c r="H149" s="2"/>
    </row>
    <row r="150" spans="1:8" x14ac:dyDescent="0.35">
      <c r="A150" s="2" t="s">
        <v>1322</v>
      </c>
      <c r="B150" s="3">
        <v>44551</v>
      </c>
      <c r="C150" s="2" t="s">
        <v>1323</v>
      </c>
      <c r="D150" t="s">
        <v>6153</v>
      </c>
      <c r="E150" s="2">
        <v>5</v>
      </c>
      <c r="F150" s="2"/>
      <c r="G150" s="2"/>
      <c r="H150" s="2"/>
    </row>
    <row r="151" spans="1:8" x14ac:dyDescent="0.35">
      <c r="A151" s="2" t="s">
        <v>1328</v>
      </c>
      <c r="B151" s="3">
        <v>44108</v>
      </c>
      <c r="C151" s="2" t="s">
        <v>1329</v>
      </c>
      <c r="D151" t="s">
        <v>6175</v>
      </c>
      <c r="E151" s="2">
        <v>2</v>
      </c>
      <c r="F151" s="2"/>
      <c r="G151" s="2"/>
      <c r="H151" s="2"/>
    </row>
    <row r="152" spans="1:8" x14ac:dyDescent="0.35">
      <c r="A152" s="2" t="s">
        <v>1333</v>
      </c>
      <c r="B152" s="3">
        <v>44051</v>
      </c>
      <c r="C152" s="2" t="s">
        <v>1334</v>
      </c>
      <c r="D152" t="s">
        <v>6143</v>
      </c>
      <c r="E152" s="2">
        <v>1</v>
      </c>
      <c r="F152" s="2"/>
      <c r="G152" s="2"/>
      <c r="H152" s="2"/>
    </row>
    <row r="153" spans="1:8" x14ac:dyDescent="0.35">
      <c r="A153" s="2" t="s">
        <v>1339</v>
      </c>
      <c r="B153" s="3">
        <v>44115</v>
      </c>
      <c r="C153" s="2" t="s">
        <v>1340</v>
      </c>
      <c r="D153" t="s">
        <v>6155</v>
      </c>
      <c r="E153" s="2">
        <v>3</v>
      </c>
      <c r="F153" s="2"/>
      <c r="G153" s="2"/>
      <c r="H153" s="2"/>
    </row>
    <row r="154" spans="1:8" x14ac:dyDescent="0.35">
      <c r="A154" s="2" t="s">
        <v>1344</v>
      </c>
      <c r="B154" s="3">
        <v>44510</v>
      </c>
      <c r="C154" s="2" t="s">
        <v>1345</v>
      </c>
      <c r="D154" t="s">
        <v>6151</v>
      </c>
      <c r="E154" s="2">
        <v>3</v>
      </c>
      <c r="F154" s="2"/>
      <c r="G154" s="2"/>
      <c r="H154" s="2"/>
    </row>
    <row r="155" spans="1:8" x14ac:dyDescent="0.35">
      <c r="A155" s="2" t="s">
        <v>1350</v>
      </c>
      <c r="B155" s="3">
        <v>44367</v>
      </c>
      <c r="C155" s="2" t="s">
        <v>1351</v>
      </c>
      <c r="D155" t="s">
        <v>6163</v>
      </c>
      <c r="E155" s="2">
        <v>1</v>
      </c>
      <c r="F155" s="2"/>
      <c r="G155" s="2"/>
      <c r="H155" s="2"/>
    </row>
    <row r="156" spans="1:8" x14ac:dyDescent="0.35">
      <c r="A156" s="2" t="s">
        <v>1355</v>
      </c>
      <c r="B156" s="3">
        <v>44473</v>
      </c>
      <c r="C156" s="2" t="s">
        <v>1356</v>
      </c>
      <c r="D156" t="s">
        <v>6168</v>
      </c>
      <c r="E156" s="2">
        <v>5</v>
      </c>
      <c r="F156" s="2"/>
      <c r="G156" s="2"/>
      <c r="H156" s="2"/>
    </row>
    <row r="157" spans="1:8" x14ac:dyDescent="0.35">
      <c r="A157" s="2" t="s">
        <v>1361</v>
      </c>
      <c r="B157" s="3">
        <v>43640</v>
      </c>
      <c r="C157" s="2" t="s">
        <v>1362</v>
      </c>
      <c r="D157" t="s">
        <v>6175</v>
      </c>
      <c r="E157" s="2">
        <v>6</v>
      </c>
      <c r="F157" s="2"/>
      <c r="G157" s="2"/>
      <c r="H157" s="2"/>
    </row>
    <row r="158" spans="1:8" x14ac:dyDescent="0.35">
      <c r="A158" s="2" t="s">
        <v>1367</v>
      </c>
      <c r="B158" s="3">
        <v>43764</v>
      </c>
      <c r="C158" s="2" t="s">
        <v>1368</v>
      </c>
      <c r="D158" t="s">
        <v>6175</v>
      </c>
      <c r="E158" s="2">
        <v>3</v>
      </c>
      <c r="F158" s="2"/>
      <c r="G158" s="2"/>
      <c r="H158" s="2"/>
    </row>
    <row r="159" spans="1:8" x14ac:dyDescent="0.35">
      <c r="A159" s="2" t="s">
        <v>1373</v>
      </c>
      <c r="B159" s="3">
        <v>44374</v>
      </c>
      <c r="C159" s="2" t="s">
        <v>1374</v>
      </c>
      <c r="D159" t="s">
        <v>6149</v>
      </c>
      <c r="E159" s="2">
        <v>3</v>
      </c>
      <c r="F159" s="2"/>
      <c r="G159" s="2"/>
      <c r="H159" s="2"/>
    </row>
    <row r="160" spans="1:8" x14ac:dyDescent="0.35">
      <c r="A160" s="2" t="s">
        <v>1379</v>
      </c>
      <c r="B160" s="3">
        <v>43714</v>
      </c>
      <c r="C160" s="2" t="s">
        <v>1380</v>
      </c>
      <c r="D160" t="s">
        <v>6149</v>
      </c>
      <c r="E160" s="2">
        <v>6</v>
      </c>
      <c r="F160" s="2"/>
      <c r="G160" s="2"/>
      <c r="H160" s="2"/>
    </row>
    <row r="161" spans="1:8" x14ac:dyDescent="0.35">
      <c r="A161" s="2" t="s">
        <v>1384</v>
      </c>
      <c r="B161" s="3">
        <v>44316</v>
      </c>
      <c r="C161" s="2" t="s">
        <v>1385</v>
      </c>
      <c r="D161" t="s">
        <v>6164</v>
      </c>
      <c r="E161" s="2">
        <v>6</v>
      </c>
      <c r="F161" s="2"/>
      <c r="G161" s="2"/>
      <c r="H161" s="2"/>
    </row>
    <row r="162" spans="1:8" x14ac:dyDescent="0.35">
      <c r="A162" s="2" t="s">
        <v>1389</v>
      </c>
      <c r="B162" s="3">
        <v>43837</v>
      </c>
      <c r="C162" s="2" t="s">
        <v>1390</v>
      </c>
      <c r="D162" t="s">
        <v>6139</v>
      </c>
      <c r="E162" s="2">
        <v>4</v>
      </c>
      <c r="F162" s="2"/>
      <c r="G162" s="2"/>
      <c r="H162" s="2"/>
    </row>
    <row r="163" spans="1:8" x14ac:dyDescent="0.35">
      <c r="A163" s="2" t="s">
        <v>1395</v>
      </c>
      <c r="B163" s="3">
        <v>44207</v>
      </c>
      <c r="C163" s="2" t="s">
        <v>1396</v>
      </c>
      <c r="D163" t="s">
        <v>6180</v>
      </c>
      <c r="E163" s="2">
        <v>3</v>
      </c>
      <c r="F163" s="2"/>
      <c r="G163" s="2"/>
      <c r="H163" s="2"/>
    </row>
    <row r="164" spans="1:8" x14ac:dyDescent="0.35">
      <c r="A164" s="2" t="s">
        <v>1401</v>
      </c>
      <c r="B164" s="3">
        <v>44515</v>
      </c>
      <c r="C164" s="2" t="s">
        <v>1402</v>
      </c>
      <c r="D164" t="s">
        <v>6144</v>
      </c>
      <c r="E164" s="2">
        <v>3</v>
      </c>
      <c r="F164" s="2"/>
      <c r="G164" s="2"/>
      <c r="H164" s="2"/>
    </row>
    <row r="165" spans="1:8" x14ac:dyDescent="0.35">
      <c r="A165" s="2" t="s">
        <v>1407</v>
      </c>
      <c r="B165" s="3">
        <v>43619</v>
      </c>
      <c r="C165" s="2" t="s">
        <v>1408</v>
      </c>
      <c r="D165" t="s">
        <v>6163</v>
      </c>
      <c r="E165" s="2">
        <v>6</v>
      </c>
      <c r="F165" s="2"/>
      <c r="G165" s="2"/>
      <c r="H165" s="2"/>
    </row>
    <row r="166" spans="1:8" x14ac:dyDescent="0.35">
      <c r="A166" s="2" t="s">
        <v>1413</v>
      </c>
      <c r="B166" s="3">
        <v>44182</v>
      </c>
      <c r="C166" s="2" t="s">
        <v>1414</v>
      </c>
      <c r="D166" t="s">
        <v>6144</v>
      </c>
      <c r="E166" s="2">
        <v>4</v>
      </c>
      <c r="F166" s="2"/>
      <c r="G166" s="2"/>
      <c r="H166" s="2"/>
    </row>
    <row r="167" spans="1:8" x14ac:dyDescent="0.35">
      <c r="A167" s="2" t="s">
        <v>1420</v>
      </c>
      <c r="B167" s="3">
        <v>44234</v>
      </c>
      <c r="C167" s="2" t="s">
        <v>1421</v>
      </c>
      <c r="D167" t="s">
        <v>6177</v>
      </c>
      <c r="E167" s="2">
        <v>6</v>
      </c>
      <c r="F167" s="2"/>
      <c r="G167" s="2"/>
      <c r="H167" s="2"/>
    </row>
    <row r="168" spans="1:8" x14ac:dyDescent="0.35">
      <c r="A168" s="2" t="s">
        <v>1425</v>
      </c>
      <c r="B168" s="3">
        <v>44270</v>
      </c>
      <c r="C168" s="2" t="s">
        <v>1426</v>
      </c>
      <c r="D168" t="s">
        <v>6172</v>
      </c>
      <c r="E168" s="2">
        <v>5</v>
      </c>
      <c r="F168" s="2"/>
      <c r="G168" s="2"/>
      <c r="H168" s="2"/>
    </row>
    <row r="169" spans="1:8" x14ac:dyDescent="0.35">
      <c r="A169" s="2" t="s">
        <v>1430</v>
      </c>
      <c r="B169" s="3">
        <v>44777</v>
      </c>
      <c r="C169" s="2" t="s">
        <v>1431</v>
      </c>
      <c r="D169" t="s">
        <v>6139</v>
      </c>
      <c r="E169" s="2">
        <v>5</v>
      </c>
      <c r="F169" s="2"/>
      <c r="G169" s="2"/>
      <c r="H169" s="2"/>
    </row>
    <row r="170" spans="1:8" x14ac:dyDescent="0.35">
      <c r="A170" s="2" t="s">
        <v>1436</v>
      </c>
      <c r="B170" s="3">
        <v>43484</v>
      </c>
      <c r="C170" s="2" t="s">
        <v>1437</v>
      </c>
      <c r="D170" t="s">
        <v>6157</v>
      </c>
      <c r="E170" s="2">
        <v>6</v>
      </c>
      <c r="F170" s="2"/>
      <c r="G170" s="2"/>
      <c r="H170" s="2"/>
    </row>
    <row r="171" spans="1:8" x14ac:dyDescent="0.35">
      <c r="A171" s="2" t="s">
        <v>1441</v>
      </c>
      <c r="B171" s="3">
        <v>44643</v>
      </c>
      <c r="C171" s="2" t="s">
        <v>1442</v>
      </c>
      <c r="D171" t="s">
        <v>6177</v>
      </c>
      <c r="E171" s="2">
        <v>2</v>
      </c>
      <c r="F171" s="2"/>
      <c r="G171" s="2"/>
      <c r="H171" s="2"/>
    </row>
    <row r="172" spans="1:8" x14ac:dyDescent="0.35">
      <c r="A172" s="2" t="s">
        <v>1448</v>
      </c>
      <c r="B172" s="3">
        <v>44476</v>
      </c>
      <c r="C172" s="2" t="s">
        <v>1449</v>
      </c>
      <c r="D172" t="s">
        <v>6148</v>
      </c>
      <c r="E172" s="2">
        <v>2</v>
      </c>
      <c r="F172" s="2"/>
      <c r="G172" s="2"/>
      <c r="H172" s="2"/>
    </row>
    <row r="173" spans="1:8" x14ac:dyDescent="0.35">
      <c r="A173" s="2" t="s">
        <v>1453</v>
      </c>
      <c r="B173" s="3">
        <v>43544</v>
      </c>
      <c r="C173" s="2" t="s">
        <v>1454</v>
      </c>
      <c r="D173" t="s">
        <v>6166</v>
      </c>
      <c r="E173" s="2">
        <v>2</v>
      </c>
      <c r="F173" s="2"/>
      <c r="G173" s="2"/>
      <c r="H173" s="2"/>
    </row>
    <row r="174" spans="1:8" x14ac:dyDescent="0.35">
      <c r="A174" s="2" t="s">
        <v>1459</v>
      </c>
      <c r="B174" s="3">
        <v>44545</v>
      </c>
      <c r="C174" s="2" t="s">
        <v>1460</v>
      </c>
      <c r="D174" t="s">
        <v>6144</v>
      </c>
      <c r="E174" s="2">
        <v>3</v>
      </c>
      <c r="F174" s="2"/>
      <c r="G174" s="2"/>
      <c r="H174" s="2"/>
    </row>
    <row r="175" spans="1:8" x14ac:dyDescent="0.35">
      <c r="A175" s="2" t="s">
        <v>1464</v>
      </c>
      <c r="B175" s="3">
        <v>44720</v>
      </c>
      <c r="C175" s="2" t="s">
        <v>1465</v>
      </c>
      <c r="D175" t="s">
        <v>6151</v>
      </c>
      <c r="E175" s="2">
        <v>4</v>
      </c>
      <c r="F175" s="2"/>
      <c r="G175" s="2"/>
      <c r="H175" s="2"/>
    </row>
    <row r="176" spans="1:8" x14ac:dyDescent="0.35">
      <c r="A176" s="2" t="s">
        <v>1470</v>
      </c>
      <c r="B176" s="3">
        <v>43813</v>
      </c>
      <c r="C176" s="2" t="s">
        <v>1471</v>
      </c>
      <c r="D176" t="s">
        <v>6148</v>
      </c>
      <c r="E176" s="2">
        <v>6</v>
      </c>
      <c r="F176" s="2"/>
      <c r="G176" s="2"/>
      <c r="H176" s="2"/>
    </row>
    <row r="177" spans="1:8" x14ac:dyDescent="0.35">
      <c r="A177" s="2" t="s">
        <v>1475</v>
      </c>
      <c r="B177" s="3">
        <v>44296</v>
      </c>
      <c r="C177" s="2" t="s">
        <v>1476</v>
      </c>
      <c r="D177" t="s">
        <v>6166</v>
      </c>
      <c r="E177" s="2">
        <v>2</v>
      </c>
      <c r="F177" s="2"/>
      <c r="G177" s="2"/>
      <c r="H177" s="2"/>
    </row>
    <row r="178" spans="1:8" x14ac:dyDescent="0.35">
      <c r="A178" s="2" t="s">
        <v>1481</v>
      </c>
      <c r="B178" s="3">
        <v>43900</v>
      </c>
      <c r="C178" s="2" t="s">
        <v>1482</v>
      </c>
      <c r="D178" t="s">
        <v>6148</v>
      </c>
      <c r="E178" s="2">
        <v>1</v>
      </c>
      <c r="F178" s="2"/>
      <c r="G178" s="2"/>
      <c r="H178" s="2"/>
    </row>
    <row r="179" spans="1:8" x14ac:dyDescent="0.35">
      <c r="A179" s="2" t="s">
        <v>1487</v>
      </c>
      <c r="B179" s="3">
        <v>44120</v>
      </c>
      <c r="C179" s="2" t="s">
        <v>1488</v>
      </c>
      <c r="D179" t="s">
        <v>6142</v>
      </c>
      <c r="E179" s="2">
        <v>4</v>
      </c>
      <c r="F179" s="2"/>
      <c r="G179" s="2"/>
      <c r="H179" s="2"/>
    </row>
    <row r="180" spans="1:8" x14ac:dyDescent="0.35">
      <c r="A180" s="2" t="s">
        <v>1492</v>
      </c>
      <c r="B180" s="3">
        <v>43746</v>
      </c>
      <c r="C180" s="2" t="s">
        <v>1493</v>
      </c>
      <c r="D180" t="s">
        <v>6140</v>
      </c>
      <c r="E180" s="2">
        <v>2</v>
      </c>
      <c r="F180" s="2"/>
      <c r="G180" s="2"/>
      <c r="H180" s="2"/>
    </row>
    <row r="181" spans="1:8" x14ac:dyDescent="0.35">
      <c r="A181" s="2" t="s">
        <v>1498</v>
      </c>
      <c r="B181" s="3">
        <v>43830</v>
      </c>
      <c r="C181" s="2" t="s">
        <v>1499</v>
      </c>
      <c r="D181" t="s">
        <v>6154</v>
      </c>
      <c r="E181" s="2">
        <v>1</v>
      </c>
      <c r="F181" s="2"/>
      <c r="G181" s="2"/>
      <c r="H181" s="2"/>
    </row>
    <row r="182" spans="1:8" x14ac:dyDescent="0.35">
      <c r="A182" s="2" t="s">
        <v>1503</v>
      </c>
      <c r="B182" s="3">
        <v>43910</v>
      </c>
      <c r="C182" s="2" t="s">
        <v>1504</v>
      </c>
      <c r="D182" t="s">
        <v>6184</v>
      </c>
      <c r="E182" s="2">
        <v>5</v>
      </c>
      <c r="F182" s="2"/>
      <c r="G182" s="2"/>
      <c r="H182" s="2"/>
    </row>
    <row r="183" spans="1:8" x14ac:dyDescent="0.35">
      <c r="A183" s="2" t="s">
        <v>1503</v>
      </c>
      <c r="B183" s="3">
        <v>43910</v>
      </c>
      <c r="C183" s="2" t="s">
        <v>1504</v>
      </c>
      <c r="D183" t="s">
        <v>6158</v>
      </c>
      <c r="E183" s="2">
        <v>5</v>
      </c>
      <c r="F183" s="2"/>
      <c r="G183" s="2"/>
      <c r="H183" s="2"/>
    </row>
    <row r="184" spans="1:8" x14ac:dyDescent="0.35">
      <c r="A184" s="2" t="s">
        <v>1514</v>
      </c>
      <c r="B184" s="3">
        <v>44284</v>
      </c>
      <c r="C184" s="2" t="s">
        <v>1515</v>
      </c>
      <c r="D184" t="s">
        <v>6172</v>
      </c>
      <c r="E184" s="2">
        <v>6</v>
      </c>
      <c r="F184" s="2"/>
      <c r="G184" s="2"/>
      <c r="H184" s="2"/>
    </row>
    <row r="185" spans="1:8" x14ac:dyDescent="0.35">
      <c r="A185" s="2" t="s">
        <v>1520</v>
      </c>
      <c r="B185" s="3">
        <v>44512</v>
      </c>
      <c r="C185" s="2" t="s">
        <v>1521</v>
      </c>
      <c r="D185" t="s">
        <v>6156</v>
      </c>
      <c r="E185" s="2">
        <v>2</v>
      </c>
      <c r="F185" s="2"/>
      <c r="G185" s="2"/>
      <c r="H185" s="2"/>
    </row>
    <row r="186" spans="1:8" x14ac:dyDescent="0.35">
      <c r="A186" s="2" t="s">
        <v>1526</v>
      </c>
      <c r="B186" s="3">
        <v>44397</v>
      </c>
      <c r="C186" s="2" t="s">
        <v>1527</v>
      </c>
      <c r="D186" t="s">
        <v>6180</v>
      </c>
      <c r="E186" s="2">
        <v>4</v>
      </c>
      <c r="F186" s="2"/>
      <c r="G186" s="2"/>
      <c r="H186" s="2"/>
    </row>
    <row r="187" spans="1:8" x14ac:dyDescent="0.35">
      <c r="A187" s="2" t="s">
        <v>1532</v>
      </c>
      <c r="B187" s="3">
        <v>43483</v>
      </c>
      <c r="C187" s="2" t="s">
        <v>1533</v>
      </c>
      <c r="D187" t="s">
        <v>6144</v>
      </c>
      <c r="E187" s="2">
        <v>5</v>
      </c>
      <c r="F187" s="2"/>
      <c r="G187" s="2"/>
      <c r="H187" s="2"/>
    </row>
    <row r="188" spans="1:8" x14ac:dyDescent="0.35">
      <c r="A188" s="2" t="s">
        <v>1538</v>
      </c>
      <c r="B188" s="3">
        <v>43684</v>
      </c>
      <c r="C188" s="2" t="s">
        <v>1539</v>
      </c>
      <c r="D188" t="s">
        <v>6151</v>
      </c>
      <c r="E188" s="2">
        <v>3</v>
      </c>
      <c r="F188" s="2"/>
      <c r="G188" s="2"/>
      <c r="H188" s="2"/>
    </row>
    <row r="189" spans="1:8" x14ac:dyDescent="0.35">
      <c r="A189" s="2" t="s">
        <v>1544</v>
      </c>
      <c r="B189" s="3">
        <v>44633</v>
      </c>
      <c r="C189" s="2" t="s">
        <v>1545</v>
      </c>
      <c r="D189" t="s">
        <v>6160</v>
      </c>
      <c r="E189" s="2">
        <v>5</v>
      </c>
      <c r="F189" s="2"/>
      <c r="G189" s="2"/>
      <c r="H189" s="2"/>
    </row>
    <row r="190" spans="1:8" x14ac:dyDescent="0.35">
      <c r="A190" s="2" t="s">
        <v>1549</v>
      </c>
      <c r="B190" s="3">
        <v>44698</v>
      </c>
      <c r="C190" s="2" t="s">
        <v>1550</v>
      </c>
      <c r="D190" t="s">
        <v>6184</v>
      </c>
      <c r="E190" s="2">
        <v>1</v>
      </c>
      <c r="F190" s="2"/>
      <c r="G190" s="2"/>
      <c r="H190" s="2"/>
    </row>
    <row r="191" spans="1:8" x14ac:dyDescent="0.35">
      <c r="A191" s="2" t="s">
        <v>1555</v>
      </c>
      <c r="B191" s="3">
        <v>43813</v>
      </c>
      <c r="C191" s="2" t="s">
        <v>1556</v>
      </c>
      <c r="D191" t="s">
        <v>6162</v>
      </c>
      <c r="E191" s="2">
        <v>3</v>
      </c>
      <c r="F191" s="2"/>
      <c r="G191" s="2"/>
      <c r="H191" s="2"/>
    </row>
    <row r="192" spans="1:8" x14ac:dyDescent="0.35">
      <c r="A192" s="2" t="s">
        <v>1561</v>
      </c>
      <c r="B192" s="3">
        <v>43845</v>
      </c>
      <c r="C192" s="2" t="s">
        <v>1562</v>
      </c>
      <c r="D192" t="s">
        <v>6181</v>
      </c>
      <c r="E192" s="2">
        <v>1</v>
      </c>
      <c r="F192" s="2"/>
      <c r="G192" s="2"/>
      <c r="H192" s="2"/>
    </row>
    <row r="193" spans="1:8" x14ac:dyDescent="0.35">
      <c r="A193" s="2" t="s">
        <v>1567</v>
      </c>
      <c r="B193" s="3">
        <v>43567</v>
      </c>
      <c r="C193" s="2" t="s">
        <v>1568</v>
      </c>
      <c r="D193" t="s">
        <v>6150</v>
      </c>
      <c r="E193" s="2">
        <v>5</v>
      </c>
      <c r="F193" s="2"/>
      <c r="G193" s="2"/>
      <c r="H193" s="2"/>
    </row>
    <row r="194" spans="1:8" x14ac:dyDescent="0.35">
      <c r="A194" s="2" t="s">
        <v>1573</v>
      </c>
      <c r="B194" s="3">
        <v>43919</v>
      </c>
      <c r="C194" s="2" t="s">
        <v>1574</v>
      </c>
      <c r="D194" t="s">
        <v>6183</v>
      </c>
      <c r="E194" s="2">
        <v>6</v>
      </c>
      <c r="F194" s="2"/>
      <c r="G194" s="2"/>
      <c r="H194" s="2"/>
    </row>
    <row r="195" spans="1:8" x14ac:dyDescent="0.35">
      <c r="A195" s="2" t="s">
        <v>1579</v>
      </c>
      <c r="B195" s="3">
        <v>44644</v>
      </c>
      <c r="C195" s="2" t="s">
        <v>1580</v>
      </c>
      <c r="D195" t="s">
        <v>6171</v>
      </c>
      <c r="E195" s="2">
        <v>3</v>
      </c>
      <c r="F195" s="2"/>
      <c r="G195" s="2"/>
      <c r="H195" s="2"/>
    </row>
    <row r="196" spans="1:8" x14ac:dyDescent="0.35">
      <c r="A196" s="2" t="s">
        <v>1584</v>
      </c>
      <c r="B196" s="3">
        <v>44398</v>
      </c>
      <c r="C196" s="2" t="s">
        <v>1585</v>
      </c>
      <c r="D196" t="s">
        <v>6144</v>
      </c>
      <c r="E196" s="2">
        <v>5</v>
      </c>
      <c r="F196" s="2"/>
      <c r="G196" s="2"/>
      <c r="H196" s="2"/>
    </row>
    <row r="197" spans="1:8" x14ac:dyDescent="0.35">
      <c r="A197" s="2" t="s">
        <v>1590</v>
      </c>
      <c r="B197" s="3">
        <v>43683</v>
      </c>
      <c r="C197" s="2" t="s">
        <v>1591</v>
      </c>
      <c r="D197" t="s">
        <v>6140</v>
      </c>
      <c r="E197" s="2">
        <v>3</v>
      </c>
      <c r="F197" s="2"/>
      <c r="G197" s="2"/>
      <c r="H197" s="2"/>
    </row>
    <row r="198" spans="1:8" x14ac:dyDescent="0.35">
      <c r="A198" s="2" t="s">
        <v>1596</v>
      </c>
      <c r="B198" s="3">
        <v>44339</v>
      </c>
      <c r="C198" s="2" t="s">
        <v>1597</v>
      </c>
      <c r="D198" t="s">
        <v>6176</v>
      </c>
      <c r="E198" s="2">
        <v>6</v>
      </c>
      <c r="F198" s="2"/>
      <c r="G198" s="2"/>
      <c r="H198" s="2"/>
    </row>
    <row r="199" spans="1:8" x14ac:dyDescent="0.35">
      <c r="A199" s="2" t="s">
        <v>1596</v>
      </c>
      <c r="B199" s="3">
        <v>44339</v>
      </c>
      <c r="C199" s="2" t="s">
        <v>1597</v>
      </c>
      <c r="D199" t="s">
        <v>6165</v>
      </c>
      <c r="E199" s="2">
        <v>2</v>
      </c>
      <c r="F199" s="2"/>
      <c r="G199" s="2"/>
      <c r="H199" s="2"/>
    </row>
    <row r="200" spans="1:8" x14ac:dyDescent="0.35">
      <c r="A200" s="2" t="s">
        <v>1596</v>
      </c>
      <c r="B200" s="3">
        <v>44339</v>
      </c>
      <c r="C200" s="2" t="s">
        <v>1597</v>
      </c>
      <c r="D200" t="s">
        <v>6165</v>
      </c>
      <c r="E200" s="2">
        <v>3</v>
      </c>
      <c r="F200" s="2"/>
      <c r="G200" s="2"/>
      <c r="H200" s="2"/>
    </row>
    <row r="201" spans="1:8" x14ac:dyDescent="0.35">
      <c r="A201" s="2" t="s">
        <v>1596</v>
      </c>
      <c r="B201" s="3">
        <v>44339</v>
      </c>
      <c r="C201" s="2" t="s">
        <v>1597</v>
      </c>
      <c r="D201" t="s">
        <v>6161</v>
      </c>
      <c r="E201" s="2">
        <v>4</v>
      </c>
      <c r="F201" s="2"/>
      <c r="G201" s="2"/>
      <c r="H201" s="2"/>
    </row>
    <row r="202" spans="1:8" x14ac:dyDescent="0.35">
      <c r="A202" s="2" t="s">
        <v>1596</v>
      </c>
      <c r="B202" s="3">
        <v>44339</v>
      </c>
      <c r="C202" s="2" t="s">
        <v>1597</v>
      </c>
      <c r="D202" t="s">
        <v>6141</v>
      </c>
      <c r="E202" s="2">
        <v>3</v>
      </c>
      <c r="F202" s="2"/>
      <c r="G202" s="2"/>
      <c r="H202" s="2"/>
    </row>
    <row r="203" spans="1:8" x14ac:dyDescent="0.35">
      <c r="A203" s="2" t="s">
        <v>1621</v>
      </c>
      <c r="B203" s="3">
        <v>44294</v>
      </c>
      <c r="C203" s="2" t="s">
        <v>1622</v>
      </c>
      <c r="D203" t="s">
        <v>6161</v>
      </c>
      <c r="E203" s="2">
        <v>6</v>
      </c>
      <c r="F203" s="2"/>
      <c r="G203" s="2"/>
      <c r="H203" s="2"/>
    </row>
    <row r="204" spans="1:8" x14ac:dyDescent="0.35">
      <c r="A204" s="2" t="s">
        <v>1626</v>
      </c>
      <c r="B204" s="3">
        <v>44486</v>
      </c>
      <c r="C204" s="2" t="s">
        <v>1627</v>
      </c>
      <c r="D204" t="s">
        <v>6165</v>
      </c>
      <c r="E204" s="2">
        <v>6</v>
      </c>
      <c r="F204" s="2"/>
      <c r="G204" s="2"/>
      <c r="H204" s="2"/>
    </row>
    <row r="205" spans="1:8" x14ac:dyDescent="0.35">
      <c r="A205" s="2" t="s">
        <v>1632</v>
      </c>
      <c r="B205" s="3">
        <v>44608</v>
      </c>
      <c r="C205" s="2" t="s">
        <v>1633</v>
      </c>
      <c r="D205" t="s">
        <v>6145</v>
      </c>
      <c r="E205" s="2">
        <v>1</v>
      </c>
      <c r="F205" s="2"/>
      <c r="G205" s="2"/>
      <c r="H205" s="2"/>
    </row>
    <row r="206" spans="1:8" x14ac:dyDescent="0.35">
      <c r="A206" s="2" t="s">
        <v>1638</v>
      </c>
      <c r="B206" s="3">
        <v>44027</v>
      </c>
      <c r="C206" s="2" t="s">
        <v>1639</v>
      </c>
      <c r="D206" t="s">
        <v>6141</v>
      </c>
      <c r="E206" s="2">
        <v>6</v>
      </c>
      <c r="F206" s="2"/>
      <c r="G206" s="2"/>
      <c r="H206" s="2"/>
    </row>
    <row r="207" spans="1:8" x14ac:dyDescent="0.35">
      <c r="A207" s="2" t="s">
        <v>1643</v>
      </c>
      <c r="B207" s="3">
        <v>43883</v>
      </c>
      <c r="C207" s="2" t="s">
        <v>1644</v>
      </c>
      <c r="D207" t="s">
        <v>6163</v>
      </c>
      <c r="E207" s="2">
        <v>3</v>
      </c>
      <c r="F207" s="2"/>
      <c r="G207" s="2"/>
      <c r="H207" s="2"/>
    </row>
    <row r="208" spans="1:8" x14ac:dyDescent="0.35">
      <c r="A208" s="2" t="s">
        <v>1648</v>
      </c>
      <c r="B208" s="3">
        <v>44211</v>
      </c>
      <c r="C208" s="2" t="s">
        <v>1649</v>
      </c>
      <c r="D208" t="s">
        <v>6155</v>
      </c>
      <c r="E208" s="2">
        <v>2</v>
      </c>
      <c r="F208" s="2"/>
      <c r="G208" s="2"/>
      <c r="H208" s="2"/>
    </row>
    <row r="209" spans="1:8" x14ac:dyDescent="0.35">
      <c r="A209" s="2" t="s">
        <v>1653</v>
      </c>
      <c r="B209" s="3">
        <v>44207</v>
      </c>
      <c r="C209" s="2" t="s">
        <v>1654</v>
      </c>
      <c r="D209" t="s">
        <v>6157</v>
      </c>
      <c r="E209" s="2">
        <v>6</v>
      </c>
      <c r="F209" s="2"/>
      <c r="G209" s="2"/>
      <c r="H209" s="2"/>
    </row>
    <row r="210" spans="1:8" x14ac:dyDescent="0.35">
      <c r="A210" s="2" t="s">
        <v>1659</v>
      </c>
      <c r="B210" s="3">
        <v>44659</v>
      </c>
      <c r="C210" s="2" t="s">
        <v>1660</v>
      </c>
      <c r="D210" t="s">
        <v>6144</v>
      </c>
      <c r="E210" s="2">
        <v>4</v>
      </c>
      <c r="F210" s="2"/>
      <c r="G210" s="2"/>
      <c r="H210" s="2"/>
    </row>
    <row r="211" spans="1:8" x14ac:dyDescent="0.35">
      <c r="A211" s="2" t="s">
        <v>1665</v>
      </c>
      <c r="B211" s="3">
        <v>44105</v>
      </c>
      <c r="C211" s="2" t="s">
        <v>1666</v>
      </c>
      <c r="D211" t="s">
        <v>6157</v>
      </c>
      <c r="E211" s="2">
        <v>1</v>
      </c>
      <c r="F211" s="2"/>
      <c r="G211" s="2"/>
      <c r="H211" s="2"/>
    </row>
    <row r="212" spans="1:8" x14ac:dyDescent="0.35">
      <c r="A212" s="2" t="s">
        <v>1671</v>
      </c>
      <c r="B212" s="3">
        <v>43766</v>
      </c>
      <c r="C212" s="2" t="s">
        <v>1672</v>
      </c>
      <c r="D212" t="s">
        <v>6143</v>
      </c>
      <c r="E212" s="2">
        <v>4</v>
      </c>
      <c r="F212" s="2"/>
      <c r="G212" s="2"/>
      <c r="H212" s="2"/>
    </row>
    <row r="213" spans="1:8" x14ac:dyDescent="0.35">
      <c r="A213" s="2" t="s">
        <v>1677</v>
      </c>
      <c r="B213" s="3">
        <v>44283</v>
      </c>
      <c r="C213" s="2" t="s">
        <v>1678</v>
      </c>
      <c r="D213" t="s">
        <v>6176</v>
      </c>
      <c r="E213" s="2">
        <v>6</v>
      </c>
      <c r="F213" s="2"/>
      <c r="G213" s="2"/>
      <c r="H213" s="2"/>
    </row>
    <row r="214" spans="1:8" x14ac:dyDescent="0.35">
      <c r="A214" s="2" t="s">
        <v>1682</v>
      </c>
      <c r="B214" s="3">
        <v>43921</v>
      </c>
      <c r="C214" s="2" t="s">
        <v>1683</v>
      </c>
      <c r="D214" t="s">
        <v>6153</v>
      </c>
      <c r="E214" s="2">
        <v>4</v>
      </c>
      <c r="F214" s="2"/>
      <c r="G214" s="2"/>
      <c r="H214" s="2"/>
    </row>
    <row r="215" spans="1:8" x14ac:dyDescent="0.35">
      <c r="A215" s="2" t="s">
        <v>1688</v>
      </c>
      <c r="B215" s="3">
        <v>44646</v>
      </c>
      <c r="C215" s="2" t="s">
        <v>1689</v>
      </c>
      <c r="D215" t="s">
        <v>6149</v>
      </c>
      <c r="E215" s="2">
        <v>1</v>
      </c>
      <c r="F215" s="2"/>
      <c r="G215" s="2"/>
      <c r="H215" s="2"/>
    </row>
    <row r="216" spans="1:8" x14ac:dyDescent="0.35">
      <c r="A216" s="2" t="s">
        <v>1694</v>
      </c>
      <c r="B216" s="3">
        <v>43775</v>
      </c>
      <c r="C216" s="2" t="s">
        <v>1695</v>
      </c>
      <c r="D216" t="s">
        <v>6170</v>
      </c>
      <c r="E216" s="2">
        <v>2</v>
      </c>
      <c r="F216" s="2"/>
      <c r="G216" s="2"/>
      <c r="H216" s="2"/>
    </row>
    <row r="217" spans="1:8" x14ac:dyDescent="0.35">
      <c r="A217" s="2" t="s">
        <v>1701</v>
      </c>
      <c r="B217" s="3">
        <v>43829</v>
      </c>
      <c r="C217" s="2" t="s">
        <v>1702</v>
      </c>
      <c r="D217" t="s">
        <v>6150</v>
      </c>
      <c r="E217" s="2">
        <v>6</v>
      </c>
      <c r="F217" s="2"/>
      <c r="G217" s="2"/>
      <c r="H217" s="2"/>
    </row>
    <row r="218" spans="1:8" x14ac:dyDescent="0.35">
      <c r="A218" s="2" t="s">
        <v>1707</v>
      </c>
      <c r="B218" s="3">
        <v>44470</v>
      </c>
      <c r="C218" s="2" t="s">
        <v>1708</v>
      </c>
      <c r="D218" t="s">
        <v>6162</v>
      </c>
      <c r="E218" s="2">
        <v>4</v>
      </c>
      <c r="F218" s="2"/>
      <c r="G218" s="2"/>
      <c r="H218" s="2"/>
    </row>
    <row r="219" spans="1:8" x14ac:dyDescent="0.35">
      <c r="A219" s="2" t="s">
        <v>1713</v>
      </c>
      <c r="B219" s="3">
        <v>44174</v>
      </c>
      <c r="C219" s="2" t="s">
        <v>1714</v>
      </c>
      <c r="D219" t="s">
        <v>6176</v>
      </c>
      <c r="E219" s="2">
        <v>4</v>
      </c>
      <c r="F219" s="2"/>
      <c r="G219" s="2"/>
      <c r="H219" s="2"/>
    </row>
    <row r="220" spans="1:8" x14ac:dyDescent="0.35">
      <c r="A220" s="2" t="s">
        <v>1719</v>
      </c>
      <c r="B220" s="3">
        <v>44317</v>
      </c>
      <c r="C220" s="2" t="s">
        <v>1720</v>
      </c>
      <c r="D220" t="s">
        <v>6155</v>
      </c>
      <c r="E220" s="2">
        <v>5</v>
      </c>
      <c r="F220" s="2"/>
      <c r="G220" s="2"/>
      <c r="H220" s="2"/>
    </row>
    <row r="221" spans="1:8" x14ac:dyDescent="0.35">
      <c r="A221" s="2" t="s">
        <v>1725</v>
      </c>
      <c r="B221" s="3">
        <v>44777</v>
      </c>
      <c r="C221" s="2" t="s">
        <v>1726</v>
      </c>
      <c r="D221" t="s">
        <v>6178</v>
      </c>
      <c r="E221" s="2">
        <v>3</v>
      </c>
      <c r="F221" s="2"/>
      <c r="G221" s="2"/>
      <c r="H221" s="2"/>
    </row>
    <row r="222" spans="1:8" x14ac:dyDescent="0.35">
      <c r="A222" s="2" t="s">
        <v>1725</v>
      </c>
      <c r="B222" s="3">
        <v>44777</v>
      </c>
      <c r="C222" s="2" t="s">
        <v>1726</v>
      </c>
      <c r="D222" t="s">
        <v>6174</v>
      </c>
      <c r="E222" s="2">
        <v>5</v>
      </c>
      <c r="F222" s="2"/>
      <c r="G222" s="2"/>
      <c r="H222" s="2"/>
    </row>
    <row r="223" spans="1:8" x14ac:dyDescent="0.35">
      <c r="A223" s="2" t="s">
        <v>1736</v>
      </c>
      <c r="B223" s="3">
        <v>44513</v>
      </c>
      <c r="C223" s="2" t="s">
        <v>1737</v>
      </c>
      <c r="D223" t="s">
        <v>6140</v>
      </c>
      <c r="E223" s="2">
        <v>6</v>
      </c>
      <c r="F223" s="2"/>
      <c r="G223" s="2"/>
      <c r="H223" s="2"/>
    </row>
    <row r="224" spans="1:8" x14ac:dyDescent="0.35">
      <c r="A224" s="2" t="s">
        <v>1742</v>
      </c>
      <c r="B224" s="3">
        <v>44090</v>
      </c>
      <c r="C224" s="2" t="s">
        <v>1743</v>
      </c>
      <c r="D224" t="s">
        <v>6169</v>
      </c>
      <c r="E224" s="2">
        <v>3</v>
      </c>
      <c r="F224" s="2"/>
      <c r="G224" s="2"/>
      <c r="H224" s="2"/>
    </row>
    <row r="225" spans="1:8" x14ac:dyDescent="0.35">
      <c r="A225" s="2" t="s">
        <v>1748</v>
      </c>
      <c r="B225" s="3">
        <v>44109</v>
      </c>
      <c r="C225" s="2" t="s">
        <v>1749</v>
      </c>
      <c r="D225" t="s">
        <v>6171</v>
      </c>
      <c r="E225" s="2">
        <v>4</v>
      </c>
      <c r="F225" s="2"/>
      <c r="G225" s="2"/>
      <c r="H225" s="2"/>
    </row>
    <row r="226" spans="1:8" x14ac:dyDescent="0.35">
      <c r="A226" s="2" t="s">
        <v>1753</v>
      </c>
      <c r="B226" s="3">
        <v>43836</v>
      </c>
      <c r="C226" s="2" t="s">
        <v>1754</v>
      </c>
      <c r="D226" t="s">
        <v>6165</v>
      </c>
      <c r="E226" s="2">
        <v>4</v>
      </c>
      <c r="F226" s="2"/>
      <c r="G226" s="2"/>
      <c r="H226" s="2"/>
    </row>
    <row r="227" spans="1:8" x14ac:dyDescent="0.35">
      <c r="A227" s="2" t="s">
        <v>1759</v>
      </c>
      <c r="B227" s="3">
        <v>44337</v>
      </c>
      <c r="C227" s="2" t="s">
        <v>1760</v>
      </c>
      <c r="D227" t="s">
        <v>6178</v>
      </c>
      <c r="E227" s="2">
        <v>4</v>
      </c>
      <c r="F227" s="2"/>
      <c r="G227" s="2"/>
      <c r="H227" s="2"/>
    </row>
    <row r="228" spans="1:8" x14ac:dyDescent="0.35">
      <c r="A228" s="2" t="s">
        <v>1765</v>
      </c>
      <c r="B228" s="3">
        <v>43887</v>
      </c>
      <c r="C228" s="2" t="s">
        <v>1766</v>
      </c>
      <c r="D228" t="s">
        <v>6175</v>
      </c>
      <c r="E228" s="2">
        <v>5</v>
      </c>
      <c r="F228" s="2"/>
      <c r="G228" s="2"/>
      <c r="H228" s="2"/>
    </row>
    <row r="229" spans="1:8" x14ac:dyDescent="0.35">
      <c r="A229" s="2" t="s">
        <v>1771</v>
      </c>
      <c r="B229" s="3">
        <v>43880</v>
      </c>
      <c r="C229" s="2" t="s">
        <v>1772</v>
      </c>
      <c r="D229" t="s">
        <v>6163</v>
      </c>
      <c r="E229" s="2">
        <v>6</v>
      </c>
      <c r="F229" s="2"/>
      <c r="G229" s="2"/>
      <c r="H229" s="2"/>
    </row>
    <row r="230" spans="1:8" x14ac:dyDescent="0.35">
      <c r="A230" s="2" t="s">
        <v>1777</v>
      </c>
      <c r="B230" s="3">
        <v>44376</v>
      </c>
      <c r="C230" s="2" t="s">
        <v>1778</v>
      </c>
      <c r="D230" t="s">
        <v>6178</v>
      </c>
      <c r="E230" s="2">
        <v>5</v>
      </c>
      <c r="F230" s="2"/>
      <c r="G230" s="2"/>
      <c r="H230" s="2"/>
    </row>
    <row r="231" spans="1:8" x14ac:dyDescent="0.35">
      <c r="A231" s="2" t="s">
        <v>1783</v>
      </c>
      <c r="B231" s="3">
        <v>44282</v>
      </c>
      <c r="C231" s="2" t="s">
        <v>1784</v>
      </c>
      <c r="D231" t="s">
        <v>6159</v>
      </c>
      <c r="E231" s="2">
        <v>2</v>
      </c>
      <c r="F231" s="2"/>
      <c r="G231" s="2"/>
      <c r="H231" s="2"/>
    </row>
    <row r="232" spans="1:8" x14ac:dyDescent="0.35">
      <c r="A232" s="2" t="s">
        <v>1789</v>
      </c>
      <c r="B232" s="3">
        <v>44496</v>
      </c>
      <c r="C232" s="2" t="s">
        <v>1790</v>
      </c>
      <c r="D232" t="s">
        <v>6175</v>
      </c>
      <c r="E232" s="2">
        <v>2</v>
      </c>
      <c r="F232" s="2"/>
      <c r="G232" s="2"/>
      <c r="H232" s="2"/>
    </row>
    <row r="233" spans="1:8" x14ac:dyDescent="0.35">
      <c r="A233" s="2" t="s">
        <v>1795</v>
      </c>
      <c r="B233" s="3">
        <v>43628</v>
      </c>
      <c r="C233" s="2" t="s">
        <v>1796</v>
      </c>
      <c r="D233" t="s">
        <v>6159</v>
      </c>
      <c r="E233" s="2">
        <v>2</v>
      </c>
      <c r="F233" s="2"/>
      <c r="G233" s="2"/>
      <c r="H233" s="2"/>
    </row>
    <row r="234" spans="1:8" x14ac:dyDescent="0.35">
      <c r="A234" s="2" t="s">
        <v>1800</v>
      </c>
      <c r="B234" s="3">
        <v>44010</v>
      </c>
      <c r="C234" s="2" t="s">
        <v>1801</v>
      </c>
      <c r="D234" t="s">
        <v>6145</v>
      </c>
      <c r="E234" s="2">
        <v>5</v>
      </c>
      <c r="F234" s="2"/>
      <c r="G234" s="2"/>
      <c r="H234" s="2"/>
    </row>
    <row r="235" spans="1:8" x14ac:dyDescent="0.35">
      <c r="A235" s="2" t="s">
        <v>1806</v>
      </c>
      <c r="B235" s="3">
        <v>44278</v>
      </c>
      <c r="C235" s="2" t="s">
        <v>1807</v>
      </c>
      <c r="D235" t="s">
        <v>6156</v>
      </c>
      <c r="E235" s="2">
        <v>5</v>
      </c>
      <c r="F235" s="2"/>
      <c r="G235" s="2"/>
      <c r="H235" s="2"/>
    </row>
    <row r="236" spans="1:8" x14ac:dyDescent="0.35">
      <c r="A236" s="2" t="s">
        <v>1812</v>
      </c>
      <c r="B236" s="3">
        <v>44602</v>
      </c>
      <c r="C236" s="2" t="s">
        <v>1813</v>
      </c>
      <c r="D236" t="s">
        <v>6164</v>
      </c>
      <c r="E236" s="2">
        <v>1</v>
      </c>
      <c r="F236" s="2"/>
      <c r="G236" s="2"/>
      <c r="H236" s="2"/>
    </row>
    <row r="237" spans="1:8" x14ac:dyDescent="0.35">
      <c r="A237" s="2" t="s">
        <v>1818</v>
      </c>
      <c r="B237" s="3">
        <v>43571</v>
      </c>
      <c r="C237" s="2" t="s">
        <v>1819</v>
      </c>
      <c r="D237" t="s">
        <v>6164</v>
      </c>
      <c r="E237" s="2">
        <v>5</v>
      </c>
      <c r="F237" s="2"/>
      <c r="G237" s="2"/>
      <c r="H237" s="2"/>
    </row>
    <row r="238" spans="1:8" x14ac:dyDescent="0.35">
      <c r="A238" s="2" t="s">
        <v>1822</v>
      </c>
      <c r="B238" s="3">
        <v>43873</v>
      </c>
      <c r="C238" s="2" t="s">
        <v>1823</v>
      </c>
      <c r="D238" t="s">
        <v>6165</v>
      </c>
      <c r="E238" s="2">
        <v>3</v>
      </c>
      <c r="F238" s="2"/>
      <c r="G238" s="2"/>
      <c r="H238" s="2"/>
    </row>
    <row r="239" spans="1:8" x14ac:dyDescent="0.35">
      <c r="A239" s="2" t="s">
        <v>1828</v>
      </c>
      <c r="B239" s="3">
        <v>44563</v>
      </c>
      <c r="C239" s="2" t="s">
        <v>1829</v>
      </c>
      <c r="D239" t="s">
        <v>6178</v>
      </c>
      <c r="E239" s="2">
        <v>1</v>
      </c>
      <c r="F239" s="2"/>
      <c r="G239" s="2"/>
      <c r="H239" s="2"/>
    </row>
    <row r="240" spans="1:8" x14ac:dyDescent="0.35">
      <c r="A240" s="2" t="s">
        <v>1833</v>
      </c>
      <c r="B240" s="3">
        <v>44172</v>
      </c>
      <c r="C240" s="2" t="s">
        <v>1834</v>
      </c>
      <c r="D240" t="s">
        <v>6151</v>
      </c>
      <c r="E240" s="2">
        <v>2</v>
      </c>
      <c r="F240" s="2"/>
      <c r="G240" s="2"/>
      <c r="H240" s="2"/>
    </row>
    <row r="241" spans="1:8" x14ac:dyDescent="0.35">
      <c r="A241" s="2" t="s">
        <v>1839</v>
      </c>
      <c r="B241" s="3">
        <v>43881</v>
      </c>
      <c r="C241" s="2" t="s">
        <v>1840</v>
      </c>
      <c r="D241" t="s">
        <v>6171</v>
      </c>
      <c r="E241" s="2">
        <v>4</v>
      </c>
      <c r="F241" s="2"/>
      <c r="G241" s="2"/>
      <c r="H241" s="2"/>
    </row>
    <row r="242" spans="1:8" x14ac:dyDescent="0.35">
      <c r="A242" s="2" t="s">
        <v>1845</v>
      </c>
      <c r="B242" s="3">
        <v>43993</v>
      </c>
      <c r="C242" s="2" t="s">
        <v>1846</v>
      </c>
      <c r="D242" t="s">
        <v>6175</v>
      </c>
      <c r="E242" s="2">
        <v>6</v>
      </c>
      <c r="F242" s="2"/>
      <c r="G242" s="2"/>
      <c r="H242" s="2"/>
    </row>
    <row r="243" spans="1:8" x14ac:dyDescent="0.35">
      <c r="A243" s="2" t="s">
        <v>1849</v>
      </c>
      <c r="B243" s="3">
        <v>44082</v>
      </c>
      <c r="C243" s="2" t="s">
        <v>1850</v>
      </c>
      <c r="D243" t="s">
        <v>6151</v>
      </c>
      <c r="E243" s="2">
        <v>2</v>
      </c>
      <c r="F243" s="2"/>
      <c r="G243" s="2"/>
      <c r="H243" s="2"/>
    </row>
    <row r="244" spans="1:8" x14ac:dyDescent="0.35">
      <c r="A244" s="2" t="s">
        <v>1854</v>
      </c>
      <c r="B244" s="3">
        <v>43918</v>
      </c>
      <c r="C244" s="2" t="s">
        <v>1855</v>
      </c>
      <c r="D244" t="s">
        <v>6183</v>
      </c>
      <c r="E244" s="2">
        <v>3</v>
      </c>
      <c r="F244" s="2"/>
      <c r="G244" s="2"/>
      <c r="H244" s="2"/>
    </row>
    <row r="245" spans="1:8" x14ac:dyDescent="0.35">
      <c r="A245" s="2" t="s">
        <v>1860</v>
      </c>
      <c r="B245" s="3">
        <v>44114</v>
      </c>
      <c r="C245" s="2" t="s">
        <v>1861</v>
      </c>
      <c r="D245" t="s">
        <v>6144</v>
      </c>
      <c r="E245" s="2">
        <v>4</v>
      </c>
      <c r="F245" s="2"/>
      <c r="G245" s="2"/>
      <c r="H245" s="2"/>
    </row>
    <row r="246" spans="1:8" x14ac:dyDescent="0.35">
      <c r="A246" s="2" t="s">
        <v>1866</v>
      </c>
      <c r="B246" s="3">
        <v>44702</v>
      </c>
      <c r="C246" s="2" t="s">
        <v>1867</v>
      </c>
      <c r="D246" t="s">
        <v>6181</v>
      </c>
      <c r="E246" s="2">
        <v>4</v>
      </c>
      <c r="F246" s="2"/>
      <c r="G246" s="2"/>
      <c r="H246" s="2"/>
    </row>
    <row r="247" spans="1:8" x14ac:dyDescent="0.35">
      <c r="A247" s="2" t="s">
        <v>1872</v>
      </c>
      <c r="B247" s="3">
        <v>43951</v>
      </c>
      <c r="C247" s="2" t="s">
        <v>1873</v>
      </c>
      <c r="D247" t="s">
        <v>6145</v>
      </c>
      <c r="E247" s="2">
        <v>5</v>
      </c>
      <c r="F247" s="2"/>
      <c r="G247" s="2"/>
      <c r="H247" s="2"/>
    </row>
    <row r="248" spans="1:8" x14ac:dyDescent="0.35">
      <c r="A248" s="2" t="s">
        <v>1878</v>
      </c>
      <c r="B248" s="3">
        <v>44542</v>
      </c>
      <c r="C248" s="2" t="s">
        <v>1879</v>
      </c>
      <c r="D248" t="s">
        <v>6143</v>
      </c>
      <c r="E248" s="2">
        <v>3</v>
      </c>
      <c r="F248" s="2"/>
      <c r="G248" s="2"/>
      <c r="H248" s="2"/>
    </row>
    <row r="249" spans="1:8" x14ac:dyDescent="0.35">
      <c r="A249" s="2" t="s">
        <v>1884</v>
      </c>
      <c r="B249" s="3">
        <v>44131</v>
      </c>
      <c r="C249" s="2" t="s">
        <v>1885</v>
      </c>
      <c r="D249" t="s">
        <v>6178</v>
      </c>
      <c r="E249" s="2">
        <v>6</v>
      </c>
      <c r="F249" s="2"/>
      <c r="G249" s="2"/>
      <c r="H249" s="2"/>
    </row>
    <row r="250" spans="1:8" x14ac:dyDescent="0.35">
      <c r="A250" s="2" t="s">
        <v>1889</v>
      </c>
      <c r="B250" s="3">
        <v>44019</v>
      </c>
      <c r="C250" s="2" t="s">
        <v>1890</v>
      </c>
      <c r="D250" t="s">
        <v>6147</v>
      </c>
      <c r="E250" s="2">
        <v>1</v>
      </c>
      <c r="F250" s="2"/>
      <c r="G250" s="2"/>
      <c r="H250" s="2"/>
    </row>
    <row r="251" spans="1:8" x14ac:dyDescent="0.35">
      <c r="A251" s="2" t="s">
        <v>1895</v>
      </c>
      <c r="B251" s="3">
        <v>43861</v>
      </c>
      <c r="C251" s="2" t="s">
        <v>1935</v>
      </c>
      <c r="D251" t="s">
        <v>6170</v>
      </c>
      <c r="E251" s="2">
        <v>1</v>
      </c>
      <c r="F251" s="2"/>
      <c r="G251" s="2"/>
      <c r="H251" s="2"/>
    </row>
    <row r="252" spans="1:8" x14ac:dyDescent="0.35">
      <c r="A252" s="2" t="s">
        <v>1900</v>
      </c>
      <c r="B252" s="3">
        <v>43879</v>
      </c>
      <c r="C252" s="2" t="s">
        <v>1901</v>
      </c>
      <c r="D252" t="s">
        <v>6174</v>
      </c>
      <c r="E252" s="2">
        <v>1</v>
      </c>
      <c r="F252" s="2"/>
      <c r="G252" s="2"/>
      <c r="H252" s="2"/>
    </row>
    <row r="253" spans="1:8" x14ac:dyDescent="0.35">
      <c r="A253" s="2" t="s">
        <v>1906</v>
      </c>
      <c r="B253" s="3">
        <v>44360</v>
      </c>
      <c r="C253" s="2" t="s">
        <v>1907</v>
      </c>
      <c r="D253" t="s">
        <v>6141</v>
      </c>
      <c r="E253" s="2">
        <v>5</v>
      </c>
      <c r="F253" s="2"/>
      <c r="G253" s="2"/>
      <c r="H253" s="2"/>
    </row>
    <row r="254" spans="1:8" x14ac:dyDescent="0.35">
      <c r="A254" s="2" t="s">
        <v>1912</v>
      </c>
      <c r="B254" s="3">
        <v>44779</v>
      </c>
      <c r="C254" s="2" t="s">
        <v>1913</v>
      </c>
      <c r="D254" t="s">
        <v>6147</v>
      </c>
      <c r="E254" s="2">
        <v>3</v>
      </c>
      <c r="F254" s="2"/>
      <c r="G254" s="2"/>
      <c r="H254" s="2"/>
    </row>
    <row r="255" spans="1:8" x14ac:dyDescent="0.35">
      <c r="A255" s="2" t="s">
        <v>1917</v>
      </c>
      <c r="B255" s="3">
        <v>44523</v>
      </c>
      <c r="C255" s="2" t="s">
        <v>1918</v>
      </c>
      <c r="D255" t="s">
        <v>6162</v>
      </c>
      <c r="E255" s="2">
        <v>4</v>
      </c>
      <c r="F255" s="2"/>
      <c r="G255" s="2"/>
      <c r="H255" s="2"/>
    </row>
    <row r="256" spans="1:8" x14ac:dyDescent="0.35">
      <c r="A256" s="2" t="s">
        <v>1923</v>
      </c>
      <c r="B256" s="3">
        <v>44482</v>
      </c>
      <c r="C256" s="2" t="s">
        <v>1924</v>
      </c>
      <c r="D256" t="s">
        <v>6173</v>
      </c>
      <c r="E256" s="2">
        <v>4</v>
      </c>
      <c r="F256" s="2"/>
      <c r="G256" s="2"/>
      <c r="H256" s="2"/>
    </row>
    <row r="257" spans="1:8" x14ac:dyDescent="0.35">
      <c r="A257" s="2" t="s">
        <v>1928</v>
      </c>
      <c r="B257" s="3">
        <v>44439</v>
      </c>
      <c r="C257" s="2" t="s">
        <v>1929</v>
      </c>
      <c r="D257" t="s">
        <v>6173</v>
      </c>
      <c r="E257" s="2">
        <v>3</v>
      </c>
      <c r="F257" s="2"/>
      <c r="G257" s="2"/>
      <c r="H257" s="2"/>
    </row>
    <row r="258" spans="1:8" x14ac:dyDescent="0.35">
      <c r="A258" s="2" t="s">
        <v>1934</v>
      </c>
      <c r="B258" s="3">
        <v>43846</v>
      </c>
      <c r="C258" s="2" t="s">
        <v>1935</v>
      </c>
      <c r="D258" t="s">
        <v>6160</v>
      </c>
      <c r="E258" s="2">
        <v>2</v>
      </c>
      <c r="F258" s="2"/>
      <c r="G258" s="2"/>
      <c r="H258" s="2"/>
    </row>
    <row r="259" spans="1:8" x14ac:dyDescent="0.35">
      <c r="A259" s="2" t="s">
        <v>1940</v>
      </c>
      <c r="B259" s="3">
        <v>44676</v>
      </c>
      <c r="C259" s="2" t="s">
        <v>1941</v>
      </c>
      <c r="D259" t="s">
        <v>6185</v>
      </c>
      <c r="E259" s="2">
        <v>1</v>
      </c>
      <c r="F259" s="2"/>
      <c r="G259" s="2"/>
      <c r="H259" s="2"/>
    </row>
    <row r="260" spans="1:8" x14ac:dyDescent="0.35">
      <c r="A260" s="2" t="s">
        <v>1946</v>
      </c>
      <c r="B260" s="3">
        <v>44513</v>
      </c>
      <c r="C260" s="2" t="s">
        <v>1947</v>
      </c>
      <c r="D260" t="s">
        <v>6185</v>
      </c>
      <c r="E260" s="2">
        <v>5</v>
      </c>
      <c r="F260" s="2"/>
      <c r="G260" s="2"/>
      <c r="H260" s="2"/>
    </row>
    <row r="261" spans="1:8" x14ac:dyDescent="0.35">
      <c r="A261" s="2" t="s">
        <v>1952</v>
      </c>
      <c r="B261" s="3">
        <v>44355</v>
      </c>
      <c r="C261" s="2" t="s">
        <v>1953</v>
      </c>
      <c r="D261" t="s">
        <v>6174</v>
      </c>
      <c r="E261" s="2">
        <v>2</v>
      </c>
      <c r="F261" s="2"/>
      <c r="G261" s="2"/>
      <c r="H261" s="2"/>
    </row>
    <row r="262" spans="1:8" x14ac:dyDescent="0.35">
      <c r="A262" s="2" t="s">
        <v>1958</v>
      </c>
      <c r="B262" s="3">
        <v>44156</v>
      </c>
      <c r="C262" s="2" t="s">
        <v>1959</v>
      </c>
      <c r="D262" t="s">
        <v>6142</v>
      </c>
      <c r="E262" s="2">
        <v>1</v>
      </c>
      <c r="F262" s="2"/>
      <c r="G262" s="2"/>
      <c r="H262" s="2"/>
    </row>
    <row r="263" spans="1:8" x14ac:dyDescent="0.35">
      <c r="A263" s="2" t="s">
        <v>1963</v>
      </c>
      <c r="B263" s="3">
        <v>43538</v>
      </c>
      <c r="C263" s="2" t="s">
        <v>1964</v>
      </c>
      <c r="D263" t="s">
        <v>6179</v>
      </c>
      <c r="E263" s="2">
        <v>5</v>
      </c>
      <c r="F263" s="2"/>
      <c r="G263" s="2"/>
      <c r="H263" s="2"/>
    </row>
    <row r="264" spans="1:8" x14ac:dyDescent="0.35">
      <c r="A264" s="2" t="s">
        <v>1969</v>
      </c>
      <c r="B264" s="3">
        <v>43693</v>
      </c>
      <c r="C264" s="2" t="s">
        <v>1970</v>
      </c>
      <c r="D264" t="s">
        <v>6141</v>
      </c>
      <c r="E264" s="2">
        <v>3</v>
      </c>
      <c r="F264" s="2"/>
      <c r="G264" s="2"/>
      <c r="H264" s="2"/>
    </row>
    <row r="265" spans="1:8" x14ac:dyDescent="0.35">
      <c r="A265" s="2" t="s">
        <v>1975</v>
      </c>
      <c r="B265" s="3">
        <v>43577</v>
      </c>
      <c r="C265" s="2" t="s">
        <v>1976</v>
      </c>
      <c r="D265" t="s">
        <v>6181</v>
      </c>
      <c r="E265" s="2">
        <v>4</v>
      </c>
      <c r="F265" s="2"/>
      <c r="G265" s="2"/>
      <c r="H265" s="2"/>
    </row>
    <row r="266" spans="1:8" x14ac:dyDescent="0.35">
      <c r="A266" s="2" t="s">
        <v>1980</v>
      </c>
      <c r="B266" s="3">
        <v>44683</v>
      </c>
      <c r="C266" s="2" t="s">
        <v>1981</v>
      </c>
      <c r="D266" t="s">
        <v>6179</v>
      </c>
      <c r="E266" s="2">
        <v>5</v>
      </c>
      <c r="F266" s="2"/>
      <c r="G266" s="2"/>
      <c r="H266" s="2"/>
    </row>
    <row r="267" spans="1:8" x14ac:dyDescent="0.35">
      <c r="A267" s="2" t="s">
        <v>1986</v>
      </c>
      <c r="B267" s="3">
        <v>43872</v>
      </c>
      <c r="C267" s="2" t="s">
        <v>1987</v>
      </c>
      <c r="D267" t="s">
        <v>6158</v>
      </c>
      <c r="E267" s="2">
        <v>1</v>
      </c>
      <c r="F267" s="2"/>
      <c r="G267" s="2"/>
      <c r="H267" s="2"/>
    </row>
    <row r="268" spans="1:8" x14ac:dyDescent="0.35">
      <c r="A268" s="2" t="s">
        <v>1992</v>
      </c>
      <c r="B268" s="3">
        <v>44283</v>
      </c>
      <c r="C268" s="2" t="s">
        <v>1993</v>
      </c>
      <c r="D268" t="s">
        <v>6183</v>
      </c>
      <c r="E268" s="2">
        <v>2</v>
      </c>
      <c r="F268" s="2"/>
      <c r="G268" s="2"/>
      <c r="H268" s="2"/>
    </row>
    <row r="269" spans="1:8" x14ac:dyDescent="0.35">
      <c r="A269" s="2" t="s">
        <v>1998</v>
      </c>
      <c r="B269" s="3">
        <v>44324</v>
      </c>
      <c r="C269" s="2" t="s">
        <v>1999</v>
      </c>
      <c r="D269" t="s">
        <v>6153</v>
      </c>
      <c r="E269" s="2">
        <v>6</v>
      </c>
      <c r="F269" s="2"/>
      <c r="G269" s="2"/>
      <c r="H269" s="2"/>
    </row>
    <row r="270" spans="1:8" x14ac:dyDescent="0.35">
      <c r="A270" s="2" t="s">
        <v>2004</v>
      </c>
      <c r="B270" s="3">
        <v>43790</v>
      </c>
      <c r="C270" s="2" t="s">
        <v>1672</v>
      </c>
      <c r="D270" t="s">
        <v>6147</v>
      </c>
      <c r="E270" s="2">
        <v>2</v>
      </c>
      <c r="F270" s="2"/>
      <c r="G270" s="2"/>
      <c r="H270" s="2"/>
    </row>
    <row r="271" spans="1:8" x14ac:dyDescent="0.35">
      <c r="A271" s="2" t="s">
        <v>2009</v>
      </c>
      <c r="B271" s="3">
        <v>44333</v>
      </c>
      <c r="C271" s="2" t="s">
        <v>2010</v>
      </c>
      <c r="D271" t="s">
        <v>6154</v>
      </c>
      <c r="E271" s="2">
        <v>2</v>
      </c>
      <c r="F271" s="2"/>
      <c r="G271" s="2"/>
      <c r="H271" s="2"/>
    </row>
    <row r="272" spans="1:8" x14ac:dyDescent="0.35">
      <c r="A272" s="2" t="s">
        <v>2015</v>
      </c>
      <c r="B272" s="3">
        <v>43655</v>
      </c>
      <c r="C272" s="2" t="s">
        <v>2016</v>
      </c>
      <c r="D272" t="s">
        <v>6144</v>
      </c>
      <c r="E272" s="2">
        <v>1</v>
      </c>
      <c r="F272" s="2"/>
      <c r="G272" s="2"/>
      <c r="H272" s="2"/>
    </row>
    <row r="273" spans="1:8" x14ac:dyDescent="0.35">
      <c r="A273" s="2" t="s">
        <v>2019</v>
      </c>
      <c r="B273" s="3">
        <v>43971</v>
      </c>
      <c r="C273" s="2" t="s">
        <v>2020</v>
      </c>
      <c r="D273" t="s">
        <v>6154</v>
      </c>
      <c r="E273" s="2">
        <v>4</v>
      </c>
      <c r="F273" s="2"/>
      <c r="G273" s="2"/>
      <c r="H273" s="2"/>
    </row>
    <row r="274" spans="1:8" x14ac:dyDescent="0.35">
      <c r="A274" s="2" t="s">
        <v>2025</v>
      </c>
      <c r="B274" s="3">
        <v>44435</v>
      </c>
      <c r="C274" s="2" t="s">
        <v>2026</v>
      </c>
      <c r="D274" t="s">
        <v>6179</v>
      </c>
      <c r="E274" s="2">
        <v>6</v>
      </c>
      <c r="F274" s="2"/>
      <c r="G274" s="2"/>
      <c r="H274" s="2"/>
    </row>
    <row r="275" spans="1:8" x14ac:dyDescent="0.35">
      <c r="A275" s="2" t="s">
        <v>2032</v>
      </c>
      <c r="B275" s="3">
        <v>44681</v>
      </c>
      <c r="C275" s="2" t="s">
        <v>2033</v>
      </c>
      <c r="D275" t="s">
        <v>6167</v>
      </c>
      <c r="E275" s="2">
        <v>2</v>
      </c>
      <c r="F275" s="2"/>
      <c r="G275" s="2"/>
      <c r="H275" s="2"/>
    </row>
    <row r="276" spans="1:8" x14ac:dyDescent="0.35">
      <c r="A276" s="2" t="s">
        <v>2038</v>
      </c>
      <c r="B276" s="3">
        <v>43985</v>
      </c>
      <c r="C276" s="2" t="s">
        <v>2039</v>
      </c>
      <c r="D276" t="s">
        <v>6175</v>
      </c>
      <c r="E276" s="2">
        <v>1</v>
      </c>
      <c r="F276" s="2"/>
      <c r="G276" s="2"/>
      <c r="H276" s="2"/>
    </row>
    <row r="277" spans="1:8" x14ac:dyDescent="0.35">
      <c r="A277" s="2" t="s">
        <v>2044</v>
      </c>
      <c r="B277" s="3">
        <v>44725</v>
      </c>
      <c r="C277" s="2" t="s">
        <v>2045</v>
      </c>
      <c r="D277" t="s">
        <v>6148</v>
      </c>
      <c r="E277" s="2">
        <v>6</v>
      </c>
      <c r="F277" s="2"/>
      <c r="G277" s="2"/>
      <c r="H277" s="2"/>
    </row>
    <row r="278" spans="1:8" x14ac:dyDescent="0.35">
      <c r="A278" s="2" t="s">
        <v>2050</v>
      </c>
      <c r="B278" s="3">
        <v>43992</v>
      </c>
      <c r="C278" s="2" t="s">
        <v>2051</v>
      </c>
      <c r="D278" t="s">
        <v>6142</v>
      </c>
      <c r="E278" s="2">
        <v>4</v>
      </c>
      <c r="F278" s="2"/>
      <c r="G278" s="2"/>
      <c r="H278" s="2"/>
    </row>
    <row r="279" spans="1:8" x14ac:dyDescent="0.35">
      <c r="A279" s="2" t="s">
        <v>2056</v>
      </c>
      <c r="B279" s="3">
        <v>44183</v>
      </c>
      <c r="C279" s="2" t="s">
        <v>2057</v>
      </c>
      <c r="D279" t="s">
        <v>6171</v>
      </c>
      <c r="E279" s="2">
        <v>6</v>
      </c>
      <c r="F279" s="2"/>
      <c r="G279" s="2"/>
      <c r="H279" s="2"/>
    </row>
    <row r="280" spans="1:8" x14ac:dyDescent="0.35">
      <c r="A280" s="2" t="s">
        <v>2062</v>
      </c>
      <c r="B280" s="3">
        <v>43708</v>
      </c>
      <c r="C280" s="2" t="s">
        <v>2063</v>
      </c>
      <c r="D280" t="s">
        <v>6167</v>
      </c>
      <c r="E280" s="2">
        <v>2</v>
      </c>
      <c r="F280" s="2"/>
      <c r="G280" s="2"/>
      <c r="H280" s="2"/>
    </row>
    <row r="281" spans="1:8" x14ac:dyDescent="0.35">
      <c r="A281" s="2" t="s">
        <v>2068</v>
      </c>
      <c r="B281" s="3">
        <v>43521</v>
      </c>
      <c r="C281" s="2" t="s">
        <v>2069</v>
      </c>
      <c r="D281" t="s">
        <v>6181</v>
      </c>
      <c r="E281" s="2">
        <v>1</v>
      </c>
      <c r="F281" s="2"/>
      <c r="G281" s="2"/>
      <c r="H281" s="2"/>
    </row>
    <row r="282" spans="1:8" x14ac:dyDescent="0.35">
      <c r="A282" s="2" t="s">
        <v>2074</v>
      </c>
      <c r="B282" s="3">
        <v>44234</v>
      </c>
      <c r="C282" s="2" t="s">
        <v>2075</v>
      </c>
      <c r="D282" t="s">
        <v>6139</v>
      </c>
      <c r="E282" s="2">
        <v>5</v>
      </c>
      <c r="F282" s="2"/>
      <c r="G282" s="2"/>
      <c r="H282" s="2"/>
    </row>
    <row r="283" spans="1:8" x14ac:dyDescent="0.35">
      <c r="A283" s="2" t="s">
        <v>2079</v>
      </c>
      <c r="B283" s="3">
        <v>44210</v>
      </c>
      <c r="C283" s="2" t="s">
        <v>2080</v>
      </c>
      <c r="D283" t="s">
        <v>6171</v>
      </c>
      <c r="E283" s="2">
        <v>4</v>
      </c>
      <c r="F283" s="2"/>
      <c r="G283" s="2"/>
      <c r="H283" s="2"/>
    </row>
    <row r="284" spans="1:8" x14ac:dyDescent="0.35">
      <c r="A284" s="2" t="s">
        <v>2085</v>
      </c>
      <c r="B284" s="3">
        <v>43520</v>
      </c>
      <c r="C284" s="2" t="s">
        <v>2086</v>
      </c>
      <c r="D284" t="s">
        <v>6180</v>
      </c>
      <c r="E284" s="2">
        <v>1</v>
      </c>
      <c r="F284" s="2"/>
      <c r="G284" s="2"/>
      <c r="H284" s="2"/>
    </row>
    <row r="285" spans="1:8" x14ac:dyDescent="0.35">
      <c r="A285" s="2" t="s">
        <v>2091</v>
      </c>
      <c r="B285" s="3">
        <v>43639</v>
      </c>
      <c r="C285" s="2" t="s">
        <v>2092</v>
      </c>
      <c r="D285" t="s">
        <v>6172</v>
      </c>
      <c r="E285" s="2">
        <v>1</v>
      </c>
      <c r="F285" s="2"/>
      <c r="G285" s="2"/>
      <c r="H285" s="2"/>
    </row>
    <row r="286" spans="1:8" x14ac:dyDescent="0.35">
      <c r="A286" s="2" t="s">
        <v>2097</v>
      </c>
      <c r="B286" s="3">
        <v>43960</v>
      </c>
      <c r="C286" s="2" t="s">
        <v>2098</v>
      </c>
      <c r="D286" t="s">
        <v>6166</v>
      </c>
      <c r="E286" s="2">
        <v>3</v>
      </c>
      <c r="F286" s="2"/>
      <c r="G286" s="2"/>
      <c r="H286" s="2"/>
    </row>
    <row r="287" spans="1:8" x14ac:dyDescent="0.35">
      <c r="A287" s="2" t="s">
        <v>2102</v>
      </c>
      <c r="B287" s="3">
        <v>44030</v>
      </c>
      <c r="C287" s="2" t="s">
        <v>2103</v>
      </c>
      <c r="D287" t="s">
        <v>6164</v>
      </c>
      <c r="E287" s="2">
        <v>1</v>
      </c>
      <c r="F287" s="2"/>
      <c r="G287" s="2"/>
      <c r="H287" s="2"/>
    </row>
    <row r="288" spans="1:8" x14ac:dyDescent="0.35">
      <c r="A288" s="2" t="s">
        <v>2107</v>
      </c>
      <c r="B288" s="3">
        <v>43755</v>
      </c>
      <c r="C288" s="2" t="s">
        <v>2108</v>
      </c>
      <c r="D288" t="s">
        <v>6152</v>
      </c>
      <c r="E288" s="2">
        <v>4</v>
      </c>
      <c r="F288" s="2"/>
      <c r="G288" s="2"/>
      <c r="H288" s="2"/>
    </row>
    <row r="289" spans="1:8" x14ac:dyDescent="0.35">
      <c r="A289" s="2" t="s">
        <v>2112</v>
      </c>
      <c r="B289" s="3">
        <v>44697</v>
      </c>
      <c r="C289" s="2" t="s">
        <v>2113</v>
      </c>
      <c r="D289" t="s">
        <v>6178</v>
      </c>
      <c r="E289" s="2">
        <v>4</v>
      </c>
      <c r="F289" s="2"/>
      <c r="G289" s="2"/>
      <c r="H289" s="2"/>
    </row>
    <row r="290" spans="1:8" x14ac:dyDescent="0.35">
      <c r="A290" s="2" t="s">
        <v>2118</v>
      </c>
      <c r="B290" s="3">
        <v>44279</v>
      </c>
      <c r="C290" s="2" t="s">
        <v>2119</v>
      </c>
      <c r="D290" t="s">
        <v>6139</v>
      </c>
      <c r="E290" s="2">
        <v>1</v>
      </c>
      <c r="F290" s="2"/>
      <c r="G290" s="2"/>
      <c r="H290" s="2"/>
    </row>
    <row r="291" spans="1:8" x14ac:dyDescent="0.35">
      <c r="A291" s="2" t="s">
        <v>2123</v>
      </c>
      <c r="B291" s="3">
        <v>43772</v>
      </c>
      <c r="C291" s="2" t="s">
        <v>2124</v>
      </c>
      <c r="D291" t="s">
        <v>6163</v>
      </c>
      <c r="E291" s="2">
        <v>5</v>
      </c>
      <c r="F291" s="2"/>
      <c r="G291" s="2"/>
      <c r="H291" s="2"/>
    </row>
    <row r="292" spans="1:8" x14ac:dyDescent="0.35">
      <c r="A292" s="2" t="s">
        <v>2127</v>
      </c>
      <c r="B292" s="3">
        <v>44497</v>
      </c>
      <c r="C292" s="2" t="s">
        <v>2128</v>
      </c>
      <c r="D292" t="s">
        <v>6147</v>
      </c>
      <c r="E292" s="2">
        <v>5</v>
      </c>
      <c r="F292" s="2"/>
      <c r="G292" s="2"/>
      <c r="H292" s="2"/>
    </row>
    <row r="293" spans="1:8" x14ac:dyDescent="0.35">
      <c r="A293" s="2" t="s">
        <v>2133</v>
      </c>
      <c r="B293" s="3">
        <v>44181</v>
      </c>
      <c r="C293" s="2" t="s">
        <v>2134</v>
      </c>
      <c r="D293" t="s">
        <v>6139</v>
      </c>
      <c r="E293" s="2">
        <v>2</v>
      </c>
      <c r="F293" s="2"/>
      <c r="G293" s="2"/>
      <c r="H293" s="2"/>
    </row>
    <row r="294" spans="1:8" x14ac:dyDescent="0.35">
      <c r="A294" s="2" t="s">
        <v>2137</v>
      </c>
      <c r="B294" s="3">
        <v>44529</v>
      </c>
      <c r="C294" s="2" t="s">
        <v>2138</v>
      </c>
      <c r="D294" t="s">
        <v>6158</v>
      </c>
      <c r="E294" s="2">
        <v>3</v>
      </c>
      <c r="F294" s="2"/>
      <c r="G294" s="2"/>
      <c r="H294" s="2"/>
    </row>
    <row r="295" spans="1:8" x14ac:dyDescent="0.35">
      <c r="A295" s="2" t="s">
        <v>2142</v>
      </c>
      <c r="B295" s="3">
        <v>44275</v>
      </c>
      <c r="C295" s="2" t="s">
        <v>2143</v>
      </c>
      <c r="D295" t="s">
        <v>6158</v>
      </c>
      <c r="E295" s="2">
        <v>5</v>
      </c>
      <c r="F295" s="2"/>
      <c r="G295" s="2"/>
      <c r="H295" s="2"/>
    </row>
    <row r="296" spans="1:8" x14ac:dyDescent="0.35">
      <c r="A296" s="2" t="s">
        <v>2148</v>
      </c>
      <c r="B296" s="3">
        <v>44659</v>
      </c>
      <c r="C296" s="2" t="s">
        <v>2149</v>
      </c>
      <c r="D296" t="s">
        <v>6171</v>
      </c>
      <c r="E296" s="2">
        <v>3</v>
      </c>
      <c r="F296" s="2"/>
      <c r="G296" s="2"/>
      <c r="H296" s="2"/>
    </row>
    <row r="297" spans="1:8" x14ac:dyDescent="0.35">
      <c r="A297" s="2" t="s">
        <v>2153</v>
      </c>
      <c r="B297" s="3">
        <v>44057</v>
      </c>
      <c r="C297" s="2" t="s">
        <v>2154</v>
      </c>
      <c r="D297" t="s">
        <v>6141</v>
      </c>
      <c r="E297" s="2">
        <v>2</v>
      </c>
      <c r="F297" s="2"/>
      <c r="G297" s="2"/>
      <c r="H297" s="2"/>
    </row>
    <row r="298" spans="1:8" x14ac:dyDescent="0.35">
      <c r="A298" s="2" t="s">
        <v>2157</v>
      </c>
      <c r="B298" s="3">
        <v>43597</v>
      </c>
      <c r="C298" s="2" t="s">
        <v>2158</v>
      </c>
      <c r="D298" t="s">
        <v>6146</v>
      </c>
      <c r="E298" s="2">
        <v>6</v>
      </c>
      <c r="F298" s="2"/>
      <c r="G298" s="2"/>
      <c r="H298" s="2"/>
    </row>
    <row r="299" spans="1:8" x14ac:dyDescent="0.35">
      <c r="A299" s="2" t="s">
        <v>2163</v>
      </c>
      <c r="B299" s="3">
        <v>44258</v>
      </c>
      <c r="C299" s="2" t="s">
        <v>2164</v>
      </c>
      <c r="D299" t="s">
        <v>6172</v>
      </c>
      <c r="E299" s="2">
        <v>3</v>
      </c>
      <c r="F299" s="2"/>
      <c r="G299" s="2"/>
      <c r="H299" s="2"/>
    </row>
    <row r="300" spans="1:8" x14ac:dyDescent="0.35">
      <c r="A300" s="2" t="s">
        <v>2169</v>
      </c>
      <c r="B300" s="3">
        <v>43872</v>
      </c>
      <c r="C300" s="2" t="s">
        <v>2170</v>
      </c>
      <c r="D300" t="s">
        <v>6184</v>
      </c>
      <c r="E300" s="2">
        <v>6</v>
      </c>
      <c r="F300" s="2"/>
      <c r="G300" s="2"/>
      <c r="H300" s="2"/>
    </row>
    <row r="301" spans="1:8" x14ac:dyDescent="0.35">
      <c r="A301" s="2" t="s">
        <v>2175</v>
      </c>
      <c r="B301" s="3">
        <v>43582</v>
      </c>
      <c r="C301" s="2" t="s">
        <v>2176</v>
      </c>
      <c r="D301" t="s">
        <v>6148</v>
      </c>
      <c r="E301" s="2">
        <v>6</v>
      </c>
      <c r="F301" s="2"/>
      <c r="G301" s="2"/>
      <c r="H301" s="2"/>
    </row>
    <row r="302" spans="1:8" x14ac:dyDescent="0.35">
      <c r="A302" s="2" t="s">
        <v>2181</v>
      </c>
      <c r="B302" s="3">
        <v>44646</v>
      </c>
      <c r="C302" s="2" t="s">
        <v>2182</v>
      </c>
      <c r="D302" t="s">
        <v>6140</v>
      </c>
      <c r="E302" s="2">
        <v>3</v>
      </c>
      <c r="F302" s="2"/>
      <c r="G302" s="2"/>
      <c r="H302" s="2"/>
    </row>
    <row r="303" spans="1:8" x14ac:dyDescent="0.35">
      <c r="A303" s="2" t="s">
        <v>2187</v>
      </c>
      <c r="B303" s="3">
        <v>44102</v>
      </c>
      <c r="C303" s="2" t="s">
        <v>2188</v>
      </c>
      <c r="D303" t="s">
        <v>6150</v>
      </c>
      <c r="E303" s="2">
        <v>4</v>
      </c>
      <c r="F303" s="2"/>
      <c r="G303" s="2"/>
      <c r="H303" s="2"/>
    </row>
    <row r="304" spans="1:8" x14ac:dyDescent="0.35">
      <c r="A304" s="2" t="s">
        <v>2193</v>
      </c>
      <c r="B304" s="3">
        <v>43762</v>
      </c>
      <c r="C304" s="2" t="s">
        <v>2194</v>
      </c>
      <c r="D304" t="s">
        <v>6157</v>
      </c>
      <c r="E304" s="2">
        <v>1</v>
      </c>
      <c r="F304" s="2"/>
      <c r="G304" s="2"/>
      <c r="H304" s="2"/>
    </row>
    <row r="305" spans="1:8" x14ac:dyDescent="0.35">
      <c r="A305" s="2" t="s">
        <v>2199</v>
      </c>
      <c r="B305" s="3">
        <v>44412</v>
      </c>
      <c r="C305" s="2" t="s">
        <v>2200</v>
      </c>
      <c r="D305" t="s">
        <v>6185</v>
      </c>
      <c r="E305" s="2">
        <v>4</v>
      </c>
      <c r="F305" s="2"/>
      <c r="G305" s="2"/>
      <c r="H305" s="2"/>
    </row>
    <row r="306" spans="1:8" x14ac:dyDescent="0.35">
      <c r="A306" s="2" t="s">
        <v>2204</v>
      </c>
      <c r="B306" s="3">
        <v>43828</v>
      </c>
      <c r="C306" s="2" t="s">
        <v>2245</v>
      </c>
      <c r="D306" t="s">
        <v>6167</v>
      </c>
      <c r="E306" s="2">
        <v>1</v>
      </c>
      <c r="F306" s="2"/>
      <c r="G306" s="2"/>
      <c r="H306" s="2"/>
    </row>
    <row r="307" spans="1:8" x14ac:dyDescent="0.35">
      <c r="A307" s="2" t="s">
        <v>2209</v>
      </c>
      <c r="B307" s="3">
        <v>43796</v>
      </c>
      <c r="C307" s="2" t="s">
        <v>2210</v>
      </c>
      <c r="D307" t="s">
        <v>6159</v>
      </c>
      <c r="E307" s="2">
        <v>5</v>
      </c>
      <c r="F307" s="2"/>
      <c r="G307" s="2"/>
      <c r="H307" s="2"/>
    </row>
    <row r="308" spans="1:8" x14ac:dyDescent="0.35">
      <c r="A308" s="2" t="s">
        <v>2215</v>
      </c>
      <c r="B308" s="3">
        <v>43890</v>
      </c>
      <c r="C308" s="2" t="s">
        <v>2216</v>
      </c>
      <c r="D308" t="s">
        <v>6174</v>
      </c>
      <c r="E308" s="2">
        <v>5</v>
      </c>
      <c r="F308" s="2"/>
      <c r="G308" s="2"/>
      <c r="H308" s="2"/>
    </row>
    <row r="309" spans="1:8" x14ac:dyDescent="0.35">
      <c r="A309" s="2" t="s">
        <v>2221</v>
      </c>
      <c r="B309" s="3">
        <v>44227</v>
      </c>
      <c r="C309" s="2" t="s">
        <v>2222</v>
      </c>
      <c r="D309" t="s">
        <v>6155</v>
      </c>
      <c r="E309" s="2">
        <v>3</v>
      </c>
      <c r="F309" s="2"/>
      <c r="G309" s="2"/>
      <c r="H309" s="2"/>
    </row>
    <row r="310" spans="1:8" x14ac:dyDescent="0.35">
      <c r="A310" s="2" t="s">
        <v>2227</v>
      </c>
      <c r="B310" s="3">
        <v>44729</v>
      </c>
      <c r="C310" s="2" t="s">
        <v>2228</v>
      </c>
      <c r="D310" t="s">
        <v>6155</v>
      </c>
      <c r="E310" s="2">
        <v>3</v>
      </c>
      <c r="F310" s="2"/>
      <c r="G310" s="2"/>
      <c r="H310" s="2"/>
    </row>
    <row r="311" spans="1:8" x14ac:dyDescent="0.35">
      <c r="A311" s="2" t="s">
        <v>2232</v>
      </c>
      <c r="B311" s="3">
        <v>43864</v>
      </c>
      <c r="C311" s="2" t="s">
        <v>2233</v>
      </c>
      <c r="D311" t="s">
        <v>6159</v>
      </c>
      <c r="E311" s="2">
        <v>6</v>
      </c>
      <c r="F311" s="2"/>
      <c r="G311" s="2"/>
      <c r="H311" s="2"/>
    </row>
    <row r="312" spans="1:8" x14ac:dyDescent="0.35">
      <c r="A312" s="2" t="s">
        <v>2238</v>
      </c>
      <c r="B312" s="3">
        <v>44586</v>
      </c>
      <c r="C312" s="2" t="s">
        <v>2239</v>
      </c>
      <c r="D312" t="s">
        <v>6171</v>
      </c>
      <c r="E312" s="2">
        <v>1</v>
      </c>
      <c r="F312" s="2"/>
      <c r="G312" s="2"/>
      <c r="H312" s="2"/>
    </row>
    <row r="313" spans="1:8" x14ac:dyDescent="0.35">
      <c r="A313" s="2" t="s">
        <v>2244</v>
      </c>
      <c r="B313" s="3">
        <v>43951</v>
      </c>
      <c r="C313" s="2" t="s">
        <v>2245</v>
      </c>
      <c r="D313" t="s">
        <v>6166</v>
      </c>
      <c r="E313" s="2">
        <v>6</v>
      </c>
      <c r="F313" s="2"/>
      <c r="G313" s="2"/>
      <c r="H313" s="2"/>
    </row>
    <row r="314" spans="1:8" x14ac:dyDescent="0.35">
      <c r="A314" s="2" t="s">
        <v>2250</v>
      </c>
      <c r="B314" s="3">
        <v>44317</v>
      </c>
      <c r="C314" s="2" t="s">
        <v>2251</v>
      </c>
      <c r="D314" t="s">
        <v>6146</v>
      </c>
      <c r="E314" s="2">
        <v>1</v>
      </c>
      <c r="F314" s="2"/>
      <c r="G314" s="2"/>
      <c r="H314" s="2"/>
    </row>
    <row r="315" spans="1:8" x14ac:dyDescent="0.35">
      <c r="A315" s="2" t="s">
        <v>2256</v>
      </c>
      <c r="B315" s="3">
        <v>44497</v>
      </c>
      <c r="C315" s="2" t="s">
        <v>2257</v>
      </c>
      <c r="D315" t="s">
        <v>6138</v>
      </c>
      <c r="E315" s="2">
        <v>3</v>
      </c>
      <c r="F315" s="2"/>
      <c r="G315" s="2"/>
      <c r="H315" s="2"/>
    </row>
    <row r="316" spans="1:8" x14ac:dyDescent="0.35">
      <c r="A316" s="2" t="s">
        <v>2262</v>
      </c>
      <c r="B316" s="3">
        <v>44437</v>
      </c>
      <c r="C316" s="2" t="s">
        <v>2263</v>
      </c>
      <c r="D316" t="s">
        <v>6177</v>
      </c>
      <c r="E316" s="2">
        <v>5</v>
      </c>
      <c r="F316" s="2"/>
      <c r="G316" s="2"/>
      <c r="H316" s="2"/>
    </row>
    <row r="317" spans="1:8" x14ac:dyDescent="0.35">
      <c r="A317" s="2" t="s">
        <v>2267</v>
      </c>
      <c r="B317" s="3">
        <v>43826</v>
      </c>
      <c r="C317" s="2" t="s">
        <v>2268</v>
      </c>
      <c r="D317" t="s">
        <v>6148</v>
      </c>
      <c r="E317" s="2">
        <v>1</v>
      </c>
      <c r="F317" s="2"/>
      <c r="G317" s="2"/>
      <c r="H317" s="2"/>
    </row>
    <row r="318" spans="1:8" x14ac:dyDescent="0.35">
      <c r="A318" s="2" t="s">
        <v>2273</v>
      </c>
      <c r="B318" s="3">
        <v>43641</v>
      </c>
      <c r="C318" s="2" t="s">
        <v>2274</v>
      </c>
      <c r="D318" t="s">
        <v>6148</v>
      </c>
      <c r="E318" s="2">
        <v>6</v>
      </c>
      <c r="F318" s="2"/>
      <c r="G318" s="2"/>
      <c r="H318" s="2"/>
    </row>
    <row r="319" spans="1:8" x14ac:dyDescent="0.35">
      <c r="A319" s="2" t="s">
        <v>2279</v>
      </c>
      <c r="B319" s="3">
        <v>43526</v>
      </c>
      <c r="C319" s="2" t="s">
        <v>2280</v>
      </c>
      <c r="D319" t="s">
        <v>6144</v>
      </c>
      <c r="E319" s="2">
        <v>3</v>
      </c>
      <c r="F319" s="2"/>
      <c r="G319" s="2"/>
      <c r="H319" s="2"/>
    </row>
    <row r="320" spans="1:8" x14ac:dyDescent="0.35">
      <c r="A320" s="2" t="s">
        <v>2285</v>
      </c>
      <c r="B320" s="3">
        <v>44563</v>
      </c>
      <c r="C320" s="2" t="s">
        <v>2286</v>
      </c>
      <c r="D320" t="s">
        <v>6175</v>
      </c>
      <c r="E320" s="2">
        <v>2</v>
      </c>
      <c r="F320" s="2"/>
      <c r="G320" s="2"/>
      <c r="H320" s="2"/>
    </row>
    <row r="321" spans="1:8" x14ac:dyDescent="0.35">
      <c r="A321" s="2" t="s">
        <v>2291</v>
      </c>
      <c r="B321" s="3">
        <v>43676</v>
      </c>
      <c r="C321" s="2" t="s">
        <v>2292</v>
      </c>
      <c r="D321" t="s">
        <v>6156</v>
      </c>
      <c r="E321" s="2">
        <v>2</v>
      </c>
      <c r="F321" s="2"/>
      <c r="G321" s="2"/>
      <c r="H321" s="2"/>
    </row>
    <row r="322" spans="1:8" x14ac:dyDescent="0.35">
      <c r="A322" s="2" t="s">
        <v>2291</v>
      </c>
      <c r="B322" s="3">
        <v>43676</v>
      </c>
      <c r="C322" s="2" t="s">
        <v>2292</v>
      </c>
      <c r="D322" t="s">
        <v>6167</v>
      </c>
      <c r="E322" s="2">
        <v>5</v>
      </c>
      <c r="F322" s="2"/>
      <c r="G322" s="2"/>
      <c r="H322" s="2"/>
    </row>
    <row r="323" spans="1:8" x14ac:dyDescent="0.35">
      <c r="A323" s="2" t="s">
        <v>2301</v>
      </c>
      <c r="B323" s="3">
        <v>44170</v>
      </c>
      <c r="C323" s="2" t="s">
        <v>2302</v>
      </c>
      <c r="D323" t="s">
        <v>6152</v>
      </c>
      <c r="E323" s="2">
        <v>6</v>
      </c>
      <c r="F323" s="2"/>
      <c r="G323" s="2"/>
      <c r="H323" s="2"/>
    </row>
    <row r="324" spans="1:8" x14ac:dyDescent="0.35">
      <c r="A324" s="2" t="s">
        <v>2307</v>
      </c>
      <c r="B324" s="3">
        <v>44182</v>
      </c>
      <c r="C324" s="2" t="s">
        <v>2308</v>
      </c>
      <c r="D324" t="s">
        <v>6169</v>
      </c>
      <c r="E324" s="2">
        <v>3</v>
      </c>
      <c r="F324" s="2"/>
      <c r="G324" s="2"/>
      <c r="H324" s="2"/>
    </row>
    <row r="325" spans="1:8" x14ac:dyDescent="0.35">
      <c r="A325" s="2" t="s">
        <v>2313</v>
      </c>
      <c r="B325" s="3">
        <v>44373</v>
      </c>
      <c r="C325" s="2" t="s">
        <v>2314</v>
      </c>
      <c r="D325" t="s">
        <v>6153</v>
      </c>
      <c r="E325" s="2">
        <v>5</v>
      </c>
      <c r="F325" s="2"/>
      <c r="G325" s="2"/>
      <c r="H325" s="2"/>
    </row>
    <row r="326" spans="1:8" x14ac:dyDescent="0.35">
      <c r="A326" s="2" t="s">
        <v>2319</v>
      </c>
      <c r="B326" s="3">
        <v>43666</v>
      </c>
      <c r="C326" s="2" t="s">
        <v>2320</v>
      </c>
      <c r="D326" t="s">
        <v>6141</v>
      </c>
      <c r="E326" s="2">
        <v>1</v>
      </c>
      <c r="F326" s="2"/>
      <c r="G326" s="2"/>
      <c r="H326" s="2"/>
    </row>
    <row r="327" spans="1:8" x14ac:dyDescent="0.35">
      <c r="A327" s="2" t="s">
        <v>2324</v>
      </c>
      <c r="B327" s="3">
        <v>44756</v>
      </c>
      <c r="C327" s="2" t="s">
        <v>2325</v>
      </c>
      <c r="D327" t="s">
        <v>6182</v>
      </c>
      <c r="E327" s="2">
        <v>1</v>
      </c>
      <c r="F327" s="2"/>
      <c r="G327" s="2"/>
      <c r="H327" s="2"/>
    </row>
    <row r="328" spans="1:8" x14ac:dyDescent="0.35">
      <c r="A328" s="2" t="s">
        <v>2330</v>
      </c>
      <c r="B328" s="3">
        <v>44057</v>
      </c>
      <c r="C328" s="2" t="s">
        <v>2331</v>
      </c>
      <c r="D328" t="s">
        <v>6177</v>
      </c>
      <c r="E328" s="2">
        <v>5</v>
      </c>
      <c r="F328" s="2"/>
      <c r="G328" s="2"/>
      <c r="H328" s="2"/>
    </row>
    <row r="329" spans="1:8" x14ac:dyDescent="0.35">
      <c r="A329" s="2" t="s">
        <v>2335</v>
      </c>
      <c r="B329" s="3">
        <v>43579</v>
      </c>
      <c r="C329" s="2" t="s">
        <v>2336</v>
      </c>
      <c r="D329" t="s">
        <v>6177</v>
      </c>
      <c r="E329" s="2">
        <v>5</v>
      </c>
      <c r="F329" s="2"/>
      <c r="G329" s="2"/>
      <c r="H329" s="2"/>
    </row>
    <row r="330" spans="1:8" x14ac:dyDescent="0.35">
      <c r="A330" s="2" t="s">
        <v>2341</v>
      </c>
      <c r="B330" s="3">
        <v>43620</v>
      </c>
      <c r="C330" s="2" t="s">
        <v>2342</v>
      </c>
      <c r="D330" t="s">
        <v>6161</v>
      </c>
      <c r="E330" s="2">
        <v>4</v>
      </c>
      <c r="F330" s="2"/>
      <c r="G330" s="2"/>
      <c r="H330" s="2"/>
    </row>
    <row r="331" spans="1:8" x14ac:dyDescent="0.35">
      <c r="A331" s="2" t="s">
        <v>2346</v>
      </c>
      <c r="B331" s="3">
        <v>44781</v>
      </c>
      <c r="C331" s="2" t="s">
        <v>2347</v>
      </c>
      <c r="D331" t="s">
        <v>6172</v>
      </c>
      <c r="E331" s="2">
        <v>4</v>
      </c>
      <c r="F331" s="2"/>
      <c r="G331" s="2"/>
      <c r="H331" s="2"/>
    </row>
    <row r="332" spans="1:8" x14ac:dyDescent="0.35">
      <c r="A332" s="2" t="s">
        <v>2351</v>
      </c>
      <c r="B332" s="3">
        <v>43782</v>
      </c>
      <c r="C332" s="2" t="s">
        <v>2280</v>
      </c>
      <c r="D332" t="s">
        <v>6172</v>
      </c>
      <c r="E332" s="2">
        <v>3</v>
      </c>
      <c r="F332" s="2"/>
      <c r="G332" s="2"/>
      <c r="H332" s="2"/>
    </row>
    <row r="333" spans="1:8" x14ac:dyDescent="0.35">
      <c r="A333" s="2" t="s">
        <v>2357</v>
      </c>
      <c r="B333" s="3">
        <v>43989</v>
      </c>
      <c r="C333" s="2" t="s">
        <v>2358</v>
      </c>
      <c r="D333" t="s">
        <v>6151</v>
      </c>
      <c r="E333" s="2">
        <v>1</v>
      </c>
      <c r="F333" s="2"/>
      <c r="G333" s="2"/>
      <c r="H333" s="2"/>
    </row>
    <row r="334" spans="1:8" x14ac:dyDescent="0.35">
      <c r="A334" s="2" t="s">
        <v>2363</v>
      </c>
      <c r="B334" s="3">
        <v>43689</v>
      </c>
      <c r="C334" s="2" t="s">
        <v>2364</v>
      </c>
      <c r="D334" t="s">
        <v>6158</v>
      </c>
      <c r="E334" s="2">
        <v>3</v>
      </c>
      <c r="F334" s="2"/>
      <c r="G334" s="2"/>
      <c r="H334" s="2"/>
    </row>
    <row r="335" spans="1:8" x14ac:dyDescent="0.35">
      <c r="A335" s="2" t="s">
        <v>2369</v>
      </c>
      <c r="B335" s="3">
        <v>43712</v>
      </c>
      <c r="C335" s="2" t="s">
        <v>2370</v>
      </c>
      <c r="D335" t="s">
        <v>6146</v>
      </c>
      <c r="E335" s="2">
        <v>4</v>
      </c>
      <c r="F335" s="2"/>
      <c r="G335" s="2"/>
      <c r="H335" s="2"/>
    </row>
    <row r="336" spans="1:8" x14ac:dyDescent="0.35">
      <c r="A336" s="2" t="s">
        <v>2375</v>
      </c>
      <c r="B336" s="3">
        <v>43742</v>
      </c>
      <c r="C336" s="2" t="s">
        <v>2376</v>
      </c>
      <c r="D336" t="s">
        <v>6179</v>
      </c>
      <c r="E336" s="2">
        <v>5</v>
      </c>
      <c r="F336" s="2"/>
      <c r="G336" s="2"/>
      <c r="H336" s="2"/>
    </row>
    <row r="337" spans="1:8" x14ac:dyDescent="0.35">
      <c r="A337" s="2" t="s">
        <v>2379</v>
      </c>
      <c r="B337" s="3">
        <v>43885</v>
      </c>
      <c r="C337" s="2" t="s">
        <v>2380</v>
      </c>
      <c r="D337" t="s">
        <v>6145</v>
      </c>
      <c r="E337" s="2">
        <v>6</v>
      </c>
      <c r="F337" s="2"/>
      <c r="G337" s="2"/>
      <c r="H337" s="2"/>
    </row>
    <row r="338" spans="1:8" x14ac:dyDescent="0.35">
      <c r="A338" s="2" t="s">
        <v>2385</v>
      </c>
      <c r="B338" s="3">
        <v>44434</v>
      </c>
      <c r="C338" s="2" t="s">
        <v>2386</v>
      </c>
      <c r="D338" t="s">
        <v>6155</v>
      </c>
      <c r="E338" s="2">
        <v>4</v>
      </c>
      <c r="F338" s="2"/>
      <c r="G338" s="2"/>
      <c r="H338" s="2"/>
    </row>
    <row r="339" spans="1:8" x14ac:dyDescent="0.35">
      <c r="A339" s="2" t="s">
        <v>2391</v>
      </c>
      <c r="B339" s="3">
        <v>44472</v>
      </c>
      <c r="C339" s="2" t="s">
        <v>2331</v>
      </c>
      <c r="D339" t="s">
        <v>6185</v>
      </c>
      <c r="E339" s="2">
        <v>2</v>
      </c>
      <c r="F339" s="2"/>
      <c r="G339" s="2"/>
      <c r="H339" s="2"/>
    </row>
    <row r="340" spans="1:8" x14ac:dyDescent="0.35">
      <c r="A340" s="2" t="s">
        <v>2396</v>
      </c>
      <c r="B340" s="3">
        <v>43995</v>
      </c>
      <c r="C340" s="2" t="s">
        <v>2397</v>
      </c>
      <c r="D340" t="s">
        <v>6171</v>
      </c>
      <c r="E340" s="2">
        <v>4</v>
      </c>
      <c r="F340" s="2"/>
      <c r="G340" s="2"/>
      <c r="H340" s="2"/>
    </row>
    <row r="341" spans="1:8" x14ac:dyDescent="0.35">
      <c r="A341" s="2" t="s">
        <v>2402</v>
      </c>
      <c r="B341" s="3">
        <v>44256</v>
      </c>
      <c r="C341" s="2" t="s">
        <v>2403</v>
      </c>
      <c r="D341" t="s">
        <v>6153</v>
      </c>
      <c r="E341" s="2">
        <v>2</v>
      </c>
      <c r="F341" s="2"/>
      <c r="G341" s="2"/>
      <c r="H341" s="2"/>
    </row>
    <row r="342" spans="1:8" x14ac:dyDescent="0.35">
      <c r="A342" s="2" t="s">
        <v>2408</v>
      </c>
      <c r="B342" s="3">
        <v>43528</v>
      </c>
      <c r="C342" s="2" t="s">
        <v>2409</v>
      </c>
      <c r="D342" t="s">
        <v>6144</v>
      </c>
      <c r="E342" s="2">
        <v>1</v>
      </c>
      <c r="F342" s="2"/>
      <c r="G342" s="2"/>
      <c r="H342" s="2"/>
    </row>
    <row r="343" spans="1:8" x14ac:dyDescent="0.35">
      <c r="A343" s="2" t="s">
        <v>2414</v>
      </c>
      <c r="B343" s="3">
        <v>43751</v>
      </c>
      <c r="C343" s="2" t="s">
        <v>2415</v>
      </c>
      <c r="D343" t="s">
        <v>6176</v>
      </c>
      <c r="E343" s="2">
        <v>2</v>
      </c>
      <c r="F343" s="2"/>
      <c r="G343" s="2"/>
      <c r="H343" s="2"/>
    </row>
    <row r="344" spans="1:8" x14ac:dyDescent="0.35">
      <c r="A344" s="2" t="s">
        <v>2414</v>
      </c>
      <c r="B344" s="3">
        <v>43751</v>
      </c>
      <c r="C344" s="2" t="s">
        <v>2415</v>
      </c>
      <c r="D344" t="s">
        <v>6169</v>
      </c>
      <c r="E344" s="2">
        <v>5</v>
      </c>
      <c r="F344" s="2"/>
      <c r="G344" s="2"/>
      <c r="H344" s="2"/>
    </row>
    <row r="345" spans="1:8" x14ac:dyDescent="0.35">
      <c r="A345" s="2" t="s">
        <v>2424</v>
      </c>
      <c r="B345" s="3">
        <v>43692</v>
      </c>
      <c r="C345" s="2" t="s">
        <v>2425</v>
      </c>
      <c r="D345" t="s">
        <v>6172</v>
      </c>
      <c r="E345" s="2">
        <v>6</v>
      </c>
      <c r="F345" s="2"/>
      <c r="G345" s="2"/>
      <c r="H345" s="2"/>
    </row>
    <row r="346" spans="1:8" x14ac:dyDescent="0.35">
      <c r="A346" s="2" t="s">
        <v>2429</v>
      </c>
      <c r="B346" s="3">
        <v>44529</v>
      </c>
      <c r="C346" s="2" t="s">
        <v>2430</v>
      </c>
      <c r="D346" t="s">
        <v>6138</v>
      </c>
      <c r="E346" s="2">
        <v>2</v>
      </c>
      <c r="F346" s="2"/>
      <c r="G346" s="2"/>
      <c r="H346" s="2"/>
    </row>
    <row r="347" spans="1:8" x14ac:dyDescent="0.35">
      <c r="A347" s="2" t="s">
        <v>2434</v>
      </c>
      <c r="B347" s="3">
        <v>43849</v>
      </c>
      <c r="C347" s="2" t="s">
        <v>2435</v>
      </c>
      <c r="D347" t="s">
        <v>6179</v>
      </c>
      <c r="E347" s="2">
        <v>5</v>
      </c>
      <c r="F347" s="2"/>
      <c r="G347" s="2"/>
      <c r="H347" s="2"/>
    </row>
    <row r="348" spans="1:8" x14ac:dyDescent="0.35">
      <c r="A348" s="2" t="s">
        <v>2440</v>
      </c>
      <c r="B348" s="3">
        <v>44344</v>
      </c>
      <c r="C348" s="2" t="s">
        <v>2441</v>
      </c>
      <c r="D348" t="s">
        <v>6180</v>
      </c>
      <c r="E348" s="2">
        <v>3</v>
      </c>
      <c r="F348" s="2"/>
      <c r="G348" s="2"/>
      <c r="H348" s="2"/>
    </row>
    <row r="349" spans="1:8" x14ac:dyDescent="0.35">
      <c r="A349" s="2" t="s">
        <v>2446</v>
      </c>
      <c r="B349" s="3">
        <v>44576</v>
      </c>
      <c r="C349" s="2" t="s">
        <v>2447</v>
      </c>
      <c r="D349" t="s">
        <v>6162</v>
      </c>
      <c r="E349" s="2">
        <v>3</v>
      </c>
      <c r="F349" s="2"/>
      <c r="G349" s="2"/>
      <c r="H349" s="2"/>
    </row>
    <row r="350" spans="1:8" x14ac:dyDescent="0.35">
      <c r="A350" s="2" t="s">
        <v>2452</v>
      </c>
      <c r="B350" s="3">
        <v>43803</v>
      </c>
      <c r="C350" s="2" t="s">
        <v>2453</v>
      </c>
      <c r="D350" t="s">
        <v>6148</v>
      </c>
      <c r="E350" s="2">
        <v>6</v>
      </c>
      <c r="F350" s="2"/>
      <c r="G350" s="2"/>
      <c r="H350" s="2"/>
    </row>
    <row r="351" spans="1:8" x14ac:dyDescent="0.35">
      <c r="A351" s="2" t="s">
        <v>2458</v>
      </c>
      <c r="B351" s="3">
        <v>44743</v>
      </c>
      <c r="C351" s="2" t="s">
        <v>2459</v>
      </c>
      <c r="D351" t="s">
        <v>6178</v>
      </c>
      <c r="E351" s="2">
        <v>4</v>
      </c>
      <c r="F351" s="2"/>
      <c r="G351" s="2"/>
      <c r="H351" s="2"/>
    </row>
    <row r="352" spans="1:8" x14ac:dyDescent="0.35">
      <c r="A352" s="2" t="s">
        <v>2464</v>
      </c>
      <c r="B352" s="3">
        <v>43592</v>
      </c>
      <c r="C352" s="2" t="s">
        <v>2465</v>
      </c>
      <c r="D352" t="s">
        <v>6158</v>
      </c>
      <c r="E352" s="2">
        <v>4</v>
      </c>
      <c r="F352" s="2"/>
      <c r="G352" s="2"/>
      <c r="H352" s="2"/>
    </row>
    <row r="353" spans="1:8" x14ac:dyDescent="0.35">
      <c r="A353" s="2" t="s">
        <v>2470</v>
      </c>
      <c r="B353" s="3">
        <v>44066</v>
      </c>
      <c r="C353" s="2" t="s">
        <v>2471</v>
      </c>
      <c r="D353" t="s">
        <v>6155</v>
      </c>
      <c r="E353" s="2">
        <v>2</v>
      </c>
      <c r="F353" s="2"/>
      <c r="G353" s="2"/>
      <c r="H353" s="2"/>
    </row>
    <row r="354" spans="1:8" x14ac:dyDescent="0.35">
      <c r="A354" s="2" t="s">
        <v>2476</v>
      </c>
      <c r="B354" s="3">
        <v>43984</v>
      </c>
      <c r="C354" s="2" t="s">
        <v>2331</v>
      </c>
      <c r="D354" t="s">
        <v>6144</v>
      </c>
      <c r="E354" s="2">
        <v>5</v>
      </c>
      <c r="F354" s="2"/>
      <c r="G354" s="2"/>
      <c r="H354" s="2"/>
    </row>
    <row r="355" spans="1:8" x14ac:dyDescent="0.35">
      <c r="A355" s="2" t="s">
        <v>2482</v>
      </c>
      <c r="B355" s="3">
        <v>43860</v>
      </c>
      <c r="C355" s="2" t="s">
        <v>2483</v>
      </c>
      <c r="D355" t="s">
        <v>6157</v>
      </c>
      <c r="E355" s="2">
        <v>4</v>
      </c>
      <c r="F355" s="2"/>
      <c r="G355" s="2"/>
      <c r="H355" s="2"/>
    </row>
    <row r="356" spans="1:8" x14ac:dyDescent="0.35">
      <c r="A356" s="2" t="s">
        <v>2487</v>
      </c>
      <c r="B356" s="3">
        <v>43876</v>
      </c>
      <c r="C356" s="2" t="s">
        <v>2488</v>
      </c>
      <c r="D356" t="s">
        <v>6175</v>
      </c>
      <c r="E356" s="2">
        <v>6</v>
      </c>
      <c r="F356" s="2"/>
      <c r="G356" s="2"/>
      <c r="H356" s="2"/>
    </row>
    <row r="357" spans="1:8" x14ac:dyDescent="0.35">
      <c r="A357" s="2" t="s">
        <v>2492</v>
      </c>
      <c r="B357" s="3">
        <v>44358</v>
      </c>
      <c r="C357" s="2" t="s">
        <v>2493</v>
      </c>
      <c r="D357" t="s">
        <v>6168</v>
      </c>
      <c r="E357" s="2">
        <v>5</v>
      </c>
      <c r="F357" s="2"/>
      <c r="G357" s="2"/>
      <c r="H357" s="2"/>
    </row>
    <row r="358" spans="1:8" x14ac:dyDescent="0.35">
      <c r="A358" s="2" t="s">
        <v>2498</v>
      </c>
      <c r="B358" s="3">
        <v>44631</v>
      </c>
      <c r="C358" s="2" t="s">
        <v>2499</v>
      </c>
      <c r="D358" t="s">
        <v>6143</v>
      </c>
      <c r="E358" s="2">
        <v>4</v>
      </c>
      <c r="F358" s="2"/>
      <c r="G358" s="2"/>
      <c r="H358" s="2"/>
    </row>
    <row r="359" spans="1:8" x14ac:dyDescent="0.35">
      <c r="A359" s="2" t="s">
        <v>2504</v>
      </c>
      <c r="B359" s="3">
        <v>44448</v>
      </c>
      <c r="C359" s="2" t="s">
        <v>2505</v>
      </c>
      <c r="D359" t="s">
        <v>6175</v>
      </c>
      <c r="E359" s="2">
        <v>6</v>
      </c>
      <c r="F359" s="2"/>
      <c r="G359" s="2"/>
      <c r="H359" s="2"/>
    </row>
    <row r="360" spans="1:8" x14ac:dyDescent="0.35">
      <c r="A360" s="2" t="s">
        <v>2509</v>
      </c>
      <c r="B360" s="3">
        <v>43599</v>
      </c>
      <c r="C360" s="2" t="s">
        <v>2510</v>
      </c>
      <c r="D360" t="s">
        <v>6182</v>
      </c>
      <c r="E360" s="2">
        <v>1</v>
      </c>
      <c r="F360" s="2"/>
      <c r="G360" s="2"/>
      <c r="H360" s="2"/>
    </row>
    <row r="361" spans="1:8" x14ac:dyDescent="0.35">
      <c r="A361" s="2" t="s">
        <v>2515</v>
      </c>
      <c r="B361" s="3">
        <v>43563</v>
      </c>
      <c r="C361" s="2" t="s">
        <v>2516</v>
      </c>
      <c r="D361" t="s">
        <v>6178</v>
      </c>
      <c r="E361" s="2">
        <v>6</v>
      </c>
      <c r="F361" s="2"/>
      <c r="G361" s="2"/>
      <c r="H361" s="2"/>
    </row>
    <row r="362" spans="1:8" x14ac:dyDescent="0.35">
      <c r="A362" s="2" t="s">
        <v>2521</v>
      </c>
      <c r="B362" s="3">
        <v>44058</v>
      </c>
      <c r="C362" s="2" t="s">
        <v>2522</v>
      </c>
      <c r="D362" t="s">
        <v>6149</v>
      </c>
      <c r="E362" s="2">
        <v>2</v>
      </c>
      <c r="F362" s="2"/>
      <c r="G362" s="2"/>
      <c r="H362" s="2"/>
    </row>
    <row r="363" spans="1:8" x14ac:dyDescent="0.35">
      <c r="A363" s="2" t="s">
        <v>2521</v>
      </c>
      <c r="B363" s="3">
        <v>44058</v>
      </c>
      <c r="C363" s="2" t="s">
        <v>2522</v>
      </c>
      <c r="D363" t="s">
        <v>6146</v>
      </c>
      <c r="E363" s="2">
        <v>1</v>
      </c>
      <c r="F363" s="2"/>
      <c r="G363" s="2"/>
      <c r="H363" s="2"/>
    </row>
    <row r="364" spans="1:8" x14ac:dyDescent="0.35">
      <c r="A364" s="2" t="s">
        <v>2532</v>
      </c>
      <c r="B364" s="3">
        <v>44686</v>
      </c>
      <c r="C364" s="2" t="s">
        <v>2533</v>
      </c>
      <c r="D364" t="s">
        <v>6171</v>
      </c>
      <c r="E364" s="2">
        <v>5</v>
      </c>
      <c r="F364" s="2"/>
      <c r="G364" s="2"/>
      <c r="H364" s="2"/>
    </row>
    <row r="365" spans="1:8" x14ac:dyDescent="0.35">
      <c r="A365" s="2" t="s">
        <v>2538</v>
      </c>
      <c r="B365" s="3">
        <v>44282</v>
      </c>
      <c r="C365" s="2" t="s">
        <v>2539</v>
      </c>
      <c r="D365" t="s">
        <v>6162</v>
      </c>
      <c r="E365" s="2">
        <v>6</v>
      </c>
      <c r="F365" s="2"/>
      <c r="G365" s="2"/>
      <c r="H365" s="2"/>
    </row>
    <row r="366" spans="1:8" x14ac:dyDescent="0.35">
      <c r="A366" s="2" t="s">
        <v>2543</v>
      </c>
      <c r="B366" s="3">
        <v>43582</v>
      </c>
      <c r="C366" s="2" t="s">
        <v>2544</v>
      </c>
      <c r="D366" t="s">
        <v>6183</v>
      </c>
      <c r="E366" s="2">
        <v>6</v>
      </c>
      <c r="F366" s="2"/>
      <c r="G366" s="2"/>
      <c r="H366" s="2"/>
    </row>
    <row r="367" spans="1:8" x14ac:dyDescent="0.35">
      <c r="A367" s="2" t="s">
        <v>2549</v>
      </c>
      <c r="B367" s="3">
        <v>44464</v>
      </c>
      <c r="C367" s="2" t="s">
        <v>2550</v>
      </c>
      <c r="D367" t="s">
        <v>6169</v>
      </c>
      <c r="E367" s="2">
        <v>1</v>
      </c>
      <c r="F367" s="2"/>
      <c r="G367" s="2"/>
      <c r="H367" s="2"/>
    </row>
    <row r="368" spans="1:8" x14ac:dyDescent="0.35">
      <c r="A368" s="2" t="s">
        <v>2554</v>
      </c>
      <c r="B368" s="3">
        <v>43874</v>
      </c>
      <c r="C368" s="2" t="s">
        <v>2555</v>
      </c>
      <c r="D368" t="s">
        <v>6144</v>
      </c>
      <c r="E368" s="2">
        <v>6</v>
      </c>
      <c r="F368" s="2"/>
      <c r="G368" s="2"/>
      <c r="H368" s="2"/>
    </row>
    <row r="369" spans="1:8" x14ac:dyDescent="0.35">
      <c r="A369" s="2" t="s">
        <v>2559</v>
      </c>
      <c r="B369" s="3">
        <v>44393</v>
      </c>
      <c r="C369" s="2" t="s">
        <v>2560</v>
      </c>
      <c r="D369" t="s">
        <v>6159</v>
      </c>
      <c r="E369" s="2">
        <v>2</v>
      </c>
      <c r="F369" s="2"/>
      <c r="G369" s="2"/>
      <c r="H369" s="2"/>
    </row>
    <row r="370" spans="1:8" x14ac:dyDescent="0.35">
      <c r="A370" s="2" t="s">
        <v>2563</v>
      </c>
      <c r="B370" s="3">
        <v>44692</v>
      </c>
      <c r="C370" s="2" t="s">
        <v>2564</v>
      </c>
      <c r="D370" t="s">
        <v>6166</v>
      </c>
      <c r="E370" s="2">
        <v>2</v>
      </c>
      <c r="F370" s="2"/>
      <c r="G370" s="2"/>
      <c r="H370" s="2"/>
    </row>
    <row r="371" spans="1:8" x14ac:dyDescent="0.35">
      <c r="A371" s="2" t="s">
        <v>2569</v>
      </c>
      <c r="B371" s="3">
        <v>43500</v>
      </c>
      <c r="C371" s="2" t="s">
        <v>2570</v>
      </c>
      <c r="D371" t="s">
        <v>6176</v>
      </c>
      <c r="E371" s="2">
        <v>1</v>
      </c>
      <c r="F371" s="2"/>
      <c r="G371" s="2"/>
      <c r="H371" s="2"/>
    </row>
    <row r="372" spans="1:8" x14ac:dyDescent="0.35">
      <c r="A372" s="2" t="s">
        <v>2573</v>
      </c>
      <c r="B372" s="3">
        <v>43501</v>
      </c>
      <c r="C372" s="2" t="s">
        <v>2574</v>
      </c>
      <c r="D372" t="s">
        <v>6183</v>
      </c>
      <c r="E372" s="2">
        <v>2</v>
      </c>
      <c r="F372" s="2"/>
      <c r="G372" s="2"/>
      <c r="H372" s="2"/>
    </row>
    <row r="373" spans="1:8" x14ac:dyDescent="0.35">
      <c r="A373" s="2" t="s">
        <v>2579</v>
      </c>
      <c r="B373" s="3">
        <v>44705</v>
      </c>
      <c r="C373" s="2" t="s">
        <v>2580</v>
      </c>
      <c r="D373" t="s">
        <v>6180</v>
      </c>
      <c r="E373" s="2">
        <v>6</v>
      </c>
      <c r="F373" s="2"/>
      <c r="G373" s="2"/>
      <c r="H373" s="2"/>
    </row>
    <row r="374" spans="1:8" x14ac:dyDescent="0.35">
      <c r="A374" s="2" t="s">
        <v>2585</v>
      </c>
      <c r="B374" s="3">
        <v>44108</v>
      </c>
      <c r="C374" s="2" t="s">
        <v>2586</v>
      </c>
      <c r="D374" t="s">
        <v>6173</v>
      </c>
      <c r="E374" s="2">
        <v>6</v>
      </c>
      <c r="F374" s="2"/>
      <c r="G374" s="2"/>
      <c r="H374" s="2"/>
    </row>
    <row r="375" spans="1:8" x14ac:dyDescent="0.35">
      <c r="A375" s="2" t="s">
        <v>2591</v>
      </c>
      <c r="B375" s="3">
        <v>44742</v>
      </c>
      <c r="C375" s="2" t="s">
        <v>2592</v>
      </c>
      <c r="D375" t="s">
        <v>6158</v>
      </c>
      <c r="E375" s="2">
        <v>3</v>
      </c>
      <c r="F375" s="2"/>
      <c r="G375" s="2"/>
      <c r="H375" s="2"/>
    </row>
    <row r="376" spans="1:8" x14ac:dyDescent="0.35">
      <c r="A376" s="2" t="s">
        <v>2597</v>
      </c>
      <c r="B376" s="3">
        <v>44125</v>
      </c>
      <c r="C376" s="2" t="s">
        <v>2598</v>
      </c>
      <c r="D376" t="s">
        <v>6161</v>
      </c>
      <c r="E376" s="2">
        <v>4</v>
      </c>
      <c r="F376" s="2"/>
      <c r="G376" s="2"/>
      <c r="H376" s="2"/>
    </row>
    <row r="377" spans="1:8" x14ac:dyDescent="0.35">
      <c r="A377" s="2" t="s">
        <v>2603</v>
      </c>
      <c r="B377" s="3">
        <v>44120</v>
      </c>
      <c r="C377" s="2" t="s">
        <v>2604</v>
      </c>
      <c r="D377" t="s">
        <v>6152</v>
      </c>
      <c r="E377" s="2">
        <v>2</v>
      </c>
      <c r="F377" s="2"/>
      <c r="G377" s="2"/>
      <c r="H377" s="2"/>
    </row>
    <row r="378" spans="1:8" x14ac:dyDescent="0.35">
      <c r="A378" s="2" t="s">
        <v>2609</v>
      </c>
      <c r="B378" s="3">
        <v>44097</v>
      </c>
      <c r="C378" s="2" t="s">
        <v>2610</v>
      </c>
      <c r="D378" t="s">
        <v>6146</v>
      </c>
      <c r="E378" s="2">
        <v>1</v>
      </c>
      <c r="F378" s="2"/>
      <c r="G378" s="2"/>
      <c r="H378" s="2"/>
    </row>
    <row r="379" spans="1:8" x14ac:dyDescent="0.35">
      <c r="A379" s="2" t="s">
        <v>2615</v>
      </c>
      <c r="B379" s="3">
        <v>43532</v>
      </c>
      <c r="C379" s="2" t="s">
        <v>2616</v>
      </c>
      <c r="D379" t="s">
        <v>6163</v>
      </c>
      <c r="E379" s="2">
        <v>3</v>
      </c>
      <c r="F379" s="2"/>
      <c r="G379" s="2"/>
      <c r="H379" s="2"/>
    </row>
    <row r="380" spans="1:8" x14ac:dyDescent="0.35">
      <c r="A380" s="2" t="s">
        <v>2621</v>
      </c>
      <c r="B380" s="3">
        <v>44377</v>
      </c>
      <c r="C380" s="2" t="s">
        <v>2622</v>
      </c>
      <c r="D380" t="s">
        <v>6180</v>
      </c>
      <c r="E380" s="2">
        <v>3</v>
      </c>
      <c r="F380" s="2"/>
      <c r="G380" s="2"/>
      <c r="H380" s="2"/>
    </row>
    <row r="381" spans="1:8" x14ac:dyDescent="0.35">
      <c r="A381" s="2" t="s">
        <v>2627</v>
      </c>
      <c r="B381" s="3">
        <v>43690</v>
      </c>
      <c r="C381" s="2" t="s">
        <v>2628</v>
      </c>
      <c r="D381" t="s">
        <v>6173</v>
      </c>
      <c r="E381" s="2">
        <v>6</v>
      </c>
      <c r="F381" s="2"/>
      <c r="G381" s="2"/>
      <c r="H381" s="2"/>
    </row>
    <row r="382" spans="1:8" x14ac:dyDescent="0.35">
      <c r="A382" s="2" t="s">
        <v>2632</v>
      </c>
      <c r="B382" s="3">
        <v>44249</v>
      </c>
      <c r="C382" s="2" t="s">
        <v>2331</v>
      </c>
      <c r="D382" t="s">
        <v>6169</v>
      </c>
      <c r="E382" s="2">
        <v>3</v>
      </c>
      <c r="F382" s="2"/>
      <c r="G382" s="2"/>
      <c r="H382" s="2"/>
    </row>
    <row r="383" spans="1:8" x14ac:dyDescent="0.35">
      <c r="A383" s="2" t="s">
        <v>2638</v>
      </c>
      <c r="B383" s="3">
        <v>44646</v>
      </c>
      <c r="C383" s="2" t="s">
        <v>2639</v>
      </c>
      <c r="D383" t="s">
        <v>6154</v>
      </c>
      <c r="E383" s="2">
        <v>5</v>
      </c>
      <c r="F383" s="2"/>
      <c r="G383" s="2"/>
      <c r="H383" s="2"/>
    </row>
    <row r="384" spans="1:8" x14ac:dyDescent="0.35">
      <c r="A384" s="2" t="s">
        <v>2644</v>
      </c>
      <c r="B384" s="3">
        <v>43840</v>
      </c>
      <c r="C384" s="2" t="s">
        <v>2645</v>
      </c>
      <c r="D384" t="s">
        <v>6144</v>
      </c>
      <c r="E384" s="2">
        <v>3</v>
      </c>
      <c r="F384" s="2"/>
      <c r="G384" s="2"/>
      <c r="H384" s="2"/>
    </row>
    <row r="385" spans="1:8" x14ac:dyDescent="0.35">
      <c r="A385" s="2" t="s">
        <v>2650</v>
      </c>
      <c r="B385" s="3">
        <v>43586</v>
      </c>
      <c r="C385" s="2" t="s">
        <v>2651</v>
      </c>
      <c r="D385" t="s">
        <v>6176</v>
      </c>
      <c r="E385" s="2">
        <v>6</v>
      </c>
      <c r="F385" s="2"/>
      <c r="G385" s="2"/>
      <c r="H385" s="2"/>
    </row>
    <row r="386" spans="1:8" x14ac:dyDescent="0.35">
      <c r="A386" s="2" t="s">
        <v>2655</v>
      </c>
      <c r="B386" s="3">
        <v>43870</v>
      </c>
      <c r="C386" s="2" t="s">
        <v>2656</v>
      </c>
      <c r="D386" t="s">
        <v>6182</v>
      </c>
      <c r="E386" s="2">
        <v>4</v>
      </c>
      <c r="F386" s="2"/>
      <c r="G386" s="2"/>
      <c r="H386" s="2"/>
    </row>
    <row r="387" spans="1:8" x14ac:dyDescent="0.35">
      <c r="A387" s="2" t="s">
        <v>2660</v>
      </c>
      <c r="B387" s="3">
        <v>44559</v>
      </c>
      <c r="C387" s="2" t="s">
        <v>2661</v>
      </c>
      <c r="D387" t="s">
        <v>6160</v>
      </c>
      <c r="E387" s="2">
        <v>5</v>
      </c>
      <c r="F387" s="2"/>
      <c r="G387" s="2"/>
      <c r="H387" s="2"/>
    </row>
    <row r="388" spans="1:8" x14ac:dyDescent="0.35">
      <c r="A388" s="2" t="s">
        <v>2666</v>
      </c>
      <c r="B388" s="3">
        <v>44083</v>
      </c>
      <c r="C388" s="2" t="s">
        <v>2667</v>
      </c>
      <c r="D388" t="s">
        <v>6154</v>
      </c>
      <c r="E388" s="2">
        <v>6</v>
      </c>
      <c r="F388" s="2"/>
      <c r="G388" s="2"/>
      <c r="H388" s="2"/>
    </row>
    <row r="389" spans="1:8" x14ac:dyDescent="0.35">
      <c r="A389" s="2" t="s">
        <v>2671</v>
      </c>
      <c r="B389" s="3">
        <v>44455</v>
      </c>
      <c r="C389" s="2" t="s">
        <v>2672</v>
      </c>
      <c r="D389" t="s">
        <v>6171</v>
      </c>
      <c r="E389" s="2">
        <v>5</v>
      </c>
      <c r="F389" s="2"/>
      <c r="G389" s="2"/>
      <c r="H389" s="2"/>
    </row>
    <row r="390" spans="1:8" x14ac:dyDescent="0.35">
      <c r="A390" s="2" t="s">
        <v>2677</v>
      </c>
      <c r="B390" s="3">
        <v>44130</v>
      </c>
      <c r="C390" s="2" t="s">
        <v>2678</v>
      </c>
      <c r="D390" t="s">
        <v>6150</v>
      </c>
      <c r="E390" s="2">
        <v>3</v>
      </c>
      <c r="F390" s="2"/>
      <c r="G390" s="2"/>
      <c r="H390" s="2"/>
    </row>
    <row r="391" spans="1:8" x14ac:dyDescent="0.35">
      <c r="A391" s="2" t="s">
        <v>2683</v>
      </c>
      <c r="B391" s="3">
        <v>43536</v>
      </c>
      <c r="C391" s="2" t="s">
        <v>2684</v>
      </c>
      <c r="D391" t="s">
        <v>6169</v>
      </c>
      <c r="E391" s="2">
        <v>3</v>
      </c>
      <c r="F391" s="2"/>
      <c r="G391" s="2"/>
      <c r="H391" s="2"/>
    </row>
    <row r="392" spans="1:8" x14ac:dyDescent="0.35">
      <c r="A392" s="2" t="s">
        <v>2689</v>
      </c>
      <c r="B392" s="3">
        <v>44245</v>
      </c>
      <c r="C392" s="2" t="s">
        <v>2690</v>
      </c>
      <c r="D392" t="s">
        <v>6144</v>
      </c>
      <c r="E392" s="2">
        <v>2</v>
      </c>
      <c r="F392" s="2"/>
      <c r="G392" s="2"/>
      <c r="H392" s="2"/>
    </row>
    <row r="393" spans="1:8" x14ac:dyDescent="0.35">
      <c r="A393" s="2" t="s">
        <v>2694</v>
      </c>
      <c r="B393" s="3">
        <v>44133</v>
      </c>
      <c r="C393" s="2" t="s">
        <v>2695</v>
      </c>
      <c r="D393" t="s">
        <v>6157</v>
      </c>
      <c r="E393" s="2">
        <v>2</v>
      </c>
      <c r="F393" s="2"/>
      <c r="G393" s="2"/>
      <c r="H393" s="2"/>
    </row>
    <row r="394" spans="1:8" x14ac:dyDescent="0.35">
      <c r="A394" s="2" t="s">
        <v>2699</v>
      </c>
      <c r="B394" s="3">
        <v>44445</v>
      </c>
      <c r="C394" s="2" t="s">
        <v>2700</v>
      </c>
      <c r="D394" t="s">
        <v>6171</v>
      </c>
      <c r="E394" s="2">
        <v>6</v>
      </c>
      <c r="F394" s="2"/>
      <c r="G394" s="2"/>
      <c r="H394" s="2"/>
    </row>
    <row r="395" spans="1:8" x14ac:dyDescent="0.35">
      <c r="A395" s="2" t="s">
        <v>2699</v>
      </c>
      <c r="B395" s="3">
        <v>44445</v>
      </c>
      <c r="C395" s="2" t="s">
        <v>2700</v>
      </c>
      <c r="D395" t="s">
        <v>6167</v>
      </c>
      <c r="E395" s="2">
        <v>1</v>
      </c>
      <c r="F395" s="2"/>
      <c r="G395" s="2"/>
      <c r="H395" s="2"/>
    </row>
    <row r="396" spans="1:8" x14ac:dyDescent="0.35">
      <c r="A396" s="2" t="s">
        <v>2710</v>
      </c>
      <c r="B396" s="3">
        <v>44083</v>
      </c>
      <c r="C396" s="2" t="s">
        <v>2711</v>
      </c>
      <c r="D396" t="s">
        <v>6142</v>
      </c>
      <c r="E396" s="2">
        <v>4</v>
      </c>
      <c r="F396" s="2"/>
      <c r="G396" s="2"/>
      <c r="H396" s="2"/>
    </row>
    <row r="397" spans="1:8" x14ac:dyDescent="0.35">
      <c r="A397" s="2" t="s">
        <v>2716</v>
      </c>
      <c r="B397" s="3">
        <v>44465</v>
      </c>
      <c r="C397" s="2" t="s">
        <v>2717</v>
      </c>
      <c r="D397" t="s">
        <v>6169</v>
      </c>
      <c r="E397" s="2">
        <v>6</v>
      </c>
      <c r="F397" s="2"/>
      <c r="G397" s="2"/>
      <c r="H397" s="2"/>
    </row>
    <row r="398" spans="1:8" x14ac:dyDescent="0.35">
      <c r="A398" s="2" t="s">
        <v>2721</v>
      </c>
      <c r="B398" s="3">
        <v>44140</v>
      </c>
      <c r="C398" s="2" t="s">
        <v>2722</v>
      </c>
      <c r="D398" t="s">
        <v>6180</v>
      </c>
      <c r="E398" s="2">
        <v>5</v>
      </c>
      <c r="F398" s="2"/>
      <c r="G398" s="2"/>
      <c r="H398" s="2"/>
    </row>
    <row r="399" spans="1:8" x14ac:dyDescent="0.35">
      <c r="A399" s="2" t="s">
        <v>2727</v>
      </c>
      <c r="B399" s="3">
        <v>43720</v>
      </c>
      <c r="C399" s="2" t="s">
        <v>2728</v>
      </c>
      <c r="D399" t="s">
        <v>6169</v>
      </c>
      <c r="E399" s="2">
        <v>4</v>
      </c>
      <c r="F399" s="2"/>
      <c r="G399" s="2"/>
      <c r="H399" s="2"/>
    </row>
    <row r="400" spans="1:8" x14ac:dyDescent="0.35">
      <c r="A400" s="2" t="s">
        <v>2733</v>
      </c>
      <c r="B400" s="3">
        <v>43677</v>
      </c>
      <c r="C400" s="2" t="s">
        <v>2734</v>
      </c>
      <c r="D400" t="s">
        <v>6154</v>
      </c>
      <c r="E400" s="2">
        <v>6</v>
      </c>
      <c r="F400" s="2"/>
      <c r="G400" s="2"/>
      <c r="H400" s="2"/>
    </row>
    <row r="401" spans="1:8" x14ac:dyDescent="0.35">
      <c r="A401" s="2" t="s">
        <v>2739</v>
      </c>
      <c r="B401" s="3">
        <v>43539</v>
      </c>
      <c r="C401" s="2" t="s">
        <v>2740</v>
      </c>
      <c r="D401" t="s">
        <v>6185</v>
      </c>
      <c r="E401" s="2">
        <v>6</v>
      </c>
      <c r="F401" s="2"/>
      <c r="G401" s="2"/>
      <c r="H401" s="2"/>
    </row>
    <row r="402" spans="1:8" x14ac:dyDescent="0.35">
      <c r="A402" s="2" t="s">
        <v>2745</v>
      </c>
      <c r="B402" s="3">
        <v>44332</v>
      </c>
      <c r="C402" s="2" t="s">
        <v>2746</v>
      </c>
      <c r="D402" t="s">
        <v>6170</v>
      </c>
      <c r="E402" s="2">
        <v>4</v>
      </c>
      <c r="F402" s="2"/>
      <c r="G402" s="2"/>
      <c r="H402" s="2"/>
    </row>
    <row r="403" spans="1:8" x14ac:dyDescent="0.35">
      <c r="A403" s="2" t="s">
        <v>2751</v>
      </c>
      <c r="B403" s="3">
        <v>43591</v>
      </c>
      <c r="C403" s="2" t="s">
        <v>2752</v>
      </c>
      <c r="D403" t="s">
        <v>6159</v>
      </c>
      <c r="E403" s="2">
        <v>2</v>
      </c>
      <c r="F403" s="2"/>
      <c r="G403" s="2"/>
      <c r="H403" s="2"/>
    </row>
    <row r="404" spans="1:8" x14ac:dyDescent="0.35">
      <c r="A404" s="2" t="s">
        <v>2757</v>
      </c>
      <c r="B404" s="3">
        <v>43502</v>
      </c>
      <c r="C404" s="2" t="s">
        <v>2758</v>
      </c>
      <c r="D404" t="s">
        <v>6177</v>
      </c>
      <c r="E404" s="2">
        <v>3</v>
      </c>
      <c r="F404" s="2"/>
      <c r="G404" s="2"/>
      <c r="H404" s="2"/>
    </row>
    <row r="405" spans="1:8" x14ac:dyDescent="0.35">
      <c r="A405" s="2" t="s">
        <v>2763</v>
      </c>
      <c r="B405" s="3">
        <v>44295</v>
      </c>
      <c r="C405" s="2" t="s">
        <v>2764</v>
      </c>
      <c r="D405" t="s">
        <v>6145</v>
      </c>
      <c r="E405" s="2">
        <v>2</v>
      </c>
      <c r="F405" s="2"/>
      <c r="G405" s="2"/>
      <c r="H405" s="2"/>
    </row>
    <row r="406" spans="1:8" x14ac:dyDescent="0.35">
      <c r="A406" s="2" t="s">
        <v>2769</v>
      </c>
      <c r="B406" s="3">
        <v>43971</v>
      </c>
      <c r="C406" s="2" t="s">
        <v>2770</v>
      </c>
      <c r="D406" t="s">
        <v>6147</v>
      </c>
      <c r="E406" s="2">
        <v>4</v>
      </c>
      <c r="F406" s="2"/>
      <c r="G406" s="2"/>
      <c r="H406" s="2"/>
    </row>
    <row r="407" spans="1:8" x14ac:dyDescent="0.35">
      <c r="A407" s="2" t="s">
        <v>2775</v>
      </c>
      <c r="B407" s="3">
        <v>44167</v>
      </c>
      <c r="C407" s="2" t="s">
        <v>2776</v>
      </c>
      <c r="D407" t="s">
        <v>6139</v>
      </c>
      <c r="E407" s="2">
        <v>3</v>
      </c>
      <c r="F407" s="2"/>
      <c r="G407" s="2"/>
      <c r="H407" s="2"/>
    </row>
    <row r="408" spans="1:8" x14ac:dyDescent="0.35">
      <c r="A408" s="2" t="s">
        <v>2781</v>
      </c>
      <c r="B408" s="3">
        <v>44416</v>
      </c>
      <c r="C408" s="2" t="s">
        <v>2782</v>
      </c>
      <c r="D408" t="s">
        <v>6141</v>
      </c>
      <c r="E408" s="2">
        <v>5</v>
      </c>
      <c r="F408" s="2"/>
      <c r="G408" s="2"/>
      <c r="H408" s="2"/>
    </row>
    <row r="409" spans="1:8" x14ac:dyDescent="0.35">
      <c r="A409" s="2" t="s">
        <v>2787</v>
      </c>
      <c r="B409" s="3">
        <v>44595</v>
      </c>
      <c r="C409" s="2" t="s">
        <v>2788</v>
      </c>
      <c r="D409" t="s">
        <v>6139</v>
      </c>
      <c r="E409" s="2">
        <v>6</v>
      </c>
      <c r="F409" s="2"/>
      <c r="G409" s="2"/>
      <c r="H409" s="2"/>
    </row>
    <row r="410" spans="1:8" x14ac:dyDescent="0.35">
      <c r="A410" s="2" t="s">
        <v>2792</v>
      </c>
      <c r="B410" s="3">
        <v>44659</v>
      </c>
      <c r="C410" s="2" t="s">
        <v>2793</v>
      </c>
      <c r="D410" t="s">
        <v>6175</v>
      </c>
      <c r="E410" s="2">
        <v>2</v>
      </c>
      <c r="F410" s="2"/>
      <c r="G410" s="2"/>
      <c r="H410" s="2"/>
    </row>
    <row r="411" spans="1:8" x14ac:dyDescent="0.35">
      <c r="A411" s="2" t="s">
        <v>2798</v>
      </c>
      <c r="B411" s="3">
        <v>44203</v>
      </c>
      <c r="C411" s="2" t="s">
        <v>2799</v>
      </c>
      <c r="D411" t="s">
        <v>6170</v>
      </c>
      <c r="E411" s="2">
        <v>3</v>
      </c>
      <c r="F411" s="2"/>
      <c r="G411" s="2"/>
      <c r="H411" s="2"/>
    </row>
    <row r="412" spans="1:8" x14ac:dyDescent="0.35">
      <c r="A412" s="2" t="s">
        <v>2803</v>
      </c>
      <c r="B412" s="3">
        <v>44441</v>
      </c>
      <c r="C412" s="2" t="s">
        <v>2804</v>
      </c>
      <c r="D412" t="s">
        <v>6167</v>
      </c>
      <c r="E412" s="2">
        <v>4</v>
      </c>
      <c r="F412" s="2"/>
      <c r="G412" s="2"/>
      <c r="H412" s="2"/>
    </row>
    <row r="413" spans="1:8" x14ac:dyDescent="0.35">
      <c r="A413" s="2" t="s">
        <v>2808</v>
      </c>
      <c r="B413" s="3">
        <v>44504</v>
      </c>
      <c r="C413" s="2" t="s">
        <v>2809</v>
      </c>
      <c r="D413" t="s">
        <v>6162</v>
      </c>
      <c r="E413" s="2">
        <v>6</v>
      </c>
      <c r="F413" s="2"/>
      <c r="G413" s="2"/>
      <c r="H413" s="2"/>
    </row>
    <row r="414" spans="1:8" x14ac:dyDescent="0.35">
      <c r="A414" s="2" t="s">
        <v>2813</v>
      </c>
      <c r="B414" s="3">
        <v>44410</v>
      </c>
      <c r="C414" s="2" t="s">
        <v>2814</v>
      </c>
      <c r="D414" t="s">
        <v>6155</v>
      </c>
      <c r="E414" s="2">
        <v>5</v>
      </c>
      <c r="F414" s="2"/>
      <c r="G414" s="2"/>
      <c r="H414" s="2"/>
    </row>
    <row r="415" spans="1:8" x14ac:dyDescent="0.35">
      <c r="A415" s="2" t="s">
        <v>2818</v>
      </c>
      <c r="B415" s="3">
        <v>43857</v>
      </c>
      <c r="C415" s="2" t="s">
        <v>2819</v>
      </c>
      <c r="D415" t="s">
        <v>6164</v>
      </c>
      <c r="E415" s="2">
        <v>1</v>
      </c>
      <c r="F415" s="2"/>
      <c r="G415" s="2"/>
      <c r="H415" s="2"/>
    </row>
    <row r="416" spans="1:8" x14ac:dyDescent="0.35">
      <c r="A416" s="2" t="s">
        <v>2824</v>
      </c>
      <c r="B416" s="3">
        <v>43802</v>
      </c>
      <c r="C416" s="2" t="s">
        <v>2825</v>
      </c>
      <c r="D416" t="s">
        <v>6178</v>
      </c>
      <c r="E416" s="2">
        <v>3</v>
      </c>
      <c r="F416" s="2"/>
      <c r="G416" s="2"/>
      <c r="H416" s="2"/>
    </row>
    <row r="417" spans="1:8" x14ac:dyDescent="0.35">
      <c r="A417" s="2" t="s">
        <v>2829</v>
      </c>
      <c r="B417" s="3">
        <v>43683</v>
      </c>
      <c r="C417" s="2" t="s">
        <v>2830</v>
      </c>
      <c r="D417" t="s">
        <v>6174</v>
      </c>
      <c r="E417" s="2">
        <v>3</v>
      </c>
      <c r="F417" s="2"/>
      <c r="G417" s="2"/>
      <c r="H417" s="2"/>
    </row>
    <row r="418" spans="1:8" x14ac:dyDescent="0.35">
      <c r="A418" s="2" t="s">
        <v>2834</v>
      </c>
      <c r="B418" s="3">
        <v>43901</v>
      </c>
      <c r="C418" s="2" t="s">
        <v>2835</v>
      </c>
      <c r="D418" t="s">
        <v>6180</v>
      </c>
      <c r="E418" s="2">
        <v>3</v>
      </c>
      <c r="F418" s="2"/>
      <c r="G418" s="2"/>
      <c r="H418" s="2"/>
    </row>
    <row r="419" spans="1:8" x14ac:dyDescent="0.35">
      <c r="A419" s="2" t="s">
        <v>2839</v>
      </c>
      <c r="B419" s="3">
        <v>44457</v>
      </c>
      <c r="C419" s="2" t="s">
        <v>2840</v>
      </c>
      <c r="D419" t="s">
        <v>6182</v>
      </c>
      <c r="E419" s="2">
        <v>1</v>
      </c>
      <c r="F419" s="2"/>
      <c r="G419" s="2"/>
      <c r="H419" s="2"/>
    </row>
    <row r="420" spans="1:8" x14ac:dyDescent="0.35">
      <c r="A420" s="2" t="s">
        <v>2844</v>
      </c>
      <c r="B420" s="3">
        <v>44142</v>
      </c>
      <c r="C420" s="2" t="s">
        <v>2845</v>
      </c>
      <c r="D420" t="s">
        <v>6182</v>
      </c>
      <c r="E420" s="2">
        <v>5</v>
      </c>
      <c r="F420" s="2"/>
      <c r="G420" s="2"/>
      <c r="H420" s="2"/>
    </row>
    <row r="421" spans="1:8" x14ac:dyDescent="0.35">
      <c r="A421" s="2" t="s">
        <v>2849</v>
      </c>
      <c r="B421" s="3">
        <v>44739</v>
      </c>
      <c r="C421" s="2" t="s">
        <v>2850</v>
      </c>
      <c r="D421" t="s">
        <v>6160</v>
      </c>
      <c r="E421" s="2">
        <v>1</v>
      </c>
      <c r="F421" s="2"/>
      <c r="G421" s="2"/>
      <c r="H421" s="2"/>
    </row>
    <row r="422" spans="1:8" x14ac:dyDescent="0.35">
      <c r="A422" s="2" t="s">
        <v>2855</v>
      </c>
      <c r="B422" s="3">
        <v>43866</v>
      </c>
      <c r="C422" s="2" t="s">
        <v>2586</v>
      </c>
      <c r="D422" t="s">
        <v>6169</v>
      </c>
      <c r="E422" s="2">
        <v>4</v>
      </c>
      <c r="F422" s="2"/>
      <c r="G422" s="2"/>
      <c r="H422" s="2"/>
    </row>
    <row r="423" spans="1:8" x14ac:dyDescent="0.35">
      <c r="A423" s="2" t="s">
        <v>2855</v>
      </c>
      <c r="B423" s="3">
        <v>43866</v>
      </c>
      <c r="C423" s="2" t="s">
        <v>2586</v>
      </c>
      <c r="D423" t="s">
        <v>6168</v>
      </c>
      <c r="E423" s="2">
        <v>6</v>
      </c>
      <c r="F423" s="2"/>
      <c r="G423" s="2"/>
      <c r="H423" s="2"/>
    </row>
    <row r="424" spans="1:8" x14ac:dyDescent="0.35">
      <c r="A424" s="2" t="s">
        <v>2866</v>
      </c>
      <c r="B424" s="3">
        <v>43868</v>
      </c>
      <c r="C424" s="2" t="s">
        <v>2867</v>
      </c>
      <c r="D424" t="s">
        <v>6158</v>
      </c>
      <c r="E424" s="2">
        <v>5</v>
      </c>
      <c r="F424" s="2"/>
      <c r="G424" s="2"/>
      <c r="H424" s="2"/>
    </row>
    <row r="425" spans="1:8" x14ac:dyDescent="0.35">
      <c r="A425" s="2" t="s">
        <v>2871</v>
      </c>
      <c r="B425" s="3">
        <v>44183</v>
      </c>
      <c r="C425" s="2" t="s">
        <v>2872</v>
      </c>
      <c r="D425" t="s">
        <v>6146</v>
      </c>
      <c r="E425" s="2">
        <v>3</v>
      </c>
      <c r="F425" s="2"/>
      <c r="G425" s="2"/>
      <c r="H425" s="2"/>
    </row>
    <row r="426" spans="1:8" x14ac:dyDescent="0.35">
      <c r="A426" s="2" t="s">
        <v>2876</v>
      </c>
      <c r="B426" s="3">
        <v>44431</v>
      </c>
      <c r="C426" s="2" t="s">
        <v>2877</v>
      </c>
      <c r="D426" t="s">
        <v>6176</v>
      </c>
      <c r="E426" s="2">
        <v>3</v>
      </c>
      <c r="F426" s="2"/>
      <c r="G426" s="2"/>
      <c r="H426" s="2"/>
    </row>
    <row r="427" spans="1:8" x14ac:dyDescent="0.35">
      <c r="A427" s="2" t="s">
        <v>2882</v>
      </c>
      <c r="B427" s="3">
        <v>44428</v>
      </c>
      <c r="C427" s="2" t="s">
        <v>2883</v>
      </c>
      <c r="D427" t="s">
        <v>6177</v>
      </c>
      <c r="E427" s="2">
        <v>2</v>
      </c>
      <c r="F427" s="2"/>
      <c r="G427" s="2"/>
      <c r="H427" s="2"/>
    </row>
    <row r="428" spans="1:8" x14ac:dyDescent="0.35">
      <c r="A428" s="2" t="s">
        <v>2888</v>
      </c>
      <c r="B428" s="3">
        <v>43556</v>
      </c>
      <c r="C428" s="2" t="s">
        <v>2889</v>
      </c>
      <c r="D428" t="s">
        <v>6178</v>
      </c>
      <c r="E428" s="2">
        <v>4</v>
      </c>
      <c r="F428" s="2"/>
      <c r="G428" s="2"/>
      <c r="H428" s="2"/>
    </row>
    <row r="429" spans="1:8" x14ac:dyDescent="0.35">
      <c r="A429" s="2" t="s">
        <v>2894</v>
      </c>
      <c r="B429" s="3">
        <v>44224</v>
      </c>
      <c r="C429" s="2" t="s">
        <v>2895</v>
      </c>
      <c r="D429" t="s">
        <v>6175</v>
      </c>
      <c r="E429" s="2">
        <v>3</v>
      </c>
      <c r="F429" s="2"/>
      <c r="G429" s="2"/>
      <c r="H429" s="2"/>
    </row>
    <row r="430" spans="1:8" x14ac:dyDescent="0.35">
      <c r="A430" s="2" t="s">
        <v>2899</v>
      </c>
      <c r="B430" s="3">
        <v>43759</v>
      </c>
      <c r="C430" s="2" t="s">
        <v>2900</v>
      </c>
      <c r="D430" t="s">
        <v>6179</v>
      </c>
      <c r="E430" s="2">
        <v>5</v>
      </c>
      <c r="F430" s="2"/>
      <c r="G430" s="2"/>
      <c r="H430" s="2"/>
    </row>
    <row r="431" spans="1:8" x14ac:dyDescent="0.35">
      <c r="A431" s="2" t="s">
        <v>2905</v>
      </c>
      <c r="B431" s="3">
        <v>44367</v>
      </c>
      <c r="C431" s="2" t="s">
        <v>2586</v>
      </c>
      <c r="D431" t="s">
        <v>6140</v>
      </c>
      <c r="E431" s="2">
        <v>6</v>
      </c>
      <c r="F431" s="2"/>
      <c r="G431" s="2"/>
      <c r="H431" s="2"/>
    </row>
    <row r="432" spans="1:8" x14ac:dyDescent="0.35">
      <c r="A432" s="2" t="s">
        <v>2911</v>
      </c>
      <c r="B432" s="3">
        <v>44504</v>
      </c>
      <c r="C432" s="2" t="s">
        <v>2912</v>
      </c>
      <c r="D432" t="s">
        <v>6163</v>
      </c>
      <c r="E432" s="2">
        <v>2</v>
      </c>
      <c r="F432" s="2"/>
      <c r="G432" s="2"/>
      <c r="H432" s="2"/>
    </row>
    <row r="433" spans="1:8" x14ac:dyDescent="0.35">
      <c r="A433" s="2" t="s">
        <v>2917</v>
      </c>
      <c r="B433" s="3">
        <v>44291</v>
      </c>
      <c r="C433" s="2" t="s">
        <v>2918</v>
      </c>
      <c r="D433" t="s">
        <v>6185</v>
      </c>
      <c r="E433" s="2">
        <v>3</v>
      </c>
      <c r="F433" s="2"/>
      <c r="G433" s="2"/>
      <c r="H433" s="2"/>
    </row>
    <row r="434" spans="1:8" x14ac:dyDescent="0.35">
      <c r="A434" s="2" t="s">
        <v>2923</v>
      </c>
      <c r="B434" s="3">
        <v>43808</v>
      </c>
      <c r="C434" s="2" t="s">
        <v>2924</v>
      </c>
      <c r="D434" t="s">
        <v>6155</v>
      </c>
      <c r="E434" s="2">
        <v>2</v>
      </c>
      <c r="F434" s="2"/>
      <c r="G434" s="2"/>
      <c r="H434" s="2"/>
    </row>
    <row r="435" spans="1:8" x14ac:dyDescent="0.35">
      <c r="A435" s="2" t="s">
        <v>2928</v>
      </c>
      <c r="B435" s="3">
        <v>44563</v>
      </c>
      <c r="C435" s="2" t="s">
        <v>2929</v>
      </c>
      <c r="D435" t="s">
        <v>6181</v>
      </c>
      <c r="E435" s="2">
        <v>6</v>
      </c>
      <c r="F435" s="2"/>
      <c r="G435" s="2"/>
      <c r="H435" s="2"/>
    </row>
    <row r="436" spans="1:8" x14ac:dyDescent="0.35">
      <c r="A436" s="2" t="s">
        <v>2934</v>
      </c>
      <c r="B436" s="3">
        <v>43807</v>
      </c>
      <c r="C436" s="2" t="s">
        <v>2935</v>
      </c>
      <c r="D436" t="s">
        <v>6155</v>
      </c>
      <c r="E436" s="2">
        <v>6</v>
      </c>
      <c r="F436" s="2"/>
      <c r="G436" s="2"/>
      <c r="H436" s="2"/>
    </row>
    <row r="437" spans="1:8" x14ac:dyDescent="0.35">
      <c r="A437" s="2" t="s">
        <v>2939</v>
      </c>
      <c r="B437" s="3">
        <v>44528</v>
      </c>
      <c r="C437" s="2" t="s">
        <v>2940</v>
      </c>
      <c r="D437" t="s">
        <v>6139</v>
      </c>
      <c r="E437" s="2">
        <v>1</v>
      </c>
      <c r="F437" s="2"/>
      <c r="G437" s="2"/>
      <c r="H437" s="2"/>
    </row>
    <row r="438" spans="1:8" x14ac:dyDescent="0.35">
      <c r="A438" s="2" t="s">
        <v>2945</v>
      </c>
      <c r="B438" s="3">
        <v>44631</v>
      </c>
      <c r="C438" s="2" t="s">
        <v>2946</v>
      </c>
      <c r="D438" t="s">
        <v>6145</v>
      </c>
      <c r="E438" s="2">
        <v>2</v>
      </c>
      <c r="F438" s="2"/>
      <c r="G438" s="2"/>
      <c r="H438" s="2"/>
    </row>
    <row r="439" spans="1:8" x14ac:dyDescent="0.35">
      <c r="A439" s="2" t="s">
        <v>2951</v>
      </c>
      <c r="B439" s="3">
        <v>44213</v>
      </c>
      <c r="C439" s="2" t="s">
        <v>2952</v>
      </c>
      <c r="D439" t="s">
        <v>6165</v>
      </c>
      <c r="E439" s="2">
        <v>1</v>
      </c>
      <c r="F439" s="2"/>
      <c r="G439" s="2"/>
      <c r="H439" s="2"/>
    </row>
    <row r="440" spans="1:8" x14ac:dyDescent="0.35">
      <c r="A440" s="2" t="s">
        <v>2956</v>
      </c>
      <c r="B440" s="3">
        <v>43483</v>
      </c>
      <c r="C440" s="2" t="s">
        <v>3042</v>
      </c>
      <c r="D440" t="s">
        <v>6169</v>
      </c>
      <c r="E440" s="2">
        <v>2</v>
      </c>
      <c r="F440" s="2"/>
      <c r="G440" s="2"/>
      <c r="H440" s="2"/>
    </row>
    <row r="441" spans="1:8" x14ac:dyDescent="0.35">
      <c r="A441" s="2" t="s">
        <v>2962</v>
      </c>
      <c r="B441" s="3">
        <v>43562</v>
      </c>
      <c r="C441" s="2" t="s">
        <v>2963</v>
      </c>
      <c r="D441" t="s">
        <v>6176</v>
      </c>
      <c r="E441" s="2">
        <v>4</v>
      </c>
      <c r="F441" s="2"/>
      <c r="G441" s="2"/>
      <c r="H441" s="2"/>
    </row>
    <row r="442" spans="1:8" x14ac:dyDescent="0.35">
      <c r="A442" s="2" t="s">
        <v>2968</v>
      </c>
      <c r="B442" s="3">
        <v>44230</v>
      </c>
      <c r="C442" s="2" t="s">
        <v>2969</v>
      </c>
      <c r="D442" t="s">
        <v>6175</v>
      </c>
      <c r="E442" s="2">
        <v>4</v>
      </c>
      <c r="F442" s="2"/>
      <c r="G442" s="2"/>
      <c r="H442" s="2"/>
    </row>
    <row r="443" spans="1:8" x14ac:dyDescent="0.35">
      <c r="A443" s="2" t="s">
        <v>2974</v>
      </c>
      <c r="B443" s="3">
        <v>43573</v>
      </c>
      <c r="C443" s="2" t="s">
        <v>2975</v>
      </c>
      <c r="D443" t="s">
        <v>6183</v>
      </c>
      <c r="E443" s="2">
        <v>3</v>
      </c>
      <c r="F443" s="2"/>
      <c r="G443" s="2"/>
      <c r="H443" s="2"/>
    </row>
    <row r="444" spans="1:8" x14ac:dyDescent="0.35">
      <c r="A444" s="2" t="s">
        <v>2980</v>
      </c>
      <c r="B444" s="3">
        <v>44384</v>
      </c>
      <c r="C444" s="2" t="s">
        <v>2981</v>
      </c>
      <c r="D444" t="s">
        <v>6173</v>
      </c>
      <c r="E444" s="2">
        <v>5</v>
      </c>
      <c r="F444" s="2"/>
      <c r="G444" s="2"/>
      <c r="H444" s="2"/>
    </row>
    <row r="445" spans="1:8" x14ac:dyDescent="0.35">
      <c r="A445" s="2" t="s">
        <v>2986</v>
      </c>
      <c r="B445" s="3">
        <v>44250</v>
      </c>
      <c r="C445" s="2" t="s">
        <v>2987</v>
      </c>
      <c r="D445" t="s">
        <v>6184</v>
      </c>
      <c r="E445" s="2">
        <v>5</v>
      </c>
      <c r="F445" s="2"/>
      <c r="G445" s="2"/>
      <c r="H445" s="2"/>
    </row>
    <row r="446" spans="1:8" x14ac:dyDescent="0.35">
      <c r="A446" s="2" t="s">
        <v>2992</v>
      </c>
      <c r="B446" s="3">
        <v>44418</v>
      </c>
      <c r="C446" s="2" t="s">
        <v>2993</v>
      </c>
      <c r="D446" t="s">
        <v>6156</v>
      </c>
      <c r="E446" s="2">
        <v>6</v>
      </c>
      <c r="F446" s="2"/>
      <c r="G446" s="2"/>
      <c r="H446" s="2"/>
    </row>
    <row r="447" spans="1:8" x14ac:dyDescent="0.35">
      <c r="A447" s="2" t="s">
        <v>2999</v>
      </c>
      <c r="B447" s="3">
        <v>43784</v>
      </c>
      <c r="C447" s="2" t="s">
        <v>3000</v>
      </c>
      <c r="D447" t="s">
        <v>6181</v>
      </c>
      <c r="E447" s="2">
        <v>2</v>
      </c>
      <c r="F447" s="2"/>
      <c r="G447" s="2"/>
      <c r="H447" s="2"/>
    </row>
    <row r="448" spans="1:8" x14ac:dyDescent="0.35">
      <c r="A448" s="2" t="s">
        <v>3004</v>
      </c>
      <c r="B448" s="3">
        <v>43816</v>
      </c>
      <c r="C448" s="2" t="s">
        <v>3005</v>
      </c>
      <c r="D448" t="s">
        <v>6160</v>
      </c>
      <c r="E448" s="2">
        <v>1</v>
      </c>
      <c r="F448" s="2"/>
      <c r="G448" s="2"/>
      <c r="H448" s="2"/>
    </row>
    <row r="449" spans="1:8" x14ac:dyDescent="0.35">
      <c r="A449" s="2" t="s">
        <v>3010</v>
      </c>
      <c r="B449" s="3">
        <v>43908</v>
      </c>
      <c r="C449" s="2" t="s">
        <v>3011</v>
      </c>
      <c r="D449" t="s">
        <v>6146</v>
      </c>
      <c r="E449" s="2">
        <v>3</v>
      </c>
      <c r="F449" s="2"/>
      <c r="G449" s="2"/>
      <c r="H449" s="2"/>
    </row>
    <row r="450" spans="1:8" x14ac:dyDescent="0.35">
      <c r="A450" s="2" t="s">
        <v>3015</v>
      </c>
      <c r="B450" s="3">
        <v>44718</v>
      </c>
      <c r="C450" s="2" t="s">
        <v>3016</v>
      </c>
      <c r="D450" t="s">
        <v>6173</v>
      </c>
      <c r="E450" s="2">
        <v>1</v>
      </c>
      <c r="F450" s="2"/>
      <c r="G450" s="2"/>
      <c r="H450" s="2"/>
    </row>
    <row r="451" spans="1:8" x14ac:dyDescent="0.35">
      <c r="A451" s="2" t="s">
        <v>3021</v>
      </c>
      <c r="B451" s="3">
        <v>44336</v>
      </c>
      <c r="C451" s="2" t="s">
        <v>3022</v>
      </c>
      <c r="D451" t="s">
        <v>6163</v>
      </c>
      <c r="E451" s="2">
        <v>2</v>
      </c>
      <c r="F451" s="2"/>
      <c r="G451" s="2"/>
      <c r="H451" s="2"/>
    </row>
    <row r="452" spans="1:8" x14ac:dyDescent="0.35">
      <c r="A452" s="2" t="s">
        <v>3027</v>
      </c>
      <c r="B452" s="3">
        <v>44207</v>
      </c>
      <c r="C452" s="2" t="s">
        <v>3028</v>
      </c>
      <c r="D452" t="s">
        <v>6145</v>
      </c>
      <c r="E452" s="2">
        <v>5</v>
      </c>
      <c r="F452" s="2"/>
      <c r="G452" s="2"/>
      <c r="H452" s="2"/>
    </row>
    <row r="453" spans="1:8" x14ac:dyDescent="0.35">
      <c r="A453" s="2" t="s">
        <v>3035</v>
      </c>
      <c r="B453" s="3">
        <v>43518</v>
      </c>
      <c r="C453" s="2" t="s">
        <v>3036</v>
      </c>
      <c r="D453" t="s">
        <v>6149</v>
      </c>
      <c r="E453" s="2">
        <v>2</v>
      </c>
      <c r="F453" s="2"/>
      <c r="G453" s="2"/>
      <c r="H453" s="2"/>
    </row>
    <row r="454" spans="1:8" x14ac:dyDescent="0.35">
      <c r="A454" s="2" t="s">
        <v>3041</v>
      </c>
      <c r="B454" s="3">
        <v>44524</v>
      </c>
      <c r="C454" s="2" t="s">
        <v>3042</v>
      </c>
      <c r="D454" t="s">
        <v>6167</v>
      </c>
      <c r="E454" s="2">
        <v>3</v>
      </c>
      <c r="F454" s="2"/>
      <c r="G454" s="2"/>
      <c r="H454" s="2"/>
    </row>
    <row r="455" spans="1:8" x14ac:dyDescent="0.35">
      <c r="A455" s="2" t="s">
        <v>3047</v>
      </c>
      <c r="B455" s="3">
        <v>44579</v>
      </c>
      <c r="C455" s="2" t="s">
        <v>3048</v>
      </c>
      <c r="D455" t="s">
        <v>6161</v>
      </c>
      <c r="E455" s="2">
        <v>4</v>
      </c>
      <c r="F455" s="2"/>
      <c r="G455" s="2"/>
      <c r="H455" s="2"/>
    </row>
    <row r="456" spans="1:8" x14ac:dyDescent="0.35">
      <c r="A456" s="2" t="s">
        <v>3053</v>
      </c>
      <c r="B456" s="3">
        <v>44421</v>
      </c>
      <c r="C456" s="2" t="s">
        <v>3054</v>
      </c>
      <c r="D456" t="s">
        <v>6149</v>
      </c>
      <c r="E456" s="2">
        <v>4</v>
      </c>
      <c r="F456" s="2"/>
      <c r="G456" s="2"/>
      <c r="H456" s="2"/>
    </row>
    <row r="457" spans="1:8" x14ac:dyDescent="0.35">
      <c r="A457" s="2" t="s">
        <v>3058</v>
      </c>
      <c r="B457" s="3">
        <v>43841</v>
      </c>
      <c r="C457" s="2" t="s">
        <v>3059</v>
      </c>
      <c r="D457" t="s">
        <v>6145</v>
      </c>
      <c r="E457" s="2">
        <v>2</v>
      </c>
      <c r="F457" s="2"/>
      <c r="G457" s="2"/>
      <c r="H457" s="2"/>
    </row>
    <row r="458" spans="1:8" x14ac:dyDescent="0.35">
      <c r="A458" s="2" t="s">
        <v>3064</v>
      </c>
      <c r="B458" s="3">
        <v>44017</v>
      </c>
      <c r="C458" s="2" t="s">
        <v>3065</v>
      </c>
      <c r="D458" t="s">
        <v>6149</v>
      </c>
      <c r="E458" s="2">
        <v>2</v>
      </c>
      <c r="F458" s="2"/>
      <c r="G458" s="2"/>
      <c r="H458" s="2"/>
    </row>
    <row r="459" spans="1:8" x14ac:dyDescent="0.35">
      <c r="A459" s="2" t="s">
        <v>3070</v>
      </c>
      <c r="B459" s="3">
        <v>43671</v>
      </c>
      <c r="C459" s="2" t="s">
        <v>3071</v>
      </c>
      <c r="D459" t="s">
        <v>6161</v>
      </c>
      <c r="E459" s="2">
        <v>5</v>
      </c>
      <c r="F459" s="2"/>
      <c r="G459" s="2"/>
      <c r="H459" s="2"/>
    </row>
    <row r="460" spans="1:8" x14ac:dyDescent="0.35">
      <c r="A460" s="2" t="s">
        <v>3076</v>
      </c>
      <c r="B460" s="3">
        <v>44707</v>
      </c>
      <c r="C460" s="2" t="s">
        <v>3077</v>
      </c>
      <c r="D460" t="s">
        <v>6155</v>
      </c>
      <c r="E460" s="2">
        <v>4</v>
      </c>
      <c r="F460" s="2"/>
      <c r="G460" s="2"/>
      <c r="H460" s="2"/>
    </row>
    <row r="461" spans="1:8" x14ac:dyDescent="0.35">
      <c r="A461" s="2" t="s">
        <v>3082</v>
      </c>
      <c r="B461" s="3">
        <v>43840</v>
      </c>
      <c r="C461" s="2" t="s">
        <v>3083</v>
      </c>
      <c r="D461" t="s">
        <v>6145</v>
      </c>
      <c r="E461" s="2">
        <v>5</v>
      </c>
      <c r="F461" s="2"/>
      <c r="G461" s="2"/>
      <c r="H461" s="2"/>
    </row>
    <row r="462" spans="1:8" x14ac:dyDescent="0.35">
      <c r="A462" s="2" t="s">
        <v>3088</v>
      </c>
      <c r="B462" s="3">
        <v>43602</v>
      </c>
      <c r="C462" s="2" t="s">
        <v>3089</v>
      </c>
      <c r="D462" t="s">
        <v>6172</v>
      </c>
      <c r="E462" s="2">
        <v>3</v>
      </c>
      <c r="F462" s="2"/>
      <c r="G462" s="2"/>
      <c r="H462" s="2"/>
    </row>
    <row r="463" spans="1:8" x14ac:dyDescent="0.35">
      <c r="A463" s="2" t="s">
        <v>3094</v>
      </c>
      <c r="B463" s="3">
        <v>44036</v>
      </c>
      <c r="C463" s="2" t="s">
        <v>3095</v>
      </c>
      <c r="D463" t="s">
        <v>6163</v>
      </c>
      <c r="E463" s="2">
        <v>4</v>
      </c>
      <c r="F463" s="2"/>
      <c r="G463" s="2"/>
      <c r="H463" s="2"/>
    </row>
    <row r="464" spans="1:8" x14ac:dyDescent="0.35">
      <c r="A464" s="2" t="s">
        <v>3100</v>
      </c>
      <c r="B464" s="3">
        <v>44124</v>
      </c>
      <c r="C464" s="2" t="s">
        <v>3101</v>
      </c>
      <c r="D464" t="s">
        <v>6147</v>
      </c>
      <c r="E464" s="2">
        <v>5</v>
      </c>
      <c r="F464" s="2"/>
      <c r="G464" s="2"/>
      <c r="H464" s="2"/>
    </row>
    <row r="465" spans="1:8" x14ac:dyDescent="0.35">
      <c r="A465" s="2" t="s">
        <v>3106</v>
      </c>
      <c r="B465" s="3">
        <v>43730</v>
      </c>
      <c r="C465" s="2" t="s">
        <v>3107</v>
      </c>
      <c r="D465" t="s">
        <v>6141</v>
      </c>
      <c r="E465" s="2">
        <v>2</v>
      </c>
      <c r="F465" s="2"/>
      <c r="G465" s="2"/>
      <c r="H465" s="2"/>
    </row>
    <row r="466" spans="1:8" x14ac:dyDescent="0.35">
      <c r="A466" s="2" t="s">
        <v>3112</v>
      </c>
      <c r="B466" s="3">
        <v>43989</v>
      </c>
      <c r="C466" s="2" t="s">
        <v>3113</v>
      </c>
      <c r="D466" t="s">
        <v>6165</v>
      </c>
      <c r="E466" s="2">
        <v>4</v>
      </c>
      <c r="F466" s="2"/>
      <c r="G466" s="2"/>
      <c r="H466" s="2"/>
    </row>
    <row r="467" spans="1:8" x14ac:dyDescent="0.35">
      <c r="A467" s="2" t="s">
        <v>3118</v>
      </c>
      <c r="B467" s="3">
        <v>43814</v>
      </c>
      <c r="C467" s="2" t="s">
        <v>3119</v>
      </c>
      <c r="D467" t="s">
        <v>6149</v>
      </c>
      <c r="E467" s="2">
        <v>1</v>
      </c>
      <c r="F467" s="2"/>
      <c r="G467" s="2"/>
      <c r="H467" s="2"/>
    </row>
    <row r="468" spans="1:8" x14ac:dyDescent="0.35">
      <c r="A468" s="2" t="s">
        <v>3124</v>
      </c>
      <c r="B468" s="3">
        <v>44171</v>
      </c>
      <c r="C468" s="2" t="s">
        <v>3125</v>
      </c>
      <c r="D468" t="s">
        <v>6154</v>
      </c>
      <c r="E468" s="2">
        <v>3</v>
      </c>
      <c r="F468" s="2"/>
      <c r="G468" s="2"/>
      <c r="H468" s="2"/>
    </row>
    <row r="469" spans="1:8" x14ac:dyDescent="0.35">
      <c r="A469" s="2" t="s">
        <v>3130</v>
      </c>
      <c r="B469" s="3">
        <v>44536</v>
      </c>
      <c r="C469" s="2" t="s">
        <v>3131</v>
      </c>
      <c r="D469" t="s">
        <v>6158</v>
      </c>
      <c r="E469" s="2">
        <v>1</v>
      </c>
      <c r="F469" s="2"/>
      <c r="G469" s="2"/>
      <c r="H469" s="2"/>
    </row>
    <row r="470" spans="1:8" x14ac:dyDescent="0.35">
      <c r="A470" s="2" t="s">
        <v>3136</v>
      </c>
      <c r="B470" s="3">
        <v>44023</v>
      </c>
      <c r="C470" s="2" t="s">
        <v>3137</v>
      </c>
      <c r="D470" t="s">
        <v>6141</v>
      </c>
      <c r="E470" s="2">
        <v>3</v>
      </c>
      <c r="F470" s="2"/>
      <c r="G470" s="2"/>
      <c r="H470" s="2"/>
    </row>
    <row r="471" spans="1:8" x14ac:dyDescent="0.35">
      <c r="A471" s="2" t="s">
        <v>3141</v>
      </c>
      <c r="B471" s="3">
        <v>44375</v>
      </c>
      <c r="C471" s="2" t="s">
        <v>3194</v>
      </c>
      <c r="D471" t="s">
        <v>6184</v>
      </c>
      <c r="E471" s="2">
        <v>5</v>
      </c>
      <c r="F471" s="2"/>
      <c r="G471" s="2"/>
      <c r="H471" s="2"/>
    </row>
    <row r="472" spans="1:8" x14ac:dyDescent="0.35">
      <c r="A472" s="2" t="s">
        <v>3147</v>
      </c>
      <c r="B472" s="3">
        <v>44656</v>
      </c>
      <c r="C472" s="2" t="s">
        <v>3148</v>
      </c>
      <c r="D472" t="s">
        <v>6157</v>
      </c>
      <c r="E472" s="2">
        <v>1</v>
      </c>
      <c r="F472" s="2"/>
      <c r="G472" s="2"/>
      <c r="H472" s="2"/>
    </row>
    <row r="473" spans="1:8" x14ac:dyDescent="0.35">
      <c r="A473" s="2" t="s">
        <v>3153</v>
      </c>
      <c r="B473" s="3">
        <v>44644</v>
      </c>
      <c r="C473" s="2" t="s">
        <v>3154</v>
      </c>
      <c r="D473" t="s">
        <v>6181</v>
      </c>
      <c r="E473" s="2">
        <v>4</v>
      </c>
      <c r="F473" s="2"/>
      <c r="G473" s="2"/>
      <c r="H473" s="2"/>
    </row>
    <row r="474" spans="1:8" x14ac:dyDescent="0.35">
      <c r="A474" s="2" t="s">
        <v>3158</v>
      </c>
      <c r="B474" s="3">
        <v>43869</v>
      </c>
      <c r="C474" s="2" t="s">
        <v>3159</v>
      </c>
      <c r="D474" t="s">
        <v>6154</v>
      </c>
      <c r="E474" s="2">
        <v>2</v>
      </c>
      <c r="F474" s="2"/>
      <c r="G474" s="2"/>
      <c r="H474" s="2"/>
    </row>
    <row r="475" spans="1:8" x14ac:dyDescent="0.35">
      <c r="A475" s="2" t="s">
        <v>3164</v>
      </c>
      <c r="B475" s="3">
        <v>44603</v>
      </c>
      <c r="C475" s="2" t="s">
        <v>3165</v>
      </c>
      <c r="D475" t="s">
        <v>6140</v>
      </c>
      <c r="E475" s="2">
        <v>2</v>
      </c>
      <c r="F475" s="2"/>
      <c r="G475" s="2"/>
      <c r="H475" s="2"/>
    </row>
    <row r="476" spans="1:8" x14ac:dyDescent="0.35">
      <c r="A476" s="2" t="s">
        <v>3170</v>
      </c>
      <c r="B476" s="3">
        <v>44014</v>
      </c>
      <c r="C476" s="2" t="s">
        <v>3171</v>
      </c>
      <c r="D476" t="s">
        <v>6166</v>
      </c>
      <c r="E476" s="2">
        <v>1</v>
      </c>
      <c r="F476" s="2"/>
      <c r="G476" s="2"/>
      <c r="H476" s="2"/>
    </row>
    <row r="477" spans="1:8" x14ac:dyDescent="0.35">
      <c r="A477" s="2" t="s">
        <v>3176</v>
      </c>
      <c r="B477" s="3">
        <v>44767</v>
      </c>
      <c r="C477" s="2" t="s">
        <v>3177</v>
      </c>
      <c r="D477" t="s">
        <v>6159</v>
      </c>
      <c r="E477" s="2">
        <v>2</v>
      </c>
      <c r="F477" s="2"/>
      <c r="G477" s="2"/>
      <c r="H477" s="2"/>
    </row>
    <row r="478" spans="1:8" x14ac:dyDescent="0.35">
      <c r="A478" s="2" t="s">
        <v>3181</v>
      </c>
      <c r="B478" s="3">
        <v>44274</v>
      </c>
      <c r="C478" s="2" t="s">
        <v>3182</v>
      </c>
      <c r="D478" t="s">
        <v>6184</v>
      </c>
      <c r="E478" s="2">
        <v>6</v>
      </c>
      <c r="F478" s="2"/>
      <c r="G478" s="2"/>
      <c r="H478" s="2"/>
    </row>
    <row r="479" spans="1:8" x14ac:dyDescent="0.35">
      <c r="A479" s="2" t="s">
        <v>3187</v>
      </c>
      <c r="B479" s="3">
        <v>43962</v>
      </c>
      <c r="C479" s="2" t="s">
        <v>3188</v>
      </c>
      <c r="D479" t="s">
        <v>6159</v>
      </c>
      <c r="E479" s="2">
        <v>6</v>
      </c>
      <c r="F479" s="2"/>
      <c r="G479" s="2"/>
      <c r="H479" s="2"/>
    </row>
    <row r="480" spans="1:8" x14ac:dyDescent="0.35">
      <c r="A480" s="2" t="s">
        <v>3193</v>
      </c>
      <c r="B480" s="3">
        <v>43624</v>
      </c>
      <c r="C480" s="2" t="s">
        <v>3194</v>
      </c>
      <c r="D480" t="s">
        <v>6177</v>
      </c>
      <c r="E480" s="2">
        <v>6</v>
      </c>
      <c r="F480" s="2"/>
      <c r="G480" s="2"/>
      <c r="H480" s="2"/>
    </row>
    <row r="481" spans="1:8" x14ac:dyDescent="0.35">
      <c r="A481" s="2" t="s">
        <v>3193</v>
      </c>
      <c r="B481" s="3">
        <v>43624</v>
      </c>
      <c r="C481" s="2" t="s">
        <v>3194</v>
      </c>
      <c r="D481" t="s">
        <v>6166</v>
      </c>
      <c r="E481" s="2">
        <v>4</v>
      </c>
      <c r="F481" s="2"/>
      <c r="G481" s="2"/>
      <c r="H481" s="2"/>
    </row>
    <row r="482" spans="1:8" x14ac:dyDescent="0.35">
      <c r="A482" s="2" t="s">
        <v>3193</v>
      </c>
      <c r="B482" s="3">
        <v>43624</v>
      </c>
      <c r="C482" s="2" t="s">
        <v>3194</v>
      </c>
      <c r="D482" t="s">
        <v>6156</v>
      </c>
      <c r="E482" s="2">
        <v>1</v>
      </c>
      <c r="F482" s="2"/>
      <c r="G482" s="2"/>
      <c r="H482" s="2"/>
    </row>
    <row r="483" spans="1:8" x14ac:dyDescent="0.35">
      <c r="A483" s="2" t="s">
        <v>3208</v>
      </c>
      <c r="B483" s="3">
        <v>43747</v>
      </c>
      <c r="C483" s="2" t="s">
        <v>3209</v>
      </c>
      <c r="D483" t="s">
        <v>6179</v>
      </c>
      <c r="E483" s="2">
        <v>2</v>
      </c>
      <c r="F483" s="2"/>
      <c r="G483" s="2"/>
      <c r="H483" s="2"/>
    </row>
    <row r="484" spans="1:8" x14ac:dyDescent="0.35">
      <c r="A484" s="2" t="s">
        <v>3214</v>
      </c>
      <c r="B484" s="3">
        <v>44247</v>
      </c>
      <c r="C484" s="2" t="s">
        <v>3215</v>
      </c>
      <c r="D484" t="s">
        <v>6185</v>
      </c>
      <c r="E484" s="2">
        <v>5</v>
      </c>
      <c r="F484" s="2"/>
      <c r="G484" s="2"/>
      <c r="H484" s="2"/>
    </row>
    <row r="485" spans="1:8" x14ac:dyDescent="0.35">
      <c r="A485" s="2" t="s">
        <v>3220</v>
      </c>
      <c r="B485" s="3">
        <v>43790</v>
      </c>
      <c r="C485" s="2" t="s">
        <v>3221</v>
      </c>
      <c r="D485" t="s">
        <v>6165</v>
      </c>
      <c r="E485" s="2">
        <v>2</v>
      </c>
      <c r="F485" s="2"/>
      <c r="G485" s="2"/>
      <c r="H485" s="2"/>
    </row>
    <row r="486" spans="1:8" x14ac:dyDescent="0.35">
      <c r="A486" s="2" t="s">
        <v>3225</v>
      </c>
      <c r="B486" s="3">
        <v>44479</v>
      </c>
      <c r="C486" s="2" t="s">
        <v>3226</v>
      </c>
      <c r="D486" t="s">
        <v>6161</v>
      </c>
      <c r="E486" s="2">
        <v>6</v>
      </c>
      <c r="F486" s="2"/>
      <c r="G486" s="2"/>
      <c r="H486" s="2"/>
    </row>
    <row r="487" spans="1:8" x14ac:dyDescent="0.35">
      <c r="A487" s="2" t="s">
        <v>3230</v>
      </c>
      <c r="B487" s="3">
        <v>44413</v>
      </c>
      <c r="C487" s="2" t="s">
        <v>3231</v>
      </c>
      <c r="D487" t="s">
        <v>6178</v>
      </c>
      <c r="E487" s="2">
        <v>6</v>
      </c>
      <c r="F487" s="2"/>
      <c r="G487" s="2"/>
      <c r="H487" s="2"/>
    </row>
    <row r="488" spans="1:8" x14ac:dyDescent="0.35">
      <c r="A488" s="2" t="s">
        <v>3236</v>
      </c>
      <c r="B488" s="3">
        <v>44043</v>
      </c>
      <c r="C488" s="2" t="s">
        <v>3237</v>
      </c>
      <c r="D488" t="s">
        <v>6160</v>
      </c>
      <c r="E488" s="2">
        <v>6</v>
      </c>
      <c r="F488" s="2"/>
      <c r="G488" s="2"/>
      <c r="H488" s="2"/>
    </row>
    <row r="489" spans="1:8" x14ac:dyDescent="0.35">
      <c r="A489" s="2" t="s">
        <v>3242</v>
      </c>
      <c r="B489" s="3">
        <v>44093</v>
      </c>
      <c r="C489" s="2" t="s">
        <v>3243</v>
      </c>
      <c r="D489" t="s">
        <v>6183</v>
      </c>
      <c r="E489" s="2">
        <v>6</v>
      </c>
      <c r="F489" s="2"/>
      <c r="G489" s="2"/>
      <c r="H489" s="2"/>
    </row>
    <row r="490" spans="1:8" x14ac:dyDescent="0.35">
      <c r="A490" s="2" t="s">
        <v>3248</v>
      </c>
      <c r="B490" s="3">
        <v>43954</v>
      </c>
      <c r="C490" s="2" t="s">
        <v>3249</v>
      </c>
      <c r="D490" t="s">
        <v>6174</v>
      </c>
      <c r="E490" s="2">
        <v>5</v>
      </c>
      <c r="F490" s="2"/>
      <c r="G490" s="2"/>
      <c r="H490" s="2"/>
    </row>
    <row r="491" spans="1:8" x14ac:dyDescent="0.35">
      <c r="A491" s="2" t="s">
        <v>3254</v>
      </c>
      <c r="B491" s="3">
        <v>43654</v>
      </c>
      <c r="C491" s="2" t="s">
        <v>3255</v>
      </c>
      <c r="D491" t="s">
        <v>6170</v>
      </c>
      <c r="E491" s="2">
        <v>6</v>
      </c>
      <c r="F491" s="2"/>
      <c r="G491" s="2"/>
      <c r="H491" s="2"/>
    </row>
    <row r="492" spans="1:8" x14ac:dyDescent="0.35">
      <c r="A492" s="2" t="s">
        <v>3260</v>
      </c>
      <c r="B492" s="3">
        <v>43764</v>
      </c>
      <c r="C492" s="2" t="s">
        <v>3261</v>
      </c>
      <c r="D492" t="s">
        <v>6169</v>
      </c>
      <c r="E492" s="2">
        <v>2</v>
      </c>
      <c r="F492" s="2"/>
      <c r="G492" s="2"/>
      <c r="H492" s="2"/>
    </row>
    <row r="493" spans="1:8" x14ac:dyDescent="0.35">
      <c r="A493" s="2" t="s">
        <v>3266</v>
      </c>
      <c r="B493" s="3">
        <v>44101</v>
      </c>
      <c r="C493" s="2" t="s">
        <v>3267</v>
      </c>
      <c r="D493" t="s">
        <v>6150</v>
      </c>
      <c r="E493" s="2">
        <v>6</v>
      </c>
      <c r="F493" s="2"/>
      <c r="G493" s="2"/>
      <c r="H493" s="2"/>
    </row>
    <row r="494" spans="1:8" x14ac:dyDescent="0.35">
      <c r="A494" s="2" t="s">
        <v>3271</v>
      </c>
      <c r="B494" s="3">
        <v>44620</v>
      </c>
      <c r="C494" s="2" t="s">
        <v>3272</v>
      </c>
      <c r="D494" t="s">
        <v>6156</v>
      </c>
      <c r="E494" s="2">
        <v>1</v>
      </c>
      <c r="F494" s="2"/>
      <c r="G494" s="2"/>
      <c r="H494" s="2"/>
    </row>
    <row r="495" spans="1:8" x14ac:dyDescent="0.35">
      <c r="A495" s="2" t="s">
        <v>3277</v>
      </c>
      <c r="B495" s="3">
        <v>44090</v>
      </c>
      <c r="C495" s="2" t="s">
        <v>3278</v>
      </c>
      <c r="D495" t="s">
        <v>6146</v>
      </c>
      <c r="E495" s="2">
        <v>6</v>
      </c>
      <c r="F495" s="2"/>
      <c r="G495" s="2"/>
      <c r="H495" s="2"/>
    </row>
    <row r="496" spans="1:8" x14ac:dyDescent="0.35">
      <c r="A496" s="2" t="s">
        <v>3283</v>
      </c>
      <c r="B496" s="3">
        <v>44132</v>
      </c>
      <c r="C496" s="2" t="s">
        <v>3284</v>
      </c>
      <c r="D496" t="s">
        <v>6170</v>
      </c>
      <c r="E496" s="2">
        <v>2</v>
      </c>
      <c r="F496" s="2"/>
      <c r="G496" s="2"/>
      <c r="H496" s="2"/>
    </row>
    <row r="497" spans="1:8" x14ac:dyDescent="0.35">
      <c r="A497" s="2" t="s">
        <v>3289</v>
      </c>
      <c r="B497" s="3">
        <v>43710</v>
      </c>
      <c r="C497" s="2" t="s">
        <v>3290</v>
      </c>
      <c r="D497" t="s">
        <v>6170</v>
      </c>
      <c r="E497" s="2">
        <v>5</v>
      </c>
      <c r="F497" s="2"/>
      <c r="G497" s="2"/>
      <c r="H497" s="2"/>
    </row>
    <row r="498" spans="1:8" x14ac:dyDescent="0.35">
      <c r="A498" s="2" t="s">
        <v>3294</v>
      </c>
      <c r="B498" s="3">
        <v>44438</v>
      </c>
      <c r="C498" s="2" t="s">
        <v>3295</v>
      </c>
      <c r="D498" t="s">
        <v>6153</v>
      </c>
      <c r="E498" s="2">
        <v>3</v>
      </c>
      <c r="F498" s="2"/>
      <c r="G498" s="2"/>
      <c r="H498" s="2"/>
    </row>
    <row r="499" spans="1:8" x14ac:dyDescent="0.35">
      <c r="A499" s="2" t="s">
        <v>3300</v>
      </c>
      <c r="B499" s="3">
        <v>44351</v>
      </c>
      <c r="C499" s="2" t="s">
        <v>3301</v>
      </c>
      <c r="D499" t="s">
        <v>6147</v>
      </c>
      <c r="E499" s="2">
        <v>4</v>
      </c>
      <c r="F499" s="2"/>
      <c r="G499" s="2"/>
      <c r="H499" s="2"/>
    </row>
    <row r="500" spans="1:8" x14ac:dyDescent="0.35">
      <c r="A500" s="2" t="s">
        <v>3307</v>
      </c>
      <c r="B500" s="3">
        <v>44159</v>
      </c>
      <c r="C500" s="2" t="s">
        <v>3368</v>
      </c>
      <c r="D500" t="s">
        <v>6138</v>
      </c>
      <c r="E500" s="2">
        <v>5</v>
      </c>
      <c r="F500" s="2"/>
      <c r="G500" s="2"/>
      <c r="H500" s="2"/>
    </row>
    <row r="501" spans="1:8" x14ac:dyDescent="0.35">
      <c r="A501" s="2" t="s">
        <v>3313</v>
      </c>
      <c r="B501" s="3">
        <v>44003</v>
      </c>
      <c r="C501" s="2" t="s">
        <v>3314</v>
      </c>
      <c r="D501" t="s">
        <v>6163</v>
      </c>
      <c r="E501" s="2">
        <v>3</v>
      </c>
      <c r="F501" s="2"/>
      <c r="G501" s="2"/>
      <c r="H501" s="2"/>
    </row>
    <row r="502" spans="1:8" x14ac:dyDescent="0.35">
      <c r="A502" s="2" t="s">
        <v>3318</v>
      </c>
      <c r="B502" s="3">
        <v>44025</v>
      </c>
      <c r="C502" s="2" t="s">
        <v>3319</v>
      </c>
      <c r="D502" t="s">
        <v>6179</v>
      </c>
      <c r="E502" s="2">
        <v>4</v>
      </c>
      <c r="F502" s="2"/>
      <c r="G502" s="2"/>
      <c r="H502" s="2"/>
    </row>
    <row r="503" spans="1:8" x14ac:dyDescent="0.35">
      <c r="A503" s="2" t="s">
        <v>3323</v>
      </c>
      <c r="B503" s="3">
        <v>43467</v>
      </c>
      <c r="C503" s="2" t="s">
        <v>3324</v>
      </c>
      <c r="D503" t="s">
        <v>6174</v>
      </c>
      <c r="E503" s="2">
        <v>4</v>
      </c>
      <c r="F503" s="2"/>
      <c r="G503" s="2"/>
      <c r="H503" s="2"/>
    </row>
    <row r="504" spans="1:8" x14ac:dyDescent="0.35">
      <c r="A504" s="2" t="s">
        <v>3323</v>
      </c>
      <c r="B504" s="3">
        <v>43467</v>
      </c>
      <c r="C504" s="2" t="s">
        <v>3324</v>
      </c>
      <c r="D504" t="s">
        <v>6156</v>
      </c>
      <c r="E504" s="2">
        <v>4</v>
      </c>
      <c r="F504" s="2"/>
      <c r="G504" s="2"/>
      <c r="H504" s="2"/>
    </row>
    <row r="505" spans="1:8" x14ac:dyDescent="0.35">
      <c r="A505" s="2" t="s">
        <v>3323</v>
      </c>
      <c r="B505" s="3">
        <v>43467</v>
      </c>
      <c r="C505" s="2" t="s">
        <v>3324</v>
      </c>
      <c r="D505" t="s">
        <v>6143</v>
      </c>
      <c r="E505" s="2">
        <v>4</v>
      </c>
      <c r="F505" s="2"/>
      <c r="G505" s="2"/>
      <c r="H505" s="2"/>
    </row>
    <row r="506" spans="1:8" x14ac:dyDescent="0.35">
      <c r="A506" s="2" t="s">
        <v>3323</v>
      </c>
      <c r="B506" s="3">
        <v>43467</v>
      </c>
      <c r="C506" s="2" t="s">
        <v>3324</v>
      </c>
      <c r="D506" t="s">
        <v>6145</v>
      </c>
      <c r="E506" s="2">
        <v>3</v>
      </c>
      <c r="F506" s="2"/>
      <c r="G506" s="2"/>
      <c r="H506" s="2"/>
    </row>
    <row r="507" spans="1:8" x14ac:dyDescent="0.35">
      <c r="A507" s="2" t="s">
        <v>3343</v>
      </c>
      <c r="B507" s="3">
        <v>44609</v>
      </c>
      <c r="C507" s="2" t="s">
        <v>3344</v>
      </c>
      <c r="D507" t="s">
        <v>6159</v>
      </c>
      <c r="E507" s="2">
        <v>6</v>
      </c>
      <c r="F507" s="2"/>
      <c r="G507" s="2"/>
      <c r="H507" s="2"/>
    </row>
    <row r="508" spans="1:8" x14ac:dyDescent="0.35">
      <c r="A508" s="2" t="s">
        <v>3349</v>
      </c>
      <c r="B508" s="3">
        <v>44184</v>
      </c>
      <c r="C508" s="2" t="s">
        <v>3350</v>
      </c>
      <c r="D508" t="s">
        <v>6140</v>
      </c>
      <c r="E508" s="2">
        <v>2</v>
      </c>
      <c r="F508" s="2"/>
      <c r="G508" s="2"/>
      <c r="H508" s="2"/>
    </row>
    <row r="509" spans="1:8" x14ac:dyDescent="0.35">
      <c r="A509" s="2" t="s">
        <v>3355</v>
      </c>
      <c r="B509" s="3">
        <v>43516</v>
      </c>
      <c r="C509" s="2" t="s">
        <v>3356</v>
      </c>
      <c r="D509" t="s">
        <v>6182</v>
      </c>
      <c r="E509" s="2">
        <v>3</v>
      </c>
      <c r="F509" s="2"/>
      <c r="G509" s="2"/>
      <c r="H509" s="2"/>
    </row>
    <row r="510" spans="1:8" x14ac:dyDescent="0.35">
      <c r="A510" s="2" t="s">
        <v>3361</v>
      </c>
      <c r="B510" s="3">
        <v>44210</v>
      </c>
      <c r="C510" s="2" t="s">
        <v>3362</v>
      </c>
      <c r="D510" t="s">
        <v>6169</v>
      </c>
      <c r="E510" s="2">
        <v>6</v>
      </c>
      <c r="F510" s="2"/>
      <c r="G510" s="2"/>
      <c r="H510" s="2"/>
    </row>
    <row r="511" spans="1:8" x14ac:dyDescent="0.35">
      <c r="A511" s="2" t="s">
        <v>3367</v>
      </c>
      <c r="B511" s="3">
        <v>43785</v>
      </c>
      <c r="C511" s="2" t="s">
        <v>3368</v>
      </c>
      <c r="D511" t="s">
        <v>6147</v>
      </c>
      <c r="E511" s="2">
        <v>3</v>
      </c>
      <c r="F511" s="2"/>
      <c r="G511" s="2"/>
      <c r="H511" s="2"/>
    </row>
    <row r="512" spans="1:8" x14ac:dyDescent="0.35">
      <c r="A512" s="2" t="s">
        <v>3373</v>
      </c>
      <c r="B512" s="3">
        <v>43803</v>
      </c>
      <c r="C512" s="2" t="s">
        <v>3374</v>
      </c>
      <c r="D512" t="s">
        <v>6178</v>
      </c>
      <c r="E512" s="2">
        <v>3</v>
      </c>
      <c r="F512" s="2"/>
      <c r="G512" s="2"/>
      <c r="H512" s="2"/>
    </row>
    <row r="513" spans="1:8" x14ac:dyDescent="0.35">
      <c r="A513" s="2" t="s">
        <v>3379</v>
      </c>
      <c r="B513" s="3">
        <v>44043</v>
      </c>
      <c r="C513" s="2" t="s">
        <v>3380</v>
      </c>
      <c r="D513" t="s">
        <v>6152</v>
      </c>
      <c r="E513" s="2">
        <v>4</v>
      </c>
      <c r="F513" s="2"/>
      <c r="G513" s="2"/>
      <c r="H513" s="2"/>
    </row>
    <row r="514" spans="1:8" x14ac:dyDescent="0.35">
      <c r="A514" s="2" t="s">
        <v>3385</v>
      </c>
      <c r="B514" s="3">
        <v>43535</v>
      </c>
      <c r="C514" s="2" t="s">
        <v>3386</v>
      </c>
      <c r="D514" t="s">
        <v>6170</v>
      </c>
      <c r="E514" s="2">
        <v>3</v>
      </c>
      <c r="F514" s="2"/>
      <c r="G514" s="2"/>
      <c r="H514" s="2"/>
    </row>
    <row r="515" spans="1:8" x14ac:dyDescent="0.35">
      <c r="A515" s="2" t="s">
        <v>3391</v>
      </c>
      <c r="B515" s="3">
        <v>44691</v>
      </c>
      <c r="C515" s="2" t="s">
        <v>3392</v>
      </c>
      <c r="D515" t="s">
        <v>6170</v>
      </c>
      <c r="E515" s="2">
        <v>5</v>
      </c>
      <c r="F515" s="2"/>
      <c r="G515" s="2"/>
      <c r="H515" s="2"/>
    </row>
    <row r="516" spans="1:8" x14ac:dyDescent="0.35">
      <c r="A516" s="2" t="s">
        <v>3396</v>
      </c>
      <c r="B516" s="3">
        <v>44555</v>
      </c>
      <c r="C516" s="2" t="s">
        <v>3397</v>
      </c>
      <c r="D516" t="s">
        <v>6159</v>
      </c>
      <c r="E516" s="2">
        <v>6</v>
      </c>
      <c r="F516" s="2"/>
      <c r="G516" s="2"/>
      <c r="H516" s="2"/>
    </row>
    <row r="517" spans="1:8" x14ac:dyDescent="0.35">
      <c r="A517" s="2" t="s">
        <v>3402</v>
      </c>
      <c r="B517" s="3">
        <v>44673</v>
      </c>
      <c r="C517" s="2" t="s">
        <v>3403</v>
      </c>
      <c r="D517" t="s">
        <v>6173</v>
      </c>
      <c r="E517" s="2">
        <v>3</v>
      </c>
      <c r="F517" s="2"/>
      <c r="G517" s="2"/>
      <c r="H517" s="2"/>
    </row>
    <row r="518" spans="1:8" x14ac:dyDescent="0.35">
      <c r="A518" s="2" t="s">
        <v>3408</v>
      </c>
      <c r="B518" s="3">
        <v>44723</v>
      </c>
      <c r="C518" s="2" t="s">
        <v>3409</v>
      </c>
      <c r="D518" t="s">
        <v>6149</v>
      </c>
      <c r="E518" s="2">
        <v>5</v>
      </c>
      <c r="F518" s="2"/>
      <c r="G518" s="2"/>
      <c r="H518" s="2"/>
    </row>
    <row r="519" spans="1:8" x14ac:dyDescent="0.35">
      <c r="A519" s="2" t="s">
        <v>3413</v>
      </c>
      <c r="B519" s="3">
        <v>44678</v>
      </c>
      <c r="C519" s="2" t="s">
        <v>3414</v>
      </c>
      <c r="D519" t="s">
        <v>6150</v>
      </c>
      <c r="E519" s="2">
        <v>2</v>
      </c>
      <c r="F519" s="2"/>
      <c r="G519" s="2"/>
      <c r="H519" s="2"/>
    </row>
    <row r="520" spans="1:8" x14ac:dyDescent="0.35">
      <c r="A520" s="2" t="s">
        <v>3418</v>
      </c>
      <c r="B520" s="3">
        <v>44194</v>
      </c>
      <c r="C520" s="2" t="s">
        <v>3419</v>
      </c>
      <c r="D520" t="s">
        <v>6185</v>
      </c>
      <c r="E520" s="2">
        <v>5</v>
      </c>
      <c r="F520" s="2"/>
      <c r="G520" s="2"/>
      <c r="H520" s="2"/>
    </row>
    <row r="521" spans="1:8" x14ac:dyDescent="0.35">
      <c r="A521" s="2" t="s">
        <v>3424</v>
      </c>
      <c r="B521" s="3">
        <v>44026</v>
      </c>
      <c r="C521" s="2" t="s">
        <v>3368</v>
      </c>
      <c r="D521" t="s">
        <v>6158</v>
      </c>
      <c r="E521" s="2">
        <v>2</v>
      </c>
      <c r="F521" s="2"/>
      <c r="G521" s="2"/>
      <c r="H521" s="2"/>
    </row>
    <row r="522" spans="1:8" x14ac:dyDescent="0.35">
      <c r="A522" s="2" t="s">
        <v>3430</v>
      </c>
      <c r="B522" s="3">
        <v>44446</v>
      </c>
      <c r="C522" s="2" t="s">
        <v>3431</v>
      </c>
      <c r="D522" t="s">
        <v>6150</v>
      </c>
      <c r="E522" s="2">
        <v>1</v>
      </c>
      <c r="F522" s="2"/>
      <c r="G522" s="2"/>
      <c r="H522" s="2"/>
    </row>
    <row r="523" spans="1:8" x14ac:dyDescent="0.35">
      <c r="A523" s="2" t="s">
        <v>3430</v>
      </c>
      <c r="B523" s="3">
        <v>44446</v>
      </c>
      <c r="C523" s="2" t="s">
        <v>3431</v>
      </c>
      <c r="D523" t="s">
        <v>6138</v>
      </c>
      <c r="E523" s="2">
        <v>4</v>
      </c>
      <c r="F523" s="2"/>
      <c r="G523" s="2"/>
      <c r="H523" s="2"/>
    </row>
    <row r="524" spans="1:8" x14ac:dyDescent="0.35">
      <c r="A524" s="2" t="s">
        <v>3441</v>
      </c>
      <c r="B524" s="3">
        <v>43625</v>
      </c>
      <c r="C524" s="2" t="s">
        <v>3442</v>
      </c>
      <c r="D524" t="s">
        <v>6146</v>
      </c>
      <c r="E524" s="2">
        <v>5</v>
      </c>
      <c r="F524" s="2"/>
      <c r="G524" s="2"/>
      <c r="H524" s="2"/>
    </row>
    <row r="525" spans="1:8" x14ac:dyDescent="0.35">
      <c r="A525" s="2" t="s">
        <v>3447</v>
      </c>
      <c r="B525" s="3">
        <v>44129</v>
      </c>
      <c r="C525" s="2" t="s">
        <v>3448</v>
      </c>
      <c r="D525" t="s">
        <v>6165</v>
      </c>
      <c r="E525" s="2">
        <v>1</v>
      </c>
      <c r="F525" s="2"/>
      <c r="G525" s="2"/>
      <c r="H525" s="2"/>
    </row>
    <row r="526" spans="1:8" x14ac:dyDescent="0.35">
      <c r="A526" s="2" t="s">
        <v>3453</v>
      </c>
      <c r="B526" s="3">
        <v>44255</v>
      </c>
      <c r="C526" s="2" t="s">
        <v>3454</v>
      </c>
      <c r="D526" t="s">
        <v>6164</v>
      </c>
      <c r="E526" s="2">
        <v>2</v>
      </c>
      <c r="F526" s="2"/>
      <c r="G526" s="2"/>
      <c r="H526" s="2"/>
    </row>
    <row r="527" spans="1:8" x14ac:dyDescent="0.35">
      <c r="A527" s="2" t="s">
        <v>3458</v>
      </c>
      <c r="B527" s="3">
        <v>44038</v>
      </c>
      <c r="C527" s="2" t="s">
        <v>3459</v>
      </c>
      <c r="D527" t="s">
        <v>6163</v>
      </c>
      <c r="E527" s="2">
        <v>5</v>
      </c>
      <c r="F527" s="2"/>
      <c r="G527" s="2"/>
      <c r="H527" s="2"/>
    </row>
    <row r="528" spans="1:8" x14ac:dyDescent="0.35">
      <c r="A528" s="2" t="s">
        <v>3463</v>
      </c>
      <c r="B528" s="3">
        <v>44717</v>
      </c>
      <c r="C528" s="2" t="s">
        <v>3464</v>
      </c>
      <c r="D528" t="s">
        <v>6166</v>
      </c>
      <c r="E528" s="2">
        <v>4</v>
      </c>
      <c r="F528" s="2"/>
      <c r="G528" s="2"/>
      <c r="H528" s="2"/>
    </row>
    <row r="529" spans="1:8" x14ac:dyDescent="0.35">
      <c r="A529" s="2" t="s">
        <v>3469</v>
      </c>
      <c r="B529" s="3">
        <v>43517</v>
      </c>
      <c r="C529" s="2" t="s">
        <v>3470</v>
      </c>
      <c r="D529" t="s">
        <v>6139</v>
      </c>
      <c r="E529" s="2">
        <v>5</v>
      </c>
      <c r="F529" s="2"/>
      <c r="G529" s="2"/>
      <c r="H529" s="2"/>
    </row>
    <row r="530" spans="1:8" x14ac:dyDescent="0.35">
      <c r="A530" s="2" t="s">
        <v>3475</v>
      </c>
      <c r="B530" s="3">
        <v>43926</v>
      </c>
      <c r="C530" s="2" t="s">
        <v>3476</v>
      </c>
      <c r="D530" t="s">
        <v>6176</v>
      </c>
      <c r="E530" s="2">
        <v>6</v>
      </c>
      <c r="F530" s="2"/>
      <c r="G530" s="2"/>
      <c r="H530" s="2"/>
    </row>
    <row r="531" spans="1:8" x14ac:dyDescent="0.35">
      <c r="A531" s="2" t="s">
        <v>3481</v>
      </c>
      <c r="B531" s="3">
        <v>43475</v>
      </c>
      <c r="C531" s="2" t="s">
        <v>3482</v>
      </c>
      <c r="D531" t="s">
        <v>6138</v>
      </c>
      <c r="E531" s="2">
        <v>6</v>
      </c>
      <c r="F531" s="2"/>
      <c r="G531" s="2"/>
      <c r="H531" s="2"/>
    </row>
    <row r="532" spans="1:8" x14ac:dyDescent="0.35">
      <c r="A532" s="2" t="s">
        <v>3487</v>
      </c>
      <c r="B532" s="3">
        <v>44663</v>
      </c>
      <c r="C532" s="2" t="s">
        <v>3488</v>
      </c>
      <c r="D532" t="s">
        <v>6138</v>
      </c>
      <c r="E532" s="2">
        <v>6</v>
      </c>
      <c r="F532" s="2"/>
      <c r="G532" s="2"/>
      <c r="H532" s="2"/>
    </row>
    <row r="533" spans="1:8" x14ac:dyDescent="0.35">
      <c r="A533" s="2" t="s">
        <v>3493</v>
      </c>
      <c r="B533" s="3">
        <v>44591</v>
      </c>
      <c r="C533" s="2" t="s">
        <v>3494</v>
      </c>
      <c r="D533" t="s">
        <v>6177</v>
      </c>
      <c r="E533" s="2">
        <v>5</v>
      </c>
      <c r="F533" s="2"/>
      <c r="G533" s="2"/>
      <c r="H533" s="2"/>
    </row>
    <row r="534" spans="1:8" x14ac:dyDescent="0.35">
      <c r="A534" s="2" t="s">
        <v>3499</v>
      </c>
      <c r="B534" s="3">
        <v>44330</v>
      </c>
      <c r="C534" s="2" t="s">
        <v>3500</v>
      </c>
      <c r="D534" t="s">
        <v>6139</v>
      </c>
      <c r="E534" s="2">
        <v>2</v>
      </c>
      <c r="F534" s="2"/>
      <c r="G534" s="2"/>
      <c r="H534" s="2"/>
    </row>
    <row r="535" spans="1:8" x14ac:dyDescent="0.35">
      <c r="A535" s="2" t="s">
        <v>3505</v>
      </c>
      <c r="B535" s="3">
        <v>44724</v>
      </c>
      <c r="C535" s="2" t="s">
        <v>3506</v>
      </c>
      <c r="D535" t="s">
        <v>6172</v>
      </c>
      <c r="E535" s="2">
        <v>4</v>
      </c>
      <c r="F535" s="2"/>
      <c r="G535" s="2"/>
      <c r="H535" s="2"/>
    </row>
    <row r="536" spans="1:8" x14ac:dyDescent="0.35">
      <c r="A536" s="2" t="s">
        <v>3510</v>
      </c>
      <c r="B536" s="3">
        <v>44563</v>
      </c>
      <c r="C536" s="2" t="s">
        <v>3511</v>
      </c>
      <c r="D536" t="s">
        <v>6151</v>
      </c>
      <c r="E536" s="2">
        <v>2</v>
      </c>
      <c r="F536" s="2"/>
      <c r="G536" s="2"/>
      <c r="H536" s="2"/>
    </row>
    <row r="537" spans="1:8" x14ac:dyDescent="0.35">
      <c r="A537" s="2" t="s">
        <v>3516</v>
      </c>
      <c r="B537" s="3">
        <v>44585</v>
      </c>
      <c r="C537" s="2" t="s">
        <v>3517</v>
      </c>
      <c r="D537" t="s">
        <v>6145</v>
      </c>
      <c r="E537" s="2">
        <v>2</v>
      </c>
      <c r="F537" s="2"/>
      <c r="G537" s="2"/>
      <c r="H537" s="2"/>
    </row>
    <row r="538" spans="1:8" x14ac:dyDescent="0.35">
      <c r="A538" s="2" t="s">
        <v>3521</v>
      </c>
      <c r="B538" s="3">
        <v>43544</v>
      </c>
      <c r="C538" s="2" t="s">
        <v>3368</v>
      </c>
      <c r="D538" t="s">
        <v>6163</v>
      </c>
      <c r="E538" s="2">
        <v>3</v>
      </c>
      <c r="F538" s="2"/>
      <c r="G538" s="2"/>
      <c r="H538" s="2"/>
    </row>
    <row r="539" spans="1:8" x14ac:dyDescent="0.35">
      <c r="A539" s="2" t="s">
        <v>3527</v>
      </c>
      <c r="B539" s="3">
        <v>44156</v>
      </c>
      <c r="C539" s="2" t="s">
        <v>3528</v>
      </c>
      <c r="D539" t="s">
        <v>6185</v>
      </c>
      <c r="E539" s="2">
        <v>4</v>
      </c>
      <c r="F539" s="2"/>
      <c r="G539" s="2"/>
      <c r="H539" s="2"/>
    </row>
    <row r="540" spans="1:8" x14ac:dyDescent="0.35">
      <c r="A540" s="2" t="s">
        <v>3532</v>
      </c>
      <c r="B540" s="3">
        <v>44482</v>
      </c>
      <c r="C540" s="2" t="s">
        <v>3533</v>
      </c>
      <c r="D540" t="s">
        <v>6163</v>
      </c>
      <c r="E540" s="2">
        <v>4</v>
      </c>
      <c r="F540" s="2"/>
      <c r="G540" s="2"/>
      <c r="H540" s="2"/>
    </row>
    <row r="541" spans="1:8" x14ac:dyDescent="0.35">
      <c r="A541" s="2" t="s">
        <v>3537</v>
      </c>
      <c r="B541" s="3">
        <v>44488</v>
      </c>
      <c r="C541" s="2" t="s">
        <v>3538</v>
      </c>
      <c r="D541" t="s">
        <v>6172</v>
      </c>
      <c r="E541" s="2">
        <v>5</v>
      </c>
      <c r="F541" s="2"/>
      <c r="G541" s="2"/>
      <c r="H541" s="2"/>
    </row>
    <row r="542" spans="1:8" x14ac:dyDescent="0.35">
      <c r="A542" s="2" t="s">
        <v>3542</v>
      </c>
      <c r="B542" s="3">
        <v>43584</v>
      </c>
      <c r="C542" s="2" t="s">
        <v>3543</v>
      </c>
      <c r="D542" t="s">
        <v>6170</v>
      </c>
      <c r="E542" s="2">
        <v>4</v>
      </c>
      <c r="F542" s="2"/>
      <c r="G542" s="2"/>
      <c r="H542" s="2"/>
    </row>
    <row r="543" spans="1:8" x14ac:dyDescent="0.35">
      <c r="A543" s="2" t="s">
        <v>3548</v>
      </c>
      <c r="B543" s="3">
        <v>43750</v>
      </c>
      <c r="C543" s="2" t="s">
        <v>3549</v>
      </c>
      <c r="D543" t="s">
        <v>6168</v>
      </c>
      <c r="E543" s="2">
        <v>1</v>
      </c>
      <c r="F543" s="2"/>
      <c r="G543" s="2"/>
      <c r="H543" s="2"/>
    </row>
    <row r="544" spans="1:8" x14ac:dyDescent="0.35">
      <c r="A544" s="2" t="s">
        <v>3553</v>
      </c>
      <c r="B544" s="3">
        <v>44335</v>
      </c>
      <c r="C544" s="2" t="s">
        <v>3554</v>
      </c>
      <c r="D544" t="s">
        <v>6175</v>
      </c>
      <c r="E544" s="2">
        <v>4</v>
      </c>
      <c r="F544" s="2"/>
      <c r="G544" s="2"/>
      <c r="H544" s="2"/>
    </row>
    <row r="545" spans="1:8" x14ac:dyDescent="0.35">
      <c r="A545" s="2" t="s">
        <v>3559</v>
      </c>
      <c r="B545" s="3">
        <v>44380</v>
      </c>
      <c r="C545" s="2" t="s">
        <v>3560</v>
      </c>
      <c r="D545" t="s">
        <v>6142</v>
      </c>
      <c r="E545" s="2">
        <v>2</v>
      </c>
      <c r="F545" s="2"/>
      <c r="G545" s="2"/>
      <c r="H545" s="2"/>
    </row>
    <row r="546" spans="1:8" x14ac:dyDescent="0.35">
      <c r="A546" s="2" t="s">
        <v>3565</v>
      </c>
      <c r="B546" s="3">
        <v>43869</v>
      </c>
      <c r="C546" s="2" t="s">
        <v>3566</v>
      </c>
      <c r="D546" t="s">
        <v>6180</v>
      </c>
      <c r="E546" s="2">
        <v>2</v>
      </c>
      <c r="F546" s="2"/>
      <c r="G546" s="2"/>
      <c r="H546" s="2"/>
    </row>
    <row r="547" spans="1:8" x14ac:dyDescent="0.35">
      <c r="A547" s="2" t="s">
        <v>3571</v>
      </c>
      <c r="B547" s="3">
        <v>44120</v>
      </c>
      <c r="C547" s="2" t="s">
        <v>3572</v>
      </c>
      <c r="D547" t="s">
        <v>6150</v>
      </c>
      <c r="E547" s="2">
        <v>4</v>
      </c>
      <c r="F547" s="2"/>
      <c r="G547" s="2"/>
      <c r="H547" s="2"/>
    </row>
    <row r="548" spans="1:8" x14ac:dyDescent="0.35">
      <c r="A548" s="2" t="s">
        <v>3577</v>
      </c>
      <c r="B548" s="3">
        <v>44127</v>
      </c>
      <c r="C548" s="2" t="s">
        <v>3578</v>
      </c>
      <c r="D548" t="s">
        <v>6185</v>
      </c>
      <c r="E548" s="2">
        <v>3</v>
      </c>
      <c r="F548" s="2"/>
      <c r="G548" s="2"/>
      <c r="H548" s="2"/>
    </row>
    <row r="549" spans="1:8" x14ac:dyDescent="0.35">
      <c r="A549" s="2" t="s">
        <v>3582</v>
      </c>
      <c r="B549" s="3">
        <v>44265</v>
      </c>
      <c r="C549" s="2" t="s">
        <v>3594</v>
      </c>
      <c r="D549" t="s">
        <v>6178</v>
      </c>
      <c r="E549" s="2">
        <v>3</v>
      </c>
      <c r="F549" s="2"/>
      <c r="G549" s="2"/>
      <c r="H549" s="2"/>
    </row>
    <row r="550" spans="1:8" x14ac:dyDescent="0.35">
      <c r="A550" s="2" t="s">
        <v>3587</v>
      </c>
      <c r="B550" s="3">
        <v>44384</v>
      </c>
      <c r="C550" s="2" t="s">
        <v>3588</v>
      </c>
      <c r="D550" t="s">
        <v>6184</v>
      </c>
      <c r="E550" s="2">
        <v>3</v>
      </c>
      <c r="F550" s="2"/>
      <c r="G550" s="2"/>
      <c r="H550" s="2"/>
    </row>
    <row r="551" spans="1:8" x14ac:dyDescent="0.35">
      <c r="A551" s="2" t="s">
        <v>3593</v>
      </c>
      <c r="B551" s="3">
        <v>44232</v>
      </c>
      <c r="C551" s="2" t="s">
        <v>3594</v>
      </c>
      <c r="D551" t="s">
        <v>6184</v>
      </c>
      <c r="E551" s="2">
        <v>4</v>
      </c>
      <c r="F551" s="2"/>
      <c r="G551" s="2"/>
      <c r="H551" s="2"/>
    </row>
    <row r="552" spans="1:8" x14ac:dyDescent="0.35">
      <c r="A552" s="2" t="s">
        <v>3599</v>
      </c>
      <c r="B552" s="3">
        <v>44176</v>
      </c>
      <c r="C552" s="2" t="s">
        <v>3600</v>
      </c>
      <c r="D552" t="s">
        <v>6150</v>
      </c>
      <c r="E552" s="2">
        <v>6</v>
      </c>
      <c r="F552" s="2"/>
      <c r="G552" s="2"/>
      <c r="H552" s="2"/>
    </row>
    <row r="553" spans="1:8" x14ac:dyDescent="0.35">
      <c r="A553" s="2" t="s">
        <v>3605</v>
      </c>
      <c r="B553" s="3">
        <v>44694</v>
      </c>
      <c r="C553" s="2" t="s">
        <v>3606</v>
      </c>
      <c r="D553" t="s">
        <v>6153</v>
      </c>
      <c r="E553" s="2">
        <v>2</v>
      </c>
      <c r="F553" s="2"/>
      <c r="G553" s="2"/>
      <c r="H553" s="2"/>
    </row>
    <row r="554" spans="1:8" x14ac:dyDescent="0.35">
      <c r="A554" s="2" t="s">
        <v>3611</v>
      </c>
      <c r="B554" s="3">
        <v>43761</v>
      </c>
      <c r="C554" s="2" t="s">
        <v>3612</v>
      </c>
      <c r="D554" t="s">
        <v>6184</v>
      </c>
      <c r="E554" s="2">
        <v>4</v>
      </c>
      <c r="F554" s="2"/>
      <c r="G554" s="2"/>
      <c r="H554" s="2"/>
    </row>
    <row r="555" spans="1:8" x14ac:dyDescent="0.35">
      <c r="A555" s="2" t="s">
        <v>3617</v>
      </c>
      <c r="B555" s="3">
        <v>44085</v>
      </c>
      <c r="C555" s="2" t="s">
        <v>3618</v>
      </c>
      <c r="D555" t="s">
        <v>6141</v>
      </c>
      <c r="E555" s="2">
        <v>5</v>
      </c>
      <c r="F555" s="2"/>
      <c r="G555" s="2"/>
      <c r="H555" s="2"/>
    </row>
    <row r="556" spans="1:8" x14ac:dyDescent="0.35">
      <c r="A556" s="2" t="s">
        <v>3622</v>
      </c>
      <c r="B556" s="3">
        <v>43737</v>
      </c>
      <c r="C556" s="2" t="s">
        <v>3623</v>
      </c>
      <c r="D556" t="s">
        <v>6142</v>
      </c>
      <c r="E556" s="2">
        <v>2</v>
      </c>
      <c r="F556" s="2"/>
      <c r="G556" s="2"/>
      <c r="H556" s="2"/>
    </row>
    <row r="557" spans="1:8" x14ac:dyDescent="0.35">
      <c r="A557" s="2" t="s">
        <v>3627</v>
      </c>
      <c r="B557" s="3">
        <v>44258</v>
      </c>
      <c r="C557" s="2" t="s">
        <v>3628</v>
      </c>
      <c r="D557" t="s">
        <v>6141</v>
      </c>
      <c r="E557" s="2">
        <v>6</v>
      </c>
      <c r="F557" s="2"/>
      <c r="G557" s="2"/>
      <c r="H557" s="2"/>
    </row>
    <row r="558" spans="1:8" x14ac:dyDescent="0.35">
      <c r="A558" s="2" t="s">
        <v>3633</v>
      </c>
      <c r="B558" s="3">
        <v>44523</v>
      </c>
      <c r="C558" s="2" t="s">
        <v>3634</v>
      </c>
      <c r="D558" t="s">
        <v>6159</v>
      </c>
      <c r="E558" s="2">
        <v>2</v>
      </c>
      <c r="F558" s="2"/>
      <c r="G558" s="2"/>
      <c r="H558" s="2"/>
    </row>
    <row r="559" spans="1:8" x14ac:dyDescent="0.35">
      <c r="A559" s="2" t="s">
        <v>3638</v>
      </c>
      <c r="B559" s="3">
        <v>44506</v>
      </c>
      <c r="C559" s="2" t="s">
        <v>3368</v>
      </c>
      <c r="D559" t="s">
        <v>6171</v>
      </c>
      <c r="E559" s="2">
        <v>4</v>
      </c>
      <c r="F559" s="2"/>
      <c r="G559" s="2"/>
      <c r="H559" s="2"/>
    </row>
    <row r="560" spans="1:8" x14ac:dyDescent="0.35">
      <c r="A560" s="2" t="s">
        <v>3643</v>
      </c>
      <c r="B560" s="3">
        <v>44225</v>
      </c>
      <c r="C560" s="2" t="s">
        <v>3644</v>
      </c>
      <c r="D560" t="s">
        <v>6150</v>
      </c>
      <c r="E560" s="2">
        <v>4</v>
      </c>
      <c r="F560" s="2"/>
      <c r="G560" s="2"/>
      <c r="H560" s="2"/>
    </row>
    <row r="561" spans="1:8" x14ac:dyDescent="0.35">
      <c r="A561" s="2" t="s">
        <v>3648</v>
      </c>
      <c r="B561" s="3">
        <v>44667</v>
      </c>
      <c r="C561" s="2" t="s">
        <v>3649</v>
      </c>
      <c r="D561" t="s">
        <v>6140</v>
      </c>
      <c r="E561" s="2">
        <v>3</v>
      </c>
      <c r="F561" s="2"/>
      <c r="G561" s="2"/>
      <c r="H561" s="2"/>
    </row>
    <row r="562" spans="1:8" x14ac:dyDescent="0.35">
      <c r="A562" s="2" t="s">
        <v>3654</v>
      </c>
      <c r="B562" s="3">
        <v>44401</v>
      </c>
      <c r="C562" s="2" t="s">
        <v>3655</v>
      </c>
      <c r="D562" t="s">
        <v>6166</v>
      </c>
      <c r="E562" s="2">
        <v>6</v>
      </c>
      <c r="F562" s="2"/>
      <c r="G562" s="2"/>
      <c r="H562" s="2"/>
    </row>
    <row r="563" spans="1:8" x14ac:dyDescent="0.35">
      <c r="A563" s="2" t="s">
        <v>3659</v>
      </c>
      <c r="B563" s="3">
        <v>43688</v>
      </c>
      <c r="C563" s="2" t="s">
        <v>3660</v>
      </c>
      <c r="D563" t="s">
        <v>6154</v>
      </c>
      <c r="E563" s="2">
        <v>6</v>
      </c>
      <c r="F563" s="2"/>
      <c r="G563" s="2"/>
      <c r="H563" s="2"/>
    </row>
    <row r="564" spans="1:8" x14ac:dyDescent="0.35">
      <c r="A564" s="2" t="s">
        <v>3665</v>
      </c>
      <c r="B564" s="3">
        <v>43669</v>
      </c>
      <c r="C564" s="2" t="s">
        <v>3666</v>
      </c>
      <c r="D564" t="s">
        <v>6145</v>
      </c>
      <c r="E564" s="2">
        <v>6</v>
      </c>
      <c r="F564" s="2"/>
      <c r="G564" s="2"/>
      <c r="H564" s="2"/>
    </row>
    <row r="565" spans="1:8" x14ac:dyDescent="0.35">
      <c r="A565" s="2" t="s">
        <v>3671</v>
      </c>
      <c r="B565" s="3">
        <v>43991</v>
      </c>
      <c r="C565" s="2" t="s">
        <v>3752</v>
      </c>
      <c r="D565" t="s">
        <v>6141</v>
      </c>
      <c r="E565" s="2">
        <v>6</v>
      </c>
      <c r="F565" s="2"/>
      <c r="G565" s="2"/>
      <c r="H565" s="2"/>
    </row>
    <row r="566" spans="1:8" x14ac:dyDescent="0.35">
      <c r="A566" s="2" t="s">
        <v>3677</v>
      </c>
      <c r="B566" s="3">
        <v>43883</v>
      </c>
      <c r="C566" s="2" t="s">
        <v>3678</v>
      </c>
      <c r="D566" t="s">
        <v>6173</v>
      </c>
      <c r="E566" s="2">
        <v>2</v>
      </c>
      <c r="F566" s="2"/>
      <c r="G566" s="2"/>
      <c r="H566" s="2"/>
    </row>
    <row r="567" spans="1:8" x14ac:dyDescent="0.35">
      <c r="A567" s="2" t="s">
        <v>3683</v>
      </c>
      <c r="B567" s="3">
        <v>44031</v>
      </c>
      <c r="C567" s="2" t="s">
        <v>3684</v>
      </c>
      <c r="D567" t="s">
        <v>6149</v>
      </c>
      <c r="E567" s="2">
        <v>4</v>
      </c>
      <c r="F567" s="2"/>
      <c r="G567" s="2"/>
      <c r="H567" s="2"/>
    </row>
    <row r="568" spans="1:8" x14ac:dyDescent="0.35">
      <c r="A568" s="2" t="s">
        <v>3689</v>
      </c>
      <c r="B568" s="3">
        <v>44459</v>
      </c>
      <c r="C568" s="2" t="s">
        <v>3690</v>
      </c>
      <c r="D568" t="s">
        <v>6152</v>
      </c>
      <c r="E568" s="2">
        <v>6</v>
      </c>
      <c r="F568" s="2"/>
      <c r="G568" s="2"/>
      <c r="H568" s="2"/>
    </row>
    <row r="569" spans="1:8" x14ac:dyDescent="0.35">
      <c r="A569" s="2" t="s">
        <v>3695</v>
      </c>
      <c r="B569" s="3">
        <v>44318</v>
      </c>
      <c r="C569" s="2" t="s">
        <v>3696</v>
      </c>
      <c r="D569" t="s">
        <v>6142</v>
      </c>
      <c r="E569" s="2">
        <v>6</v>
      </c>
      <c r="F569" s="2"/>
      <c r="G569" s="2"/>
      <c r="H569" s="2"/>
    </row>
    <row r="570" spans="1:8" x14ac:dyDescent="0.35">
      <c r="A570" s="2" t="s">
        <v>3700</v>
      </c>
      <c r="B570" s="3">
        <v>44526</v>
      </c>
      <c r="C570" s="2" t="s">
        <v>3701</v>
      </c>
      <c r="D570" t="s">
        <v>6145</v>
      </c>
      <c r="E570" s="2">
        <v>4</v>
      </c>
      <c r="F570" s="2"/>
      <c r="G570" s="2"/>
      <c r="H570" s="2"/>
    </row>
    <row r="571" spans="1:8" x14ac:dyDescent="0.35">
      <c r="A571" s="2" t="s">
        <v>3706</v>
      </c>
      <c r="B571" s="3">
        <v>43879</v>
      </c>
      <c r="C571" s="2" t="s">
        <v>3752</v>
      </c>
      <c r="D571" t="s">
        <v>6168</v>
      </c>
      <c r="E571" s="2">
        <v>6</v>
      </c>
      <c r="F571" s="2"/>
      <c r="G571" s="2"/>
      <c r="H571" s="2"/>
    </row>
    <row r="572" spans="1:8" x14ac:dyDescent="0.35">
      <c r="A572" s="2" t="s">
        <v>3712</v>
      </c>
      <c r="B572" s="3">
        <v>43928</v>
      </c>
      <c r="C572" s="2" t="s">
        <v>3713</v>
      </c>
      <c r="D572" t="s">
        <v>6157</v>
      </c>
      <c r="E572" s="2">
        <v>4</v>
      </c>
      <c r="F572" s="2"/>
      <c r="G572" s="2"/>
      <c r="H572" s="2"/>
    </row>
    <row r="573" spans="1:8" x14ac:dyDescent="0.35">
      <c r="A573" s="2" t="s">
        <v>3718</v>
      </c>
      <c r="B573" s="3">
        <v>44592</v>
      </c>
      <c r="C573" s="2" t="s">
        <v>3719</v>
      </c>
      <c r="D573" t="s">
        <v>6176</v>
      </c>
      <c r="E573" s="2">
        <v>4</v>
      </c>
      <c r="F573" s="2"/>
      <c r="G573" s="2"/>
      <c r="H573" s="2"/>
    </row>
    <row r="574" spans="1:8" x14ac:dyDescent="0.35">
      <c r="A574" s="2" t="s">
        <v>3724</v>
      </c>
      <c r="B574" s="3">
        <v>43515</v>
      </c>
      <c r="C574" s="2" t="s">
        <v>3725</v>
      </c>
      <c r="D574" t="s">
        <v>6154</v>
      </c>
      <c r="E574" s="2">
        <v>2</v>
      </c>
      <c r="F574" s="2"/>
      <c r="G574" s="2"/>
      <c r="H574" s="2"/>
    </row>
    <row r="575" spans="1:8" x14ac:dyDescent="0.35">
      <c r="A575" s="2" t="s">
        <v>3728</v>
      </c>
      <c r="B575" s="3">
        <v>43781</v>
      </c>
      <c r="C575" s="2" t="s">
        <v>3729</v>
      </c>
      <c r="D575" t="s">
        <v>6155</v>
      </c>
      <c r="E575" s="2">
        <v>6</v>
      </c>
      <c r="F575" s="2"/>
      <c r="G575" s="2"/>
      <c r="H575" s="2"/>
    </row>
    <row r="576" spans="1:8" x14ac:dyDescent="0.35">
      <c r="A576" s="2" t="s">
        <v>3734</v>
      </c>
      <c r="B576" s="3">
        <v>44697</v>
      </c>
      <c r="C576" s="2" t="s">
        <v>3735</v>
      </c>
      <c r="D576" t="s">
        <v>6178</v>
      </c>
      <c r="E576" s="2">
        <v>6</v>
      </c>
      <c r="F576" s="2"/>
      <c r="G576" s="2"/>
      <c r="H576" s="2"/>
    </row>
    <row r="577" spans="1:8" x14ac:dyDescent="0.35">
      <c r="A577" s="2" t="s">
        <v>3739</v>
      </c>
      <c r="B577" s="3">
        <v>44239</v>
      </c>
      <c r="C577" s="2" t="s">
        <v>3740</v>
      </c>
      <c r="D577" t="s">
        <v>6181</v>
      </c>
      <c r="E577" s="2">
        <v>2</v>
      </c>
      <c r="F577" s="2"/>
      <c r="G577" s="2"/>
      <c r="H577" s="2"/>
    </row>
    <row r="578" spans="1:8" x14ac:dyDescent="0.35">
      <c r="A578" s="2" t="s">
        <v>3745</v>
      </c>
      <c r="B578" s="3">
        <v>44290</v>
      </c>
      <c r="C578" s="2" t="s">
        <v>3746</v>
      </c>
      <c r="D578" t="s">
        <v>6154</v>
      </c>
      <c r="E578" s="2">
        <v>6</v>
      </c>
      <c r="F578" s="2"/>
      <c r="G578" s="2"/>
      <c r="H578" s="2"/>
    </row>
    <row r="579" spans="1:8" x14ac:dyDescent="0.35">
      <c r="A579" s="2" t="s">
        <v>3751</v>
      </c>
      <c r="B579" s="3">
        <v>44410</v>
      </c>
      <c r="C579" s="2" t="s">
        <v>3752</v>
      </c>
      <c r="D579" t="s">
        <v>6162</v>
      </c>
      <c r="E579" s="2">
        <v>4</v>
      </c>
      <c r="F579" s="2"/>
      <c r="G579" s="2"/>
      <c r="H579" s="2"/>
    </row>
    <row r="580" spans="1:8" x14ac:dyDescent="0.35">
      <c r="A580" s="2" t="s">
        <v>3756</v>
      </c>
      <c r="B580" s="3">
        <v>44720</v>
      </c>
      <c r="C580" s="2" t="s">
        <v>3757</v>
      </c>
      <c r="D580" t="s">
        <v>6184</v>
      </c>
      <c r="E580" s="2">
        <v>3</v>
      </c>
      <c r="F580" s="2"/>
      <c r="G580" s="2"/>
      <c r="H580" s="2"/>
    </row>
    <row r="581" spans="1:8" x14ac:dyDescent="0.35">
      <c r="A581" s="2" t="s">
        <v>3756</v>
      </c>
      <c r="B581" s="3">
        <v>44720</v>
      </c>
      <c r="C581" s="2" t="s">
        <v>3757</v>
      </c>
      <c r="D581" t="s">
        <v>6157</v>
      </c>
      <c r="E581" s="2">
        <v>5</v>
      </c>
      <c r="F581" s="2"/>
      <c r="G581" s="2"/>
      <c r="H581" s="2"/>
    </row>
    <row r="582" spans="1:8" x14ac:dyDescent="0.35">
      <c r="A582" s="2" t="s">
        <v>3767</v>
      </c>
      <c r="B582" s="3">
        <v>43965</v>
      </c>
      <c r="C582" s="2" t="s">
        <v>3768</v>
      </c>
      <c r="D582" t="s">
        <v>6171</v>
      </c>
      <c r="E582" s="2">
        <v>3</v>
      </c>
      <c r="F582" s="2"/>
      <c r="G582" s="2"/>
      <c r="H582" s="2"/>
    </row>
    <row r="583" spans="1:8" x14ac:dyDescent="0.35">
      <c r="A583" s="2" t="s">
        <v>3773</v>
      </c>
      <c r="B583" s="3">
        <v>44190</v>
      </c>
      <c r="C583" s="2" t="s">
        <v>3774</v>
      </c>
      <c r="D583" t="s">
        <v>6176</v>
      </c>
      <c r="E583" s="2">
        <v>5</v>
      </c>
      <c r="F583" s="2"/>
      <c r="G583" s="2"/>
      <c r="H583" s="2"/>
    </row>
    <row r="584" spans="1:8" x14ac:dyDescent="0.35">
      <c r="A584" s="2" t="s">
        <v>3778</v>
      </c>
      <c r="B584" s="3">
        <v>44382</v>
      </c>
      <c r="C584" s="2" t="s">
        <v>3779</v>
      </c>
      <c r="D584" t="s">
        <v>6183</v>
      </c>
      <c r="E584" s="2">
        <v>5</v>
      </c>
      <c r="F584" s="2"/>
      <c r="G584" s="2"/>
      <c r="H584" s="2"/>
    </row>
    <row r="585" spans="1:8" x14ac:dyDescent="0.35">
      <c r="A585" s="2" t="s">
        <v>3784</v>
      </c>
      <c r="B585" s="3">
        <v>43538</v>
      </c>
      <c r="C585" s="2" t="s">
        <v>3785</v>
      </c>
      <c r="D585" t="s">
        <v>6178</v>
      </c>
      <c r="E585" s="2">
        <v>1</v>
      </c>
      <c r="F585" s="2"/>
      <c r="G585" s="2"/>
      <c r="H585" s="2"/>
    </row>
    <row r="586" spans="1:8" x14ac:dyDescent="0.35">
      <c r="A586" s="2" t="s">
        <v>3790</v>
      </c>
      <c r="B586" s="3">
        <v>44262</v>
      </c>
      <c r="C586" s="2" t="s">
        <v>3791</v>
      </c>
      <c r="D586" t="s">
        <v>6178</v>
      </c>
      <c r="E586" s="2">
        <v>6</v>
      </c>
      <c r="F586" s="2"/>
      <c r="G586" s="2"/>
      <c r="H586" s="2"/>
    </row>
    <row r="587" spans="1:8" x14ac:dyDescent="0.35">
      <c r="A587" s="2" t="s">
        <v>3796</v>
      </c>
      <c r="B587" s="3">
        <v>44505</v>
      </c>
      <c r="C587" s="2" t="s">
        <v>3840</v>
      </c>
      <c r="D587" t="s">
        <v>6139</v>
      </c>
      <c r="E587" s="2">
        <v>2</v>
      </c>
      <c r="F587" s="2"/>
      <c r="G587" s="2"/>
      <c r="H587" s="2"/>
    </row>
    <row r="588" spans="1:8" x14ac:dyDescent="0.35">
      <c r="A588" s="2" t="s">
        <v>3802</v>
      </c>
      <c r="B588" s="3">
        <v>43867</v>
      </c>
      <c r="C588" s="2" t="s">
        <v>3803</v>
      </c>
      <c r="D588" t="s">
        <v>6142</v>
      </c>
      <c r="E588" s="2">
        <v>3</v>
      </c>
      <c r="F588" s="2"/>
      <c r="G588" s="2"/>
      <c r="H588" s="2"/>
    </row>
    <row r="589" spans="1:8" x14ac:dyDescent="0.35">
      <c r="A589" s="2" t="s">
        <v>3807</v>
      </c>
      <c r="B589" s="3">
        <v>44267</v>
      </c>
      <c r="C589" s="2" t="s">
        <v>3808</v>
      </c>
      <c r="D589" t="s">
        <v>6169</v>
      </c>
      <c r="E589" s="2">
        <v>1</v>
      </c>
      <c r="F589" s="2"/>
      <c r="G589" s="2"/>
      <c r="H589" s="2"/>
    </row>
    <row r="590" spans="1:8" x14ac:dyDescent="0.35">
      <c r="A590" s="2" t="s">
        <v>3812</v>
      </c>
      <c r="B590" s="3">
        <v>44046</v>
      </c>
      <c r="C590" s="2" t="s">
        <v>3813</v>
      </c>
      <c r="D590" t="s">
        <v>6146</v>
      </c>
      <c r="E590" s="2">
        <v>2</v>
      </c>
      <c r="F590" s="2"/>
      <c r="G590" s="2"/>
      <c r="H590" s="2"/>
    </row>
    <row r="591" spans="1:8" x14ac:dyDescent="0.35">
      <c r="A591" s="2" t="s">
        <v>3818</v>
      </c>
      <c r="B591" s="3">
        <v>43671</v>
      </c>
      <c r="C591" s="2" t="s">
        <v>3819</v>
      </c>
      <c r="D591" t="s">
        <v>6148</v>
      </c>
      <c r="E591" s="2">
        <v>6</v>
      </c>
      <c r="F591" s="2"/>
      <c r="G591" s="2"/>
      <c r="H591" s="2"/>
    </row>
    <row r="592" spans="1:8" x14ac:dyDescent="0.35">
      <c r="A592" s="2" t="s">
        <v>3823</v>
      </c>
      <c r="B592" s="3">
        <v>43950</v>
      </c>
      <c r="C592" s="2" t="s">
        <v>3824</v>
      </c>
      <c r="D592" t="s">
        <v>6166</v>
      </c>
      <c r="E592" s="2">
        <v>2</v>
      </c>
      <c r="F592" s="2"/>
      <c r="G592" s="2"/>
      <c r="H592" s="2"/>
    </row>
    <row r="593" spans="1:8" x14ac:dyDescent="0.35">
      <c r="A593" s="2" t="s">
        <v>3829</v>
      </c>
      <c r="B593" s="3">
        <v>43587</v>
      </c>
      <c r="C593" s="2" t="s">
        <v>3830</v>
      </c>
      <c r="D593" t="s">
        <v>6163</v>
      </c>
      <c r="E593" s="2">
        <v>3</v>
      </c>
      <c r="F593" s="2"/>
      <c r="G593" s="2"/>
      <c r="H593" s="2"/>
    </row>
    <row r="594" spans="1:8" x14ac:dyDescent="0.35">
      <c r="A594" s="2" t="s">
        <v>3834</v>
      </c>
      <c r="B594" s="3">
        <v>44437</v>
      </c>
      <c r="C594" s="2" t="s">
        <v>3835</v>
      </c>
      <c r="D594" t="s">
        <v>6175</v>
      </c>
      <c r="E594" s="2">
        <v>2</v>
      </c>
      <c r="F594" s="2"/>
      <c r="G594" s="2"/>
      <c r="H594" s="2"/>
    </row>
    <row r="595" spans="1:8" x14ac:dyDescent="0.35">
      <c r="A595" s="2" t="s">
        <v>3839</v>
      </c>
      <c r="B595" s="3">
        <v>43903</v>
      </c>
      <c r="C595" s="2" t="s">
        <v>3840</v>
      </c>
      <c r="D595" t="s">
        <v>6185</v>
      </c>
      <c r="E595" s="2">
        <v>1</v>
      </c>
      <c r="F595" s="2"/>
      <c r="G595" s="2"/>
      <c r="H595" s="2"/>
    </row>
    <row r="596" spans="1:8" x14ac:dyDescent="0.35">
      <c r="A596" s="2" t="s">
        <v>3844</v>
      </c>
      <c r="B596" s="3">
        <v>43512</v>
      </c>
      <c r="C596" s="2" t="s">
        <v>3845</v>
      </c>
      <c r="D596" t="s">
        <v>6182</v>
      </c>
      <c r="E596" s="2">
        <v>2</v>
      </c>
      <c r="F596" s="2"/>
      <c r="G596" s="2"/>
      <c r="H596" s="2"/>
    </row>
    <row r="597" spans="1:8" x14ac:dyDescent="0.35">
      <c r="A597" s="2" t="s">
        <v>3850</v>
      </c>
      <c r="B597" s="3">
        <v>44527</v>
      </c>
      <c r="C597" s="2" t="s">
        <v>3851</v>
      </c>
      <c r="D597" t="s">
        <v>6171</v>
      </c>
      <c r="E597" s="2">
        <v>1</v>
      </c>
      <c r="F597" s="2"/>
      <c r="G597" s="2"/>
      <c r="H597" s="2"/>
    </row>
    <row r="598" spans="1:8" x14ac:dyDescent="0.35">
      <c r="A598" s="2" t="s">
        <v>3854</v>
      </c>
      <c r="B598" s="3">
        <v>44523</v>
      </c>
      <c r="C598" s="2" t="s">
        <v>3855</v>
      </c>
      <c r="D598" t="s">
        <v>6157</v>
      </c>
      <c r="E598" s="2">
        <v>5</v>
      </c>
      <c r="F598" s="2"/>
      <c r="G598" s="2"/>
      <c r="H598" s="2"/>
    </row>
    <row r="599" spans="1:8" x14ac:dyDescent="0.35">
      <c r="A599" s="2" t="s">
        <v>3860</v>
      </c>
      <c r="B599" s="3">
        <v>44532</v>
      </c>
      <c r="C599" s="2" t="s">
        <v>3861</v>
      </c>
      <c r="D599" t="s">
        <v>6164</v>
      </c>
      <c r="E599" s="2">
        <v>4</v>
      </c>
      <c r="F599" s="2"/>
      <c r="G599" s="2"/>
      <c r="H599" s="2"/>
    </row>
    <row r="600" spans="1:8" x14ac:dyDescent="0.35">
      <c r="A600" s="2" t="s">
        <v>3866</v>
      </c>
      <c r="B600" s="3">
        <v>43471</v>
      </c>
      <c r="C600" s="2" t="s">
        <v>3867</v>
      </c>
      <c r="D600" t="s">
        <v>6174</v>
      </c>
      <c r="E600" s="2">
        <v>4</v>
      </c>
      <c r="F600" s="2"/>
      <c r="G600" s="2"/>
      <c r="H600" s="2"/>
    </row>
    <row r="601" spans="1:8" x14ac:dyDescent="0.35">
      <c r="A601" s="2" t="s">
        <v>3872</v>
      </c>
      <c r="B601" s="3">
        <v>44321</v>
      </c>
      <c r="C601" s="2" t="s">
        <v>3873</v>
      </c>
      <c r="D601" t="s">
        <v>6154</v>
      </c>
      <c r="E601" s="2">
        <v>4</v>
      </c>
      <c r="F601" s="2"/>
      <c r="G601" s="2"/>
      <c r="H601" s="2"/>
    </row>
    <row r="602" spans="1:8" x14ac:dyDescent="0.35">
      <c r="A602" s="2" t="s">
        <v>3877</v>
      </c>
      <c r="B602" s="3">
        <v>44492</v>
      </c>
      <c r="C602" s="2" t="s">
        <v>3878</v>
      </c>
      <c r="D602" t="s">
        <v>6169</v>
      </c>
      <c r="E602" s="2">
        <v>1</v>
      </c>
      <c r="F602" s="2"/>
      <c r="G602" s="2"/>
      <c r="H602" s="2"/>
    </row>
    <row r="603" spans="1:8" x14ac:dyDescent="0.35">
      <c r="A603" s="2" t="s">
        <v>3883</v>
      </c>
      <c r="B603" s="3">
        <v>43815</v>
      </c>
      <c r="C603" s="2" t="s">
        <v>3884</v>
      </c>
      <c r="D603" t="s">
        <v>6142</v>
      </c>
      <c r="E603" s="2">
        <v>4</v>
      </c>
      <c r="F603" s="2"/>
      <c r="G603" s="2"/>
      <c r="H603" s="2"/>
    </row>
    <row r="604" spans="1:8" x14ac:dyDescent="0.35">
      <c r="A604" s="2" t="s">
        <v>3889</v>
      </c>
      <c r="B604" s="3">
        <v>43603</v>
      </c>
      <c r="C604" s="2" t="s">
        <v>3890</v>
      </c>
      <c r="D604" t="s">
        <v>6184</v>
      </c>
      <c r="E604" s="2">
        <v>5</v>
      </c>
      <c r="F604" s="2"/>
      <c r="G604" s="2"/>
      <c r="H604" s="2"/>
    </row>
    <row r="605" spans="1:8" x14ac:dyDescent="0.35">
      <c r="A605" s="2" t="s">
        <v>3895</v>
      </c>
      <c r="B605" s="3">
        <v>43660</v>
      </c>
      <c r="C605" s="2" t="s">
        <v>3896</v>
      </c>
      <c r="D605" t="s">
        <v>6174</v>
      </c>
      <c r="E605" s="2">
        <v>3</v>
      </c>
      <c r="F605" s="2"/>
      <c r="G605" s="2"/>
      <c r="H605" s="2"/>
    </row>
    <row r="606" spans="1:8" x14ac:dyDescent="0.35">
      <c r="A606" s="2" t="s">
        <v>3900</v>
      </c>
      <c r="B606" s="3">
        <v>44148</v>
      </c>
      <c r="C606" s="2" t="s">
        <v>3901</v>
      </c>
      <c r="D606" t="s">
        <v>6165</v>
      </c>
      <c r="E606" s="2">
        <v>4</v>
      </c>
      <c r="F606" s="2"/>
      <c r="G606" s="2"/>
      <c r="H606" s="2"/>
    </row>
    <row r="607" spans="1:8" x14ac:dyDescent="0.35">
      <c r="A607" s="2" t="s">
        <v>3905</v>
      </c>
      <c r="B607" s="3">
        <v>44028</v>
      </c>
      <c r="C607" s="2" t="s">
        <v>3906</v>
      </c>
      <c r="D607" t="s">
        <v>6182</v>
      </c>
      <c r="E607" s="2">
        <v>5</v>
      </c>
      <c r="F607" s="2"/>
      <c r="G607" s="2"/>
      <c r="H607" s="2"/>
    </row>
    <row r="608" spans="1:8" x14ac:dyDescent="0.35">
      <c r="A608" s="2" t="s">
        <v>3911</v>
      </c>
      <c r="B608" s="3">
        <v>44138</v>
      </c>
      <c r="C608" s="2" t="s">
        <v>3840</v>
      </c>
      <c r="D608" t="s">
        <v>6164</v>
      </c>
      <c r="E608" s="2">
        <v>3</v>
      </c>
      <c r="F608" s="2"/>
      <c r="G608" s="2"/>
      <c r="H608" s="2"/>
    </row>
    <row r="609" spans="1:8" x14ac:dyDescent="0.35">
      <c r="A609" s="2" t="s">
        <v>3917</v>
      </c>
      <c r="B609" s="3">
        <v>44640</v>
      </c>
      <c r="C609" s="2" t="s">
        <v>3918</v>
      </c>
      <c r="D609" t="s">
        <v>6153</v>
      </c>
      <c r="E609" s="2">
        <v>1</v>
      </c>
      <c r="F609" s="2"/>
      <c r="G609" s="2"/>
      <c r="H609" s="2"/>
    </row>
    <row r="610" spans="1:8" x14ac:dyDescent="0.35">
      <c r="A610" s="2" t="s">
        <v>3923</v>
      </c>
      <c r="B610" s="3">
        <v>44608</v>
      </c>
      <c r="C610" s="2" t="s">
        <v>3924</v>
      </c>
      <c r="D610" t="s">
        <v>6185</v>
      </c>
      <c r="E610" s="2">
        <v>2</v>
      </c>
      <c r="F610" s="2"/>
      <c r="G610" s="2"/>
      <c r="H610" s="2"/>
    </row>
    <row r="611" spans="1:8" x14ac:dyDescent="0.35">
      <c r="A611" s="2" t="s">
        <v>3927</v>
      </c>
      <c r="B611" s="3">
        <v>44147</v>
      </c>
      <c r="C611" s="2" t="s">
        <v>3928</v>
      </c>
      <c r="D611" t="s">
        <v>6159</v>
      </c>
      <c r="E611" s="2">
        <v>6</v>
      </c>
      <c r="F611" s="2"/>
      <c r="G611" s="2"/>
      <c r="H611" s="2"/>
    </row>
    <row r="612" spans="1:8" x14ac:dyDescent="0.35">
      <c r="A612" s="2" t="s">
        <v>3933</v>
      </c>
      <c r="B612" s="3">
        <v>43743</v>
      </c>
      <c r="C612" s="2" t="s">
        <v>3934</v>
      </c>
      <c r="D612" t="s">
        <v>6138</v>
      </c>
      <c r="E612" s="2">
        <v>4</v>
      </c>
      <c r="F612" s="2"/>
      <c r="G612" s="2"/>
      <c r="H612" s="2"/>
    </row>
    <row r="613" spans="1:8" x14ac:dyDescent="0.35">
      <c r="A613" s="2" t="s">
        <v>3939</v>
      </c>
      <c r="B613" s="3">
        <v>43739</v>
      </c>
      <c r="C613" s="2" t="s">
        <v>3940</v>
      </c>
      <c r="D613" t="s">
        <v>6148</v>
      </c>
      <c r="E613" s="2">
        <v>2</v>
      </c>
      <c r="F613" s="2"/>
      <c r="G613" s="2"/>
      <c r="H613" s="2"/>
    </row>
    <row r="614" spans="1:8" x14ac:dyDescent="0.35">
      <c r="A614" s="2" t="s">
        <v>3945</v>
      </c>
      <c r="B614" s="3">
        <v>43896</v>
      </c>
      <c r="C614" s="2" t="s">
        <v>3946</v>
      </c>
      <c r="D614" t="s">
        <v>6152</v>
      </c>
      <c r="E614" s="2">
        <v>4</v>
      </c>
      <c r="F614" s="2"/>
      <c r="G614" s="2"/>
      <c r="H614" s="2"/>
    </row>
    <row r="615" spans="1:8" x14ac:dyDescent="0.35">
      <c r="A615" s="2" t="s">
        <v>3950</v>
      </c>
      <c r="B615" s="3">
        <v>43761</v>
      </c>
      <c r="C615" s="2" t="s">
        <v>3951</v>
      </c>
      <c r="D615" t="s">
        <v>6146</v>
      </c>
      <c r="E615" s="2">
        <v>1</v>
      </c>
      <c r="F615" s="2"/>
      <c r="G615" s="2"/>
      <c r="H615" s="2"/>
    </row>
    <row r="616" spans="1:8" x14ac:dyDescent="0.35">
      <c r="A616" s="2" t="s">
        <v>3955</v>
      </c>
      <c r="B616" s="3">
        <v>43944</v>
      </c>
      <c r="C616" s="2" t="s">
        <v>3840</v>
      </c>
      <c r="D616" t="s">
        <v>6146</v>
      </c>
      <c r="E616" s="2">
        <v>5</v>
      </c>
      <c r="F616" s="2"/>
      <c r="G616" s="2"/>
      <c r="H616" s="2"/>
    </row>
    <row r="617" spans="1:8" x14ac:dyDescent="0.35">
      <c r="A617" s="2" t="s">
        <v>3960</v>
      </c>
      <c r="B617" s="3">
        <v>44006</v>
      </c>
      <c r="C617" s="2" t="s">
        <v>3961</v>
      </c>
      <c r="D617" t="s">
        <v>6164</v>
      </c>
      <c r="E617" s="2">
        <v>2</v>
      </c>
      <c r="F617" s="2"/>
      <c r="G617" s="2"/>
      <c r="H617" s="2"/>
    </row>
    <row r="618" spans="1:8" x14ac:dyDescent="0.35">
      <c r="A618" s="2" t="s">
        <v>3966</v>
      </c>
      <c r="B618" s="3">
        <v>44271</v>
      </c>
      <c r="C618" s="2" t="s">
        <v>3967</v>
      </c>
      <c r="D618" t="s">
        <v>6166</v>
      </c>
      <c r="E618" s="2">
        <v>4</v>
      </c>
      <c r="F618" s="2"/>
      <c r="G618" s="2"/>
      <c r="H618" s="2"/>
    </row>
    <row r="619" spans="1:8" x14ac:dyDescent="0.35">
      <c r="A619" s="2" t="s">
        <v>3972</v>
      </c>
      <c r="B619" s="3">
        <v>43928</v>
      </c>
      <c r="C619" s="2" t="s">
        <v>3973</v>
      </c>
      <c r="D619" t="s">
        <v>6181</v>
      </c>
      <c r="E619" s="2">
        <v>1</v>
      </c>
      <c r="F619" s="2"/>
      <c r="G619" s="2"/>
      <c r="H619" s="2"/>
    </row>
    <row r="620" spans="1:8" x14ac:dyDescent="0.35">
      <c r="A620" s="2" t="s">
        <v>3978</v>
      </c>
      <c r="B620" s="3">
        <v>44469</v>
      </c>
      <c r="C620" s="2" t="s">
        <v>3979</v>
      </c>
      <c r="D620" t="s">
        <v>6183</v>
      </c>
      <c r="E620" s="2">
        <v>6</v>
      </c>
      <c r="F620" s="2"/>
      <c r="G620" s="2"/>
      <c r="H620" s="2"/>
    </row>
    <row r="621" spans="1:8" x14ac:dyDescent="0.35">
      <c r="A621" s="2" t="s">
        <v>3984</v>
      </c>
      <c r="B621" s="3">
        <v>44682</v>
      </c>
      <c r="C621" s="2" t="s">
        <v>3985</v>
      </c>
      <c r="D621" t="s">
        <v>6169</v>
      </c>
      <c r="E621" s="2">
        <v>2</v>
      </c>
      <c r="F621" s="2"/>
      <c r="G621" s="2"/>
      <c r="H621" s="2"/>
    </row>
    <row r="622" spans="1:8" x14ac:dyDescent="0.35">
      <c r="A622" s="2" t="s">
        <v>3990</v>
      </c>
      <c r="B622" s="3">
        <v>44217</v>
      </c>
      <c r="C622" s="2" t="s">
        <v>4042</v>
      </c>
      <c r="D622" t="s">
        <v>6152</v>
      </c>
      <c r="E622" s="2">
        <v>6</v>
      </c>
      <c r="F622" s="2"/>
      <c r="G622" s="2"/>
      <c r="H622" s="2"/>
    </row>
    <row r="623" spans="1:8" x14ac:dyDescent="0.35">
      <c r="A623" s="2" t="s">
        <v>3996</v>
      </c>
      <c r="B623" s="3">
        <v>44006</v>
      </c>
      <c r="C623" s="2" t="s">
        <v>3997</v>
      </c>
      <c r="D623" t="s">
        <v>6140</v>
      </c>
      <c r="E623" s="2">
        <v>6</v>
      </c>
      <c r="F623" s="2"/>
      <c r="G623" s="2"/>
      <c r="H623" s="2"/>
    </row>
    <row r="624" spans="1:8" x14ac:dyDescent="0.35">
      <c r="A624" s="2" t="s">
        <v>4002</v>
      </c>
      <c r="B624" s="3">
        <v>43527</v>
      </c>
      <c r="C624" s="2" t="s">
        <v>4003</v>
      </c>
      <c r="D624" t="s">
        <v>6181</v>
      </c>
      <c r="E624" s="2">
        <v>4</v>
      </c>
      <c r="F624" s="2"/>
      <c r="G624" s="2"/>
      <c r="H624" s="2"/>
    </row>
    <row r="625" spans="1:8" x14ac:dyDescent="0.35">
      <c r="A625" s="2" t="s">
        <v>4007</v>
      </c>
      <c r="B625" s="3">
        <v>44224</v>
      </c>
      <c r="C625" s="2" t="s">
        <v>4008</v>
      </c>
      <c r="D625" t="s">
        <v>6183</v>
      </c>
      <c r="E625" s="2">
        <v>1</v>
      </c>
      <c r="F625" s="2"/>
      <c r="G625" s="2"/>
      <c r="H625" s="2"/>
    </row>
    <row r="626" spans="1:8" x14ac:dyDescent="0.35">
      <c r="A626" s="2" t="s">
        <v>4012</v>
      </c>
      <c r="B626" s="3">
        <v>44010</v>
      </c>
      <c r="C626" s="2" t="s">
        <v>4013</v>
      </c>
      <c r="D626" t="s">
        <v>6166</v>
      </c>
      <c r="E626" s="2">
        <v>2</v>
      </c>
      <c r="F626" s="2"/>
      <c r="G626" s="2"/>
      <c r="H626" s="2"/>
    </row>
    <row r="627" spans="1:8" x14ac:dyDescent="0.35">
      <c r="A627" s="2" t="s">
        <v>4017</v>
      </c>
      <c r="B627" s="3">
        <v>44017</v>
      </c>
      <c r="C627" s="2" t="s">
        <v>4018</v>
      </c>
      <c r="D627" t="s">
        <v>6173</v>
      </c>
      <c r="E627" s="2">
        <v>5</v>
      </c>
      <c r="F627" s="2"/>
      <c r="G627" s="2"/>
      <c r="H627" s="2"/>
    </row>
    <row r="628" spans="1:8" x14ac:dyDescent="0.35">
      <c r="A628" s="2" t="s">
        <v>4023</v>
      </c>
      <c r="B628" s="3">
        <v>43526</v>
      </c>
      <c r="C628" s="2" t="s">
        <v>4024</v>
      </c>
      <c r="D628" t="s">
        <v>6175</v>
      </c>
      <c r="E628" s="2">
        <v>3</v>
      </c>
      <c r="F628" s="2"/>
      <c r="G628" s="2"/>
      <c r="H628" s="2"/>
    </row>
    <row r="629" spans="1:8" x14ac:dyDescent="0.35">
      <c r="A629" s="2" t="s">
        <v>4029</v>
      </c>
      <c r="B629" s="3">
        <v>44682</v>
      </c>
      <c r="C629" s="2" t="s">
        <v>4030</v>
      </c>
      <c r="D629" t="s">
        <v>6166</v>
      </c>
      <c r="E629" s="2">
        <v>2</v>
      </c>
      <c r="F629" s="2"/>
      <c r="G629" s="2"/>
      <c r="H629" s="2"/>
    </row>
    <row r="630" spans="1:8" x14ac:dyDescent="0.35">
      <c r="A630" s="2" t="s">
        <v>4035</v>
      </c>
      <c r="B630" s="3">
        <v>44680</v>
      </c>
      <c r="C630" s="2" t="s">
        <v>4036</v>
      </c>
      <c r="D630" t="s">
        <v>6184</v>
      </c>
      <c r="E630" s="2">
        <v>6</v>
      </c>
      <c r="F630" s="2"/>
      <c r="G630" s="2"/>
      <c r="H630" s="2"/>
    </row>
    <row r="631" spans="1:8" x14ac:dyDescent="0.35">
      <c r="A631" s="2" t="s">
        <v>4035</v>
      </c>
      <c r="B631" s="3">
        <v>44680</v>
      </c>
      <c r="C631" s="2" t="s">
        <v>4036</v>
      </c>
      <c r="D631" t="s">
        <v>6169</v>
      </c>
      <c r="E631" s="2">
        <v>4</v>
      </c>
      <c r="F631" s="2"/>
      <c r="G631" s="2"/>
      <c r="H631" s="2"/>
    </row>
    <row r="632" spans="1:8" x14ac:dyDescent="0.35">
      <c r="A632" s="2" t="s">
        <v>4035</v>
      </c>
      <c r="B632" s="3">
        <v>44680</v>
      </c>
      <c r="C632" s="2" t="s">
        <v>4036</v>
      </c>
      <c r="D632" t="s">
        <v>6154</v>
      </c>
      <c r="E632" s="2">
        <v>1</v>
      </c>
      <c r="F632" s="2"/>
      <c r="G632" s="2"/>
      <c r="H632" s="2"/>
    </row>
    <row r="633" spans="1:8" x14ac:dyDescent="0.35">
      <c r="A633" s="2" t="s">
        <v>4035</v>
      </c>
      <c r="B633" s="3">
        <v>44680</v>
      </c>
      <c r="C633" s="2" t="s">
        <v>4036</v>
      </c>
      <c r="D633" t="s">
        <v>6149</v>
      </c>
      <c r="E633" s="2">
        <v>5</v>
      </c>
      <c r="F633" s="2"/>
      <c r="G633" s="2"/>
      <c r="H633" s="2"/>
    </row>
    <row r="634" spans="1:8" x14ac:dyDescent="0.35">
      <c r="A634" s="2" t="s">
        <v>4056</v>
      </c>
      <c r="B634" s="3">
        <v>44049</v>
      </c>
      <c r="C634" s="2" t="s">
        <v>4057</v>
      </c>
      <c r="D634" t="s">
        <v>6176</v>
      </c>
      <c r="E634" s="2">
        <v>4</v>
      </c>
      <c r="F634" s="2"/>
      <c r="G634" s="2"/>
      <c r="H634" s="2"/>
    </row>
    <row r="635" spans="1:8" x14ac:dyDescent="0.35">
      <c r="A635" s="2" t="s">
        <v>4062</v>
      </c>
      <c r="B635" s="3">
        <v>43820</v>
      </c>
      <c r="C635" s="2" t="s">
        <v>4063</v>
      </c>
      <c r="D635" t="s">
        <v>6179</v>
      </c>
      <c r="E635" s="2">
        <v>4</v>
      </c>
      <c r="F635" s="2"/>
      <c r="G635" s="2"/>
      <c r="H635" s="2"/>
    </row>
    <row r="636" spans="1:8" x14ac:dyDescent="0.35">
      <c r="A636" s="2" t="s">
        <v>4068</v>
      </c>
      <c r="B636" s="3">
        <v>43940</v>
      </c>
      <c r="C636" s="2" t="s">
        <v>4069</v>
      </c>
      <c r="D636" t="s">
        <v>6162</v>
      </c>
      <c r="E636" s="2">
        <v>3</v>
      </c>
      <c r="F636" s="2"/>
      <c r="G636" s="2"/>
      <c r="H636" s="2"/>
    </row>
    <row r="637" spans="1:8" x14ac:dyDescent="0.35">
      <c r="A637" s="2" t="s">
        <v>4074</v>
      </c>
      <c r="B637" s="3">
        <v>44578</v>
      </c>
      <c r="C637" s="2" t="s">
        <v>4075</v>
      </c>
      <c r="D637" t="s">
        <v>6176</v>
      </c>
      <c r="E637" s="2">
        <v>4</v>
      </c>
      <c r="F637" s="2"/>
      <c r="G637" s="2"/>
      <c r="H637" s="2"/>
    </row>
    <row r="638" spans="1:8" x14ac:dyDescent="0.35">
      <c r="A638" s="2" t="s">
        <v>4080</v>
      </c>
      <c r="B638" s="3">
        <v>43487</v>
      </c>
      <c r="C638" s="2" t="s">
        <v>4081</v>
      </c>
      <c r="D638" t="s">
        <v>6170</v>
      </c>
      <c r="E638" s="2">
        <v>6</v>
      </c>
      <c r="F638" s="2"/>
      <c r="G638" s="2"/>
      <c r="H638" s="2"/>
    </row>
    <row r="639" spans="1:8" x14ac:dyDescent="0.35">
      <c r="A639" s="2" t="s">
        <v>4086</v>
      </c>
      <c r="B639" s="3">
        <v>43889</v>
      </c>
      <c r="C639" s="2" t="s">
        <v>4087</v>
      </c>
      <c r="D639" t="s">
        <v>6166</v>
      </c>
      <c r="E639" s="2">
        <v>1</v>
      </c>
      <c r="F639" s="2"/>
      <c r="G639" s="2"/>
      <c r="H639" s="2"/>
    </row>
    <row r="640" spans="1:8" x14ac:dyDescent="0.35">
      <c r="A640" s="2" t="s">
        <v>4093</v>
      </c>
      <c r="B640" s="3">
        <v>43684</v>
      </c>
      <c r="C640" s="2" t="s">
        <v>4094</v>
      </c>
      <c r="D640" t="s">
        <v>6175</v>
      </c>
      <c r="E640" s="2">
        <v>3</v>
      </c>
      <c r="F640" s="2"/>
      <c r="G640" s="2"/>
      <c r="H640" s="2"/>
    </row>
    <row r="641" spans="1:8" x14ac:dyDescent="0.35">
      <c r="A641" s="2" t="s">
        <v>4098</v>
      </c>
      <c r="B641" s="3">
        <v>44331</v>
      </c>
      <c r="C641" s="2" t="s">
        <v>4099</v>
      </c>
      <c r="D641" t="s">
        <v>6150</v>
      </c>
      <c r="E641" s="2">
        <v>1</v>
      </c>
      <c r="F641" s="2"/>
      <c r="G641" s="2"/>
      <c r="H641" s="2"/>
    </row>
    <row r="642" spans="1:8" x14ac:dyDescent="0.35">
      <c r="A642" s="2" t="s">
        <v>4104</v>
      </c>
      <c r="B642" s="3">
        <v>44547</v>
      </c>
      <c r="C642" s="2" t="s">
        <v>4152</v>
      </c>
      <c r="D642" t="s">
        <v>6142</v>
      </c>
      <c r="E642" s="2">
        <v>5</v>
      </c>
      <c r="F642" s="2"/>
      <c r="G642" s="2"/>
      <c r="H642" s="2"/>
    </row>
    <row r="643" spans="1:8" x14ac:dyDescent="0.35">
      <c r="A643" s="2" t="s">
        <v>4109</v>
      </c>
      <c r="B643" s="3">
        <v>44448</v>
      </c>
      <c r="C643" s="2" t="s">
        <v>4110</v>
      </c>
      <c r="D643" t="s">
        <v>6179</v>
      </c>
      <c r="E643" s="2">
        <v>3</v>
      </c>
      <c r="F643" s="2"/>
      <c r="G643" s="2"/>
      <c r="H643" s="2"/>
    </row>
    <row r="644" spans="1:8" x14ac:dyDescent="0.35">
      <c r="A644" s="2" t="s">
        <v>4115</v>
      </c>
      <c r="B644" s="3">
        <v>43880</v>
      </c>
      <c r="C644" s="2" t="s">
        <v>4116</v>
      </c>
      <c r="D644" t="s">
        <v>6156</v>
      </c>
      <c r="E644" s="2">
        <v>2</v>
      </c>
      <c r="F644" s="2"/>
      <c r="G644" s="2"/>
      <c r="H644" s="2"/>
    </row>
    <row r="645" spans="1:8" x14ac:dyDescent="0.35">
      <c r="A645" s="2" t="s">
        <v>4123</v>
      </c>
      <c r="B645" s="3">
        <v>44011</v>
      </c>
      <c r="C645" s="2" t="s">
        <v>4124</v>
      </c>
      <c r="D645" t="s">
        <v>6148</v>
      </c>
      <c r="E645" s="2">
        <v>3</v>
      </c>
      <c r="F645" s="2"/>
      <c r="G645" s="2"/>
      <c r="H645" s="2"/>
    </row>
    <row r="646" spans="1:8" x14ac:dyDescent="0.35">
      <c r="A646" s="2" t="s">
        <v>4128</v>
      </c>
      <c r="B646" s="3">
        <v>44694</v>
      </c>
      <c r="C646" s="2" t="s">
        <v>4129</v>
      </c>
      <c r="D646" t="s">
        <v>6149</v>
      </c>
      <c r="E646" s="2">
        <v>2</v>
      </c>
      <c r="F646" s="2"/>
      <c r="G646" s="2"/>
      <c r="H646" s="2"/>
    </row>
    <row r="647" spans="1:8" x14ac:dyDescent="0.35">
      <c r="A647" s="2" t="s">
        <v>4133</v>
      </c>
      <c r="B647" s="3">
        <v>44106</v>
      </c>
      <c r="C647" s="2" t="s">
        <v>4134</v>
      </c>
      <c r="D647" t="s">
        <v>6168</v>
      </c>
      <c r="E647" s="2">
        <v>3</v>
      </c>
      <c r="F647" s="2"/>
      <c r="G647" s="2"/>
      <c r="H647" s="2"/>
    </row>
    <row r="648" spans="1:8" x14ac:dyDescent="0.35">
      <c r="A648" s="2" t="s">
        <v>4139</v>
      </c>
      <c r="B648" s="3">
        <v>44532</v>
      </c>
      <c r="C648" s="2" t="s">
        <v>4140</v>
      </c>
      <c r="D648" t="s">
        <v>6147</v>
      </c>
      <c r="E648" s="2">
        <v>1</v>
      </c>
      <c r="F648" s="2"/>
      <c r="G648" s="2"/>
      <c r="H648" s="2"/>
    </row>
    <row r="649" spans="1:8" x14ac:dyDescent="0.35">
      <c r="A649" s="2" t="s">
        <v>4145</v>
      </c>
      <c r="B649" s="3">
        <v>44502</v>
      </c>
      <c r="C649" s="2" t="s">
        <v>4146</v>
      </c>
      <c r="D649" t="s">
        <v>6161</v>
      </c>
      <c r="E649" s="2">
        <v>3</v>
      </c>
      <c r="F649" s="2"/>
      <c r="G649" s="2"/>
      <c r="H649" s="2"/>
    </row>
    <row r="650" spans="1:8" x14ac:dyDescent="0.35">
      <c r="A650" s="2" t="s">
        <v>4151</v>
      </c>
      <c r="B650" s="3">
        <v>43884</v>
      </c>
      <c r="C650" s="2" t="s">
        <v>4152</v>
      </c>
      <c r="D650" t="s">
        <v>6163</v>
      </c>
      <c r="E650" s="2">
        <v>6</v>
      </c>
      <c r="F650" s="2"/>
      <c r="G650" s="2"/>
      <c r="H650" s="2"/>
    </row>
    <row r="651" spans="1:8" x14ac:dyDescent="0.35">
      <c r="A651" s="2" t="s">
        <v>4157</v>
      </c>
      <c r="B651" s="3">
        <v>44015</v>
      </c>
      <c r="C651" s="2" t="s">
        <v>4158</v>
      </c>
      <c r="D651" t="s">
        <v>6170</v>
      </c>
      <c r="E651" s="2">
        <v>6</v>
      </c>
      <c r="F651" s="2"/>
      <c r="G651" s="2"/>
      <c r="H651" s="2"/>
    </row>
    <row r="652" spans="1:8" x14ac:dyDescent="0.35">
      <c r="A652" s="2" t="s">
        <v>4163</v>
      </c>
      <c r="B652" s="3">
        <v>43507</v>
      </c>
      <c r="C652" s="2" t="s">
        <v>4164</v>
      </c>
      <c r="D652" t="s">
        <v>6172</v>
      </c>
      <c r="E652" s="2">
        <v>1</v>
      </c>
      <c r="F652" s="2"/>
      <c r="G652" s="2"/>
      <c r="H652" s="2"/>
    </row>
    <row r="653" spans="1:8" x14ac:dyDescent="0.35">
      <c r="A653" s="2" t="s">
        <v>4169</v>
      </c>
      <c r="B653" s="3">
        <v>44084</v>
      </c>
      <c r="C653" s="2" t="s">
        <v>4170</v>
      </c>
      <c r="D653" t="s">
        <v>6179</v>
      </c>
      <c r="E653" s="2">
        <v>4</v>
      </c>
      <c r="F653" s="2"/>
      <c r="G653" s="2"/>
      <c r="H653" s="2"/>
    </row>
    <row r="654" spans="1:8" x14ac:dyDescent="0.35">
      <c r="A654" s="2" t="s">
        <v>4174</v>
      </c>
      <c r="B654" s="3">
        <v>43892</v>
      </c>
      <c r="C654" s="2" t="s">
        <v>4175</v>
      </c>
      <c r="D654" t="s">
        <v>6170</v>
      </c>
      <c r="E654" s="2">
        <v>4</v>
      </c>
      <c r="F654" s="2"/>
      <c r="G654" s="2"/>
      <c r="H654" s="2"/>
    </row>
    <row r="655" spans="1:8" x14ac:dyDescent="0.35">
      <c r="A655" s="2" t="s">
        <v>4179</v>
      </c>
      <c r="B655" s="3">
        <v>44375</v>
      </c>
      <c r="C655" s="2" t="s">
        <v>4180</v>
      </c>
      <c r="D655" t="s">
        <v>6175</v>
      </c>
      <c r="E655" s="2">
        <v>4</v>
      </c>
      <c r="F655" s="2"/>
      <c r="G655" s="2"/>
      <c r="H655" s="2"/>
    </row>
    <row r="656" spans="1:8" x14ac:dyDescent="0.35">
      <c r="A656" s="2" t="s">
        <v>4185</v>
      </c>
      <c r="B656" s="3">
        <v>43476</v>
      </c>
      <c r="C656" s="2" t="s">
        <v>4186</v>
      </c>
      <c r="D656" t="s">
        <v>6168</v>
      </c>
      <c r="E656" s="2">
        <v>3</v>
      </c>
      <c r="F656" s="2"/>
      <c r="G656" s="2"/>
      <c r="H656" s="2"/>
    </row>
    <row r="657" spans="1:8" x14ac:dyDescent="0.35">
      <c r="A657" s="2" t="s">
        <v>4191</v>
      </c>
      <c r="B657" s="3">
        <v>43728</v>
      </c>
      <c r="C657" s="2" t="s">
        <v>4192</v>
      </c>
      <c r="D657" t="s">
        <v>6151</v>
      </c>
      <c r="E657" s="2">
        <v>2</v>
      </c>
      <c r="F657" s="2"/>
      <c r="G657" s="2"/>
      <c r="H657" s="2"/>
    </row>
    <row r="658" spans="1:8" x14ac:dyDescent="0.35">
      <c r="A658" s="2" t="s">
        <v>4196</v>
      </c>
      <c r="B658" s="3">
        <v>44485</v>
      </c>
      <c r="C658" s="2" t="s">
        <v>4197</v>
      </c>
      <c r="D658" t="s">
        <v>6143</v>
      </c>
      <c r="E658" s="2">
        <v>4</v>
      </c>
      <c r="F658" s="2"/>
      <c r="G658" s="2"/>
      <c r="H658" s="2"/>
    </row>
    <row r="659" spans="1:8" x14ac:dyDescent="0.35">
      <c r="A659" s="2" t="s">
        <v>4201</v>
      </c>
      <c r="B659" s="3">
        <v>43831</v>
      </c>
      <c r="C659" s="2" t="s">
        <v>4202</v>
      </c>
      <c r="D659" t="s">
        <v>6157</v>
      </c>
      <c r="E659" s="2">
        <v>2</v>
      </c>
      <c r="F659" s="2"/>
      <c r="G659" s="2"/>
      <c r="H659" s="2"/>
    </row>
    <row r="660" spans="1:8" x14ac:dyDescent="0.35">
      <c r="A660" s="2" t="s">
        <v>4207</v>
      </c>
      <c r="B660" s="3">
        <v>44630</v>
      </c>
      <c r="C660" s="2" t="s">
        <v>4263</v>
      </c>
      <c r="D660" t="s">
        <v>6139</v>
      </c>
      <c r="E660" s="2">
        <v>3</v>
      </c>
      <c r="F660" s="2"/>
      <c r="G660" s="2"/>
      <c r="H660" s="2"/>
    </row>
    <row r="661" spans="1:8" x14ac:dyDescent="0.35">
      <c r="A661" s="2" t="s">
        <v>4211</v>
      </c>
      <c r="B661" s="3">
        <v>44693</v>
      </c>
      <c r="C661" s="2" t="s">
        <v>4212</v>
      </c>
      <c r="D661" t="s">
        <v>6168</v>
      </c>
      <c r="E661" s="2">
        <v>2</v>
      </c>
      <c r="F661" s="2"/>
      <c r="G661" s="2"/>
      <c r="H661" s="2"/>
    </row>
    <row r="662" spans="1:8" x14ac:dyDescent="0.35">
      <c r="A662" s="2" t="s">
        <v>4217</v>
      </c>
      <c r="B662" s="3">
        <v>44084</v>
      </c>
      <c r="C662" s="2" t="s">
        <v>4218</v>
      </c>
      <c r="D662" t="s">
        <v>6176</v>
      </c>
      <c r="E662" s="2">
        <v>6</v>
      </c>
      <c r="F662" s="2"/>
      <c r="G662" s="2"/>
      <c r="H662" s="2"/>
    </row>
    <row r="663" spans="1:8" x14ac:dyDescent="0.35">
      <c r="A663" s="2" t="s">
        <v>4223</v>
      </c>
      <c r="B663" s="3">
        <v>44485</v>
      </c>
      <c r="C663" s="2" t="s">
        <v>4224</v>
      </c>
      <c r="D663" t="s">
        <v>6152</v>
      </c>
      <c r="E663" s="2">
        <v>6</v>
      </c>
      <c r="F663" s="2"/>
      <c r="G663" s="2"/>
      <c r="H663" s="2"/>
    </row>
    <row r="664" spans="1:8" x14ac:dyDescent="0.35">
      <c r="A664" s="2" t="s">
        <v>4229</v>
      </c>
      <c r="B664" s="3">
        <v>44364</v>
      </c>
      <c r="C664" s="2" t="s">
        <v>4230</v>
      </c>
      <c r="D664" t="s">
        <v>6165</v>
      </c>
      <c r="E664" s="2">
        <v>5</v>
      </c>
      <c r="F664" s="2"/>
      <c r="G664" s="2"/>
      <c r="H664" s="2"/>
    </row>
    <row r="665" spans="1:8" x14ac:dyDescent="0.35">
      <c r="A665" s="2" t="s">
        <v>4234</v>
      </c>
      <c r="B665" s="3">
        <v>43554</v>
      </c>
      <c r="C665" s="2" t="s">
        <v>4235</v>
      </c>
      <c r="D665" t="s">
        <v>6155</v>
      </c>
      <c r="E665" s="2">
        <v>6</v>
      </c>
      <c r="F665" s="2"/>
      <c r="G665" s="2"/>
      <c r="H665" s="2"/>
    </row>
    <row r="666" spans="1:8" x14ac:dyDescent="0.35">
      <c r="A666" s="2" t="s">
        <v>4239</v>
      </c>
      <c r="B666" s="3">
        <v>44549</v>
      </c>
      <c r="C666" s="2" t="s">
        <v>4240</v>
      </c>
      <c r="D666" t="s">
        <v>6183</v>
      </c>
      <c r="E666" s="2">
        <v>6</v>
      </c>
      <c r="F666" s="2"/>
      <c r="G666" s="2"/>
      <c r="H666" s="2"/>
    </row>
    <row r="667" spans="1:8" x14ac:dyDescent="0.35">
      <c r="A667" s="2" t="s">
        <v>4239</v>
      </c>
      <c r="B667" s="3">
        <v>44549</v>
      </c>
      <c r="C667" s="2" t="s">
        <v>4240</v>
      </c>
      <c r="D667" t="s">
        <v>6150</v>
      </c>
      <c r="E667" s="2">
        <v>2</v>
      </c>
      <c r="F667" s="2"/>
      <c r="G667" s="2"/>
      <c r="H667" s="2"/>
    </row>
    <row r="668" spans="1:8" x14ac:dyDescent="0.35">
      <c r="A668" s="2" t="s">
        <v>4250</v>
      </c>
      <c r="B668" s="3">
        <v>43987</v>
      </c>
      <c r="C668" s="2" t="s">
        <v>4251</v>
      </c>
      <c r="D668" t="s">
        <v>6168</v>
      </c>
      <c r="E668" s="2">
        <v>4</v>
      </c>
      <c r="F668" s="2"/>
      <c r="G668" s="2"/>
      <c r="H668" s="2"/>
    </row>
    <row r="669" spans="1:8" x14ac:dyDescent="0.35">
      <c r="A669" s="2" t="s">
        <v>4256</v>
      </c>
      <c r="B669" s="3">
        <v>44451</v>
      </c>
      <c r="C669" s="2" t="s">
        <v>4257</v>
      </c>
      <c r="D669" t="s">
        <v>6147</v>
      </c>
      <c r="E669" s="2">
        <v>6</v>
      </c>
      <c r="F669" s="2"/>
      <c r="G669" s="2"/>
      <c r="H669" s="2"/>
    </row>
    <row r="670" spans="1:8" x14ac:dyDescent="0.35">
      <c r="A670" s="2" t="s">
        <v>4262</v>
      </c>
      <c r="B670" s="3">
        <v>44636</v>
      </c>
      <c r="C670" s="2" t="s">
        <v>4263</v>
      </c>
      <c r="D670" t="s">
        <v>6142</v>
      </c>
      <c r="E670" s="2">
        <v>5</v>
      </c>
      <c r="F670" s="2"/>
      <c r="G670" s="2"/>
      <c r="H670" s="2"/>
    </row>
    <row r="671" spans="1:8" x14ac:dyDescent="0.35">
      <c r="A671" s="2" t="s">
        <v>4268</v>
      </c>
      <c r="B671" s="3">
        <v>44551</v>
      </c>
      <c r="C671" s="2" t="s">
        <v>4269</v>
      </c>
      <c r="D671" t="s">
        <v>6181</v>
      </c>
      <c r="E671" s="2">
        <v>2</v>
      </c>
      <c r="F671" s="2"/>
      <c r="G671" s="2"/>
      <c r="H671" s="2"/>
    </row>
    <row r="672" spans="1:8" x14ac:dyDescent="0.35">
      <c r="A672" s="2" t="s">
        <v>4274</v>
      </c>
      <c r="B672" s="3">
        <v>43606</v>
      </c>
      <c r="C672" s="2" t="s">
        <v>4275</v>
      </c>
      <c r="D672" t="s">
        <v>6159</v>
      </c>
      <c r="E672" s="2">
        <v>3</v>
      </c>
      <c r="F672" s="2"/>
      <c r="G672" s="2"/>
      <c r="H672" s="2"/>
    </row>
    <row r="673" spans="1:8" x14ac:dyDescent="0.35">
      <c r="A673" s="2" t="s">
        <v>4280</v>
      </c>
      <c r="B673" s="3">
        <v>44495</v>
      </c>
      <c r="C673" s="2" t="s">
        <v>4281</v>
      </c>
      <c r="D673" t="s">
        <v>6179</v>
      </c>
      <c r="E673" s="2">
        <v>5</v>
      </c>
      <c r="F673" s="2"/>
      <c r="G673" s="2"/>
      <c r="H673" s="2"/>
    </row>
    <row r="674" spans="1:8" x14ac:dyDescent="0.35">
      <c r="A674" s="2" t="s">
        <v>4286</v>
      </c>
      <c r="B674" s="3">
        <v>43916</v>
      </c>
      <c r="C674" s="2" t="s">
        <v>4287</v>
      </c>
      <c r="D674" t="s">
        <v>6160</v>
      </c>
      <c r="E674" s="2">
        <v>5</v>
      </c>
      <c r="F674" s="2"/>
      <c r="G674" s="2"/>
      <c r="H674" s="2"/>
    </row>
    <row r="675" spans="1:8" x14ac:dyDescent="0.35">
      <c r="A675" s="2" t="s">
        <v>4291</v>
      </c>
      <c r="B675" s="3">
        <v>44118</v>
      </c>
      <c r="C675" s="2" t="s">
        <v>4292</v>
      </c>
      <c r="D675" t="s">
        <v>6141</v>
      </c>
      <c r="E675" s="2">
        <v>6</v>
      </c>
      <c r="F675" s="2"/>
      <c r="G675" s="2"/>
      <c r="H675" s="2"/>
    </row>
    <row r="676" spans="1:8" x14ac:dyDescent="0.35">
      <c r="A676" s="2" t="s">
        <v>4297</v>
      </c>
      <c r="B676" s="3">
        <v>44543</v>
      </c>
      <c r="C676" s="2" t="s">
        <v>4298</v>
      </c>
      <c r="D676" t="s">
        <v>6182</v>
      </c>
      <c r="E676" s="2">
        <v>6</v>
      </c>
      <c r="F676" s="2"/>
      <c r="G676" s="2"/>
      <c r="H676" s="2"/>
    </row>
    <row r="677" spans="1:8" x14ac:dyDescent="0.35">
      <c r="A677" s="2" t="s">
        <v>4303</v>
      </c>
      <c r="B677" s="3">
        <v>44263</v>
      </c>
      <c r="C677" s="2" t="s">
        <v>4304</v>
      </c>
      <c r="D677" t="s">
        <v>6165</v>
      </c>
      <c r="E677" s="2">
        <v>4</v>
      </c>
      <c r="F677" s="2"/>
      <c r="G677" s="2"/>
      <c r="H677" s="2"/>
    </row>
    <row r="678" spans="1:8" x14ac:dyDescent="0.35">
      <c r="A678" s="2" t="s">
        <v>4308</v>
      </c>
      <c r="B678" s="3">
        <v>44217</v>
      </c>
      <c r="C678" s="2" t="s">
        <v>4309</v>
      </c>
      <c r="D678" t="s">
        <v>6161</v>
      </c>
      <c r="E678" s="2">
        <v>5</v>
      </c>
      <c r="F678" s="2"/>
      <c r="G678" s="2"/>
      <c r="H678" s="2"/>
    </row>
    <row r="679" spans="1:8" x14ac:dyDescent="0.35">
      <c r="A679" s="2" t="s">
        <v>4313</v>
      </c>
      <c r="B679" s="3">
        <v>44206</v>
      </c>
      <c r="C679" s="2" t="s">
        <v>4314</v>
      </c>
      <c r="D679" t="s">
        <v>6160</v>
      </c>
      <c r="E679" s="2">
        <v>5</v>
      </c>
      <c r="F679" s="2"/>
      <c r="G679" s="2"/>
      <c r="H679" s="2"/>
    </row>
    <row r="680" spans="1:8" x14ac:dyDescent="0.35">
      <c r="A680" s="2" t="s">
        <v>4319</v>
      </c>
      <c r="B680" s="3">
        <v>44281</v>
      </c>
      <c r="C680" s="2" t="s">
        <v>4320</v>
      </c>
      <c r="D680" t="s">
        <v>6182</v>
      </c>
      <c r="E680" s="2">
        <v>6</v>
      </c>
      <c r="F680" s="2"/>
      <c r="G680" s="2"/>
      <c r="H680" s="2"/>
    </row>
    <row r="681" spans="1:8" x14ac:dyDescent="0.35">
      <c r="A681" s="2" t="s">
        <v>4325</v>
      </c>
      <c r="B681" s="3">
        <v>44645</v>
      </c>
      <c r="C681" s="2" t="s">
        <v>4326</v>
      </c>
      <c r="D681" t="s">
        <v>6142</v>
      </c>
      <c r="E681" s="2">
        <v>1</v>
      </c>
      <c r="F681" s="2"/>
      <c r="G681" s="2"/>
      <c r="H681" s="2"/>
    </row>
    <row r="682" spans="1:8" x14ac:dyDescent="0.35">
      <c r="A682" s="2" t="s">
        <v>4331</v>
      </c>
      <c r="B682" s="3">
        <v>44399</v>
      </c>
      <c r="C682" s="2" t="s">
        <v>4332</v>
      </c>
      <c r="D682" t="s">
        <v>6155</v>
      </c>
      <c r="E682" s="2">
        <v>5</v>
      </c>
      <c r="F682" s="2"/>
      <c r="G682" s="2"/>
      <c r="H682" s="2"/>
    </row>
    <row r="683" spans="1:8" x14ac:dyDescent="0.35">
      <c r="A683" s="2" t="s">
        <v>4336</v>
      </c>
      <c r="B683" s="3">
        <v>44080</v>
      </c>
      <c r="C683" s="2" t="s">
        <v>4337</v>
      </c>
      <c r="D683" t="s">
        <v>6145</v>
      </c>
      <c r="E683" s="2">
        <v>2</v>
      </c>
      <c r="F683" s="2"/>
      <c r="G683" s="2"/>
      <c r="H683" s="2"/>
    </row>
    <row r="684" spans="1:8" x14ac:dyDescent="0.35">
      <c r="A684" s="2" t="s">
        <v>4342</v>
      </c>
      <c r="B684" s="3">
        <v>43827</v>
      </c>
      <c r="C684" s="2" t="s">
        <v>4343</v>
      </c>
      <c r="D684" t="s">
        <v>6156</v>
      </c>
      <c r="E684" s="2">
        <v>2</v>
      </c>
      <c r="F684" s="2"/>
      <c r="G684" s="2"/>
      <c r="H684" s="2"/>
    </row>
    <row r="685" spans="1:8" x14ac:dyDescent="0.35">
      <c r="A685" s="2" t="s">
        <v>4348</v>
      </c>
      <c r="B685" s="3">
        <v>43941</v>
      </c>
      <c r="C685" s="2" t="s">
        <v>4349</v>
      </c>
      <c r="D685" t="s">
        <v>6169</v>
      </c>
      <c r="E685" s="2">
        <v>6</v>
      </c>
      <c r="F685" s="2"/>
      <c r="G685" s="2"/>
      <c r="H685" s="2"/>
    </row>
    <row r="686" spans="1:8" x14ac:dyDescent="0.35">
      <c r="A686" s="2" t="s">
        <v>4354</v>
      </c>
      <c r="B686" s="3">
        <v>43517</v>
      </c>
      <c r="C686" s="2" t="s">
        <v>4355</v>
      </c>
      <c r="D686" t="s">
        <v>6179</v>
      </c>
      <c r="E686" s="2">
        <v>6</v>
      </c>
      <c r="F686" s="2"/>
      <c r="G686" s="2"/>
      <c r="H686" s="2"/>
    </row>
    <row r="687" spans="1:8" x14ac:dyDescent="0.35">
      <c r="A687" s="2" t="s">
        <v>4359</v>
      </c>
      <c r="B687" s="3">
        <v>44637</v>
      </c>
      <c r="C687" s="2" t="s">
        <v>4360</v>
      </c>
      <c r="D687" t="s">
        <v>6164</v>
      </c>
      <c r="E687" s="2">
        <v>2</v>
      </c>
      <c r="F687" s="2"/>
      <c r="G687" s="2"/>
      <c r="H687" s="2"/>
    </row>
    <row r="688" spans="1:8" x14ac:dyDescent="0.35">
      <c r="A688" s="2" t="s">
        <v>4365</v>
      </c>
      <c r="B688" s="3">
        <v>44330</v>
      </c>
      <c r="C688" s="2" t="s">
        <v>4366</v>
      </c>
      <c r="D688" t="s">
        <v>6163</v>
      </c>
      <c r="E688" s="2">
        <v>3</v>
      </c>
      <c r="F688" s="2"/>
      <c r="G688" s="2"/>
      <c r="H688" s="2"/>
    </row>
    <row r="689" spans="1:8" x14ac:dyDescent="0.35">
      <c r="A689" s="2" t="s">
        <v>4371</v>
      </c>
      <c r="B689" s="3">
        <v>43471</v>
      </c>
      <c r="C689" s="2" t="s">
        <v>4372</v>
      </c>
      <c r="D689" t="s">
        <v>6139</v>
      </c>
      <c r="E689" s="2">
        <v>2</v>
      </c>
      <c r="F689" s="2"/>
      <c r="G689" s="2"/>
      <c r="H689" s="2"/>
    </row>
    <row r="690" spans="1:8" x14ac:dyDescent="0.35">
      <c r="A690" s="2" t="s">
        <v>4377</v>
      </c>
      <c r="B690" s="3">
        <v>43579</v>
      </c>
      <c r="C690" s="2" t="s">
        <v>4378</v>
      </c>
      <c r="D690" t="s">
        <v>6140</v>
      </c>
      <c r="E690" s="2">
        <v>5</v>
      </c>
      <c r="F690" s="2"/>
      <c r="G690" s="2"/>
      <c r="H690" s="2"/>
    </row>
    <row r="691" spans="1:8" x14ac:dyDescent="0.35">
      <c r="A691" s="2" t="s">
        <v>4383</v>
      </c>
      <c r="B691" s="3">
        <v>44346</v>
      </c>
      <c r="C691" s="2" t="s">
        <v>4384</v>
      </c>
      <c r="D691" t="s">
        <v>6157</v>
      </c>
      <c r="E691" s="2">
        <v>5</v>
      </c>
      <c r="F691" s="2"/>
      <c r="G691" s="2"/>
      <c r="H691" s="2"/>
    </row>
    <row r="692" spans="1:8" x14ac:dyDescent="0.35">
      <c r="A692" s="2" t="s">
        <v>4389</v>
      </c>
      <c r="B692" s="3">
        <v>44754</v>
      </c>
      <c r="C692" s="2" t="s">
        <v>4390</v>
      </c>
      <c r="D692" t="s">
        <v>6165</v>
      </c>
      <c r="E692" s="2">
        <v>6</v>
      </c>
      <c r="F692" s="2"/>
      <c r="G692" s="2"/>
      <c r="H692" s="2"/>
    </row>
    <row r="693" spans="1:8" x14ac:dyDescent="0.35">
      <c r="A693" s="2" t="s">
        <v>4393</v>
      </c>
      <c r="B693" s="3">
        <v>44227</v>
      </c>
      <c r="C693" s="2" t="s">
        <v>4434</v>
      </c>
      <c r="D693" t="s">
        <v>6155</v>
      </c>
      <c r="E693" s="2">
        <v>2</v>
      </c>
      <c r="F693" s="2"/>
      <c r="G693" s="2"/>
      <c r="H693" s="2"/>
    </row>
    <row r="694" spans="1:8" x14ac:dyDescent="0.35">
      <c r="A694" s="2" t="s">
        <v>4399</v>
      </c>
      <c r="B694" s="3">
        <v>43720</v>
      </c>
      <c r="C694" s="2" t="s">
        <v>4400</v>
      </c>
      <c r="D694" t="s">
        <v>6143</v>
      </c>
      <c r="E694" s="2">
        <v>1</v>
      </c>
      <c r="F694" s="2"/>
      <c r="G694" s="2"/>
      <c r="H694" s="2"/>
    </row>
    <row r="695" spans="1:8" x14ac:dyDescent="0.35">
      <c r="A695" s="2" t="s">
        <v>4405</v>
      </c>
      <c r="B695" s="3">
        <v>44012</v>
      </c>
      <c r="C695" s="2" t="s">
        <v>4406</v>
      </c>
      <c r="D695" t="s">
        <v>6175</v>
      </c>
      <c r="E695" s="2">
        <v>2</v>
      </c>
      <c r="F695" s="2"/>
      <c r="G695" s="2"/>
      <c r="H695" s="2"/>
    </row>
    <row r="696" spans="1:8" x14ac:dyDescent="0.35">
      <c r="A696" s="2" t="s">
        <v>4411</v>
      </c>
      <c r="B696" s="3">
        <v>43915</v>
      </c>
      <c r="C696" s="2" t="s">
        <v>4412</v>
      </c>
      <c r="D696" t="s">
        <v>6144</v>
      </c>
      <c r="E696" s="2">
        <v>5</v>
      </c>
      <c r="F696" s="2"/>
      <c r="G696" s="2"/>
      <c r="H696" s="2"/>
    </row>
    <row r="697" spans="1:8" x14ac:dyDescent="0.35">
      <c r="A697" s="2" t="s">
        <v>4417</v>
      </c>
      <c r="B697" s="3">
        <v>44300</v>
      </c>
      <c r="C697" s="2" t="s">
        <v>4418</v>
      </c>
      <c r="D697" t="s">
        <v>6164</v>
      </c>
      <c r="E697" s="2">
        <v>5</v>
      </c>
      <c r="F697" s="2"/>
      <c r="G697" s="2"/>
      <c r="H697" s="2"/>
    </row>
    <row r="698" spans="1:8" x14ac:dyDescent="0.35">
      <c r="A698" s="2" t="s">
        <v>4423</v>
      </c>
      <c r="B698" s="3">
        <v>43693</v>
      </c>
      <c r="C698" s="2" t="s">
        <v>4424</v>
      </c>
      <c r="D698" t="s">
        <v>6169</v>
      </c>
      <c r="E698" s="2">
        <v>4</v>
      </c>
      <c r="F698" s="2"/>
      <c r="G698" s="2"/>
      <c r="H698" s="2"/>
    </row>
    <row r="699" spans="1:8" x14ac:dyDescent="0.35">
      <c r="A699" s="2" t="s">
        <v>4429</v>
      </c>
      <c r="B699" s="3">
        <v>44547</v>
      </c>
      <c r="C699" s="2" t="s">
        <v>4430</v>
      </c>
      <c r="D699" t="s">
        <v>6157</v>
      </c>
      <c r="E699" s="2">
        <v>3</v>
      </c>
      <c r="F699" s="2"/>
      <c r="G699" s="2"/>
      <c r="H699" s="2"/>
    </row>
    <row r="700" spans="1:8" x14ac:dyDescent="0.35">
      <c r="A700" s="2" t="s">
        <v>4433</v>
      </c>
      <c r="B700" s="3">
        <v>43830</v>
      </c>
      <c r="C700" s="2" t="s">
        <v>4434</v>
      </c>
      <c r="D700" t="s">
        <v>6143</v>
      </c>
      <c r="E700" s="2">
        <v>2</v>
      </c>
      <c r="F700" s="2"/>
      <c r="G700" s="2"/>
      <c r="H700" s="2"/>
    </row>
    <row r="701" spans="1:8" x14ac:dyDescent="0.35">
      <c r="A701" s="2" t="s">
        <v>4439</v>
      </c>
      <c r="B701" s="3">
        <v>44298</v>
      </c>
      <c r="C701" s="2" t="s">
        <v>4440</v>
      </c>
      <c r="D701" t="s">
        <v>6158</v>
      </c>
      <c r="E701" s="2">
        <v>4</v>
      </c>
      <c r="F701" s="2"/>
      <c r="G701" s="2"/>
      <c r="H701" s="2"/>
    </row>
    <row r="702" spans="1:8" x14ac:dyDescent="0.35">
      <c r="A702" s="2" t="s">
        <v>4445</v>
      </c>
      <c r="B702" s="3">
        <v>43736</v>
      </c>
      <c r="C702" s="2" t="s">
        <v>4446</v>
      </c>
      <c r="D702" t="s">
        <v>6161</v>
      </c>
      <c r="E702" s="2">
        <v>2</v>
      </c>
      <c r="F702" s="2"/>
      <c r="G702" s="2"/>
      <c r="H702" s="2"/>
    </row>
    <row r="703" spans="1:8" x14ac:dyDescent="0.35">
      <c r="A703" s="2" t="s">
        <v>4450</v>
      </c>
      <c r="B703" s="3">
        <v>44727</v>
      </c>
      <c r="C703" s="2" t="s">
        <v>4451</v>
      </c>
      <c r="D703" t="s">
        <v>6158</v>
      </c>
      <c r="E703" s="2">
        <v>5</v>
      </c>
      <c r="F703" s="2"/>
      <c r="G703" s="2"/>
      <c r="H703" s="2"/>
    </row>
    <row r="704" spans="1:8" x14ac:dyDescent="0.35">
      <c r="A704" s="2" t="s">
        <v>4456</v>
      </c>
      <c r="B704" s="3">
        <v>43661</v>
      </c>
      <c r="C704" s="2" t="s">
        <v>4457</v>
      </c>
      <c r="D704" t="s">
        <v>6180</v>
      </c>
      <c r="E704" s="2">
        <v>1</v>
      </c>
      <c r="F704" s="2"/>
      <c r="G704" s="2"/>
      <c r="H704" s="2"/>
    </row>
    <row r="705" spans="1:8" x14ac:dyDescent="0.35">
      <c r="A705" s="2" t="s">
        <v>4461</v>
      </c>
      <c r="B705" s="3">
        <v>43506</v>
      </c>
      <c r="C705" s="2" t="s">
        <v>4462</v>
      </c>
      <c r="D705" t="s">
        <v>6165</v>
      </c>
      <c r="E705" s="2">
        <v>4</v>
      </c>
      <c r="F705" s="2"/>
      <c r="G705" s="2"/>
      <c r="H705" s="2"/>
    </row>
    <row r="706" spans="1:8" x14ac:dyDescent="0.35">
      <c r="A706" s="2" t="s">
        <v>4466</v>
      </c>
      <c r="B706" s="3">
        <v>44716</v>
      </c>
      <c r="C706" s="2" t="s">
        <v>4467</v>
      </c>
      <c r="D706" t="s">
        <v>6153</v>
      </c>
      <c r="E706" s="2">
        <v>6</v>
      </c>
      <c r="F706" s="2"/>
      <c r="G706" s="2"/>
      <c r="H706" s="2"/>
    </row>
    <row r="707" spans="1:8" x14ac:dyDescent="0.35">
      <c r="A707" s="2" t="s">
        <v>4471</v>
      </c>
      <c r="B707" s="3">
        <v>44114</v>
      </c>
      <c r="C707" s="2" t="s">
        <v>4472</v>
      </c>
      <c r="D707" t="s">
        <v>6176</v>
      </c>
      <c r="E707" s="2">
        <v>2</v>
      </c>
      <c r="F707" s="2"/>
      <c r="G707" s="2"/>
      <c r="H707" s="2"/>
    </row>
    <row r="708" spans="1:8" x14ac:dyDescent="0.35">
      <c r="A708" s="2" t="s">
        <v>4477</v>
      </c>
      <c r="B708" s="3">
        <v>44353</v>
      </c>
      <c r="C708" s="2" t="s">
        <v>4478</v>
      </c>
      <c r="D708" t="s">
        <v>6156</v>
      </c>
      <c r="E708" s="2">
        <v>3</v>
      </c>
      <c r="F708" s="2"/>
      <c r="G708" s="2"/>
      <c r="H708" s="2"/>
    </row>
    <row r="709" spans="1:8" x14ac:dyDescent="0.35">
      <c r="A709" s="2" t="s">
        <v>4483</v>
      </c>
      <c r="B709" s="3">
        <v>43540</v>
      </c>
      <c r="C709" s="2" t="s">
        <v>4484</v>
      </c>
      <c r="D709" t="s">
        <v>6143</v>
      </c>
      <c r="E709" s="2">
        <v>2</v>
      </c>
      <c r="F709" s="2"/>
      <c r="G709" s="2"/>
      <c r="H709" s="2"/>
    </row>
    <row r="710" spans="1:8" x14ac:dyDescent="0.35">
      <c r="A710" s="2" t="s">
        <v>4488</v>
      </c>
      <c r="B710" s="3">
        <v>43804</v>
      </c>
      <c r="C710" s="2" t="s">
        <v>4489</v>
      </c>
      <c r="D710" t="s">
        <v>6157</v>
      </c>
      <c r="E710" s="2">
        <v>2</v>
      </c>
      <c r="F710" s="2"/>
      <c r="G710" s="2"/>
      <c r="H710" s="2"/>
    </row>
    <row r="711" spans="1:8" x14ac:dyDescent="0.35">
      <c r="A711" s="2" t="s">
        <v>4494</v>
      </c>
      <c r="B711" s="3">
        <v>43485</v>
      </c>
      <c r="C711" s="2" t="s">
        <v>4495</v>
      </c>
      <c r="D711" t="s">
        <v>6176</v>
      </c>
      <c r="E711" s="2">
        <v>2</v>
      </c>
      <c r="F711" s="2"/>
      <c r="G711" s="2"/>
      <c r="H711" s="2"/>
    </row>
    <row r="712" spans="1:8" x14ac:dyDescent="0.35">
      <c r="A712" s="2" t="s">
        <v>4499</v>
      </c>
      <c r="B712" s="3">
        <v>44655</v>
      </c>
      <c r="C712" s="2" t="s">
        <v>4500</v>
      </c>
      <c r="D712" t="s">
        <v>6139</v>
      </c>
      <c r="E712" s="2">
        <v>3</v>
      </c>
      <c r="F712" s="2"/>
      <c r="G712" s="2"/>
      <c r="H712" s="2"/>
    </row>
    <row r="713" spans="1:8" x14ac:dyDescent="0.35">
      <c r="A713" s="2" t="s">
        <v>4505</v>
      </c>
      <c r="B713" s="3">
        <v>44600</v>
      </c>
      <c r="C713" s="2" t="s">
        <v>4506</v>
      </c>
      <c r="D713" t="s">
        <v>6174</v>
      </c>
      <c r="E713" s="2">
        <v>6</v>
      </c>
      <c r="F713" s="2"/>
      <c r="G713" s="2"/>
      <c r="H713" s="2"/>
    </row>
    <row r="714" spans="1:8" x14ac:dyDescent="0.35">
      <c r="A714" s="2" t="s">
        <v>4512</v>
      </c>
      <c r="B714" s="3">
        <v>43646</v>
      </c>
      <c r="C714" s="2" t="s">
        <v>4513</v>
      </c>
      <c r="D714" t="s">
        <v>6139</v>
      </c>
      <c r="E714" s="2">
        <v>2</v>
      </c>
      <c r="F714" s="2"/>
      <c r="G714" s="2"/>
      <c r="H714" s="2"/>
    </row>
    <row r="715" spans="1:8" x14ac:dyDescent="0.35">
      <c r="A715" s="2" t="s">
        <v>4516</v>
      </c>
      <c r="B715" s="3">
        <v>43960</v>
      </c>
      <c r="C715" s="2" t="s">
        <v>4517</v>
      </c>
      <c r="D715" t="s">
        <v>6174</v>
      </c>
      <c r="E715" s="2">
        <v>1</v>
      </c>
      <c r="F715" s="2"/>
      <c r="G715" s="2"/>
      <c r="H715" s="2"/>
    </row>
    <row r="716" spans="1:8" x14ac:dyDescent="0.35">
      <c r="A716" s="2" t="s">
        <v>4522</v>
      </c>
      <c r="B716" s="3">
        <v>44358</v>
      </c>
      <c r="C716" s="2" t="s">
        <v>4523</v>
      </c>
      <c r="D716" t="s">
        <v>6153</v>
      </c>
      <c r="E716" s="2">
        <v>4</v>
      </c>
      <c r="F716" s="2"/>
      <c r="G716" s="2"/>
      <c r="H716" s="2"/>
    </row>
    <row r="717" spans="1:8" x14ac:dyDescent="0.35">
      <c r="A717" s="2" t="s">
        <v>4528</v>
      </c>
      <c r="B717" s="3">
        <v>44504</v>
      </c>
      <c r="C717" s="2" t="s">
        <v>4529</v>
      </c>
      <c r="D717" t="s">
        <v>6171</v>
      </c>
      <c r="E717" s="2">
        <v>6</v>
      </c>
      <c r="F717" s="2"/>
      <c r="G717" s="2"/>
      <c r="H717" s="2"/>
    </row>
    <row r="718" spans="1:8" x14ac:dyDescent="0.35">
      <c r="A718" s="2" t="s">
        <v>4533</v>
      </c>
      <c r="B718" s="3">
        <v>44612</v>
      </c>
      <c r="C718" s="2" t="s">
        <v>4434</v>
      </c>
      <c r="D718" t="s">
        <v>6179</v>
      </c>
      <c r="E718" s="2">
        <v>3</v>
      </c>
      <c r="F718" s="2"/>
      <c r="G718" s="2"/>
      <c r="H718" s="2"/>
    </row>
    <row r="719" spans="1:8" x14ac:dyDescent="0.35">
      <c r="A719" s="2" t="s">
        <v>4539</v>
      </c>
      <c r="B719" s="3">
        <v>43649</v>
      </c>
      <c r="C719" s="2" t="s">
        <v>4540</v>
      </c>
      <c r="D719" t="s">
        <v>6168</v>
      </c>
      <c r="E719" s="2">
        <v>3</v>
      </c>
      <c r="F719" s="2"/>
      <c r="G719" s="2"/>
      <c r="H719" s="2"/>
    </row>
    <row r="720" spans="1:8" x14ac:dyDescent="0.35">
      <c r="A720" s="2" t="s">
        <v>4545</v>
      </c>
      <c r="B720" s="3">
        <v>44348</v>
      </c>
      <c r="C720" s="2" t="s">
        <v>4546</v>
      </c>
      <c r="D720" t="s">
        <v>6143</v>
      </c>
      <c r="E720" s="2">
        <v>3</v>
      </c>
      <c r="F720" s="2"/>
      <c r="G720" s="2"/>
      <c r="H720" s="2"/>
    </row>
    <row r="721" spans="1:8" x14ac:dyDescent="0.35">
      <c r="A721" s="2" t="s">
        <v>4551</v>
      </c>
      <c r="B721" s="3">
        <v>44150</v>
      </c>
      <c r="C721" s="2" t="s">
        <v>4552</v>
      </c>
      <c r="D721" t="s">
        <v>6170</v>
      </c>
      <c r="E721" s="2">
        <v>5</v>
      </c>
      <c r="F721" s="2"/>
      <c r="G721" s="2"/>
      <c r="H721" s="2"/>
    </row>
    <row r="722" spans="1:8" x14ac:dyDescent="0.35">
      <c r="A722" s="2" t="s">
        <v>4557</v>
      </c>
      <c r="B722" s="3">
        <v>44215</v>
      </c>
      <c r="C722" s="2" t="s">
        <v>4558</v>
      </c>
      <c r="D722" t="s">
        <v>6144</v>
      </c>
      <c r="E722" s="2">
        <v>5</v>
      </c>
      <c r="F722" s="2"/>
      <c r="G722" s="2"/>
      <c r="H722" s="2"/>
    </row>
    <row r="723" spans="1:8" x14ac:dyDescent="0.35">
      <c r="A723" s="2" t="s">
        <v>4563</v>
      </c>
      <c r="B723" s="3">
        <v>44479</v>
      </c>
      <c r="C723" s="2" t="s">
        <v>4564</v>
      </c>
      <c r="D723" t="s">
        <v>6174</v>
      </c>
      <c r="E723" s="2">
        <v>3</v>
      </c>
      <c r="F723" s="2"/>
      <c r="G723" s="2"/>
      <c r="H723" s="2"/>
    </row>
    <row r="724" spans="1:8" x14ac:dyDescent="0.35">
      <c r="A724" s="2" t="s">
        <v>4569</v>
      </c>
      <c r="B724" s="3">
        <v>44620</v>
      </c>
      <c r="C724" s="2" t="s">
        <v>4570</v>
      </c>
      <c r="D724" t="s">
        <v>6183</v>
      </c>
      <c r="E724" s="2">
        <v>2</v>
      </c>
      <c r="F724" s="2"/>
      <c r="G724" s="2"/>
      <c r="H724" s="2"/>
    </row>
    <row r="725" spans="1:8" x14ac:dyDescent="0.35">
      <c r="A725" s="2" t="s">
        <v>4574</v>
      </c>
      <c r="B725" s="3">
        <v>44470</v>
      </c>
      <c r="C725" s="2" t="s">
        <v>4575</v>
      </c>
      <c r="D725" t="s">
        <v>6166</v>
      </c>
      <c r="E725" s="2">
        <v>2</v>
      </c>
      <c r="F725" s="2"/>
      <c r="G725" s="2"/>
      <c r="H725" s="2"/>
    </row>
    <row r="726" spans="1:8" x14ac:dyDescent="0.35">
      <c r="A726" s="2" t="s">
        <v>4580</v>
      </c>
      <c r="B726" s="3">
        <v>44076</v>
      </c>
      <c r="C726" s="2" t="s">
        <v>4581</v>
      </c>
      <c r="D726" t="s">
        <v>6152</v>
      </c>
      <c r="E726" s="2">
        <v>2</v>
      </c>
      <c r="F726" s="2"/>
      <c r="G726" s="2"/>
      <c r="H726" s="2"/>
    </row>
    <row r="727" spans="1:8" x14ac:dyDescent="0.35">
      <c r="A727" s="2" t="s">
        <v>4585</v>
      </c>
      <c r="B727" s="3">
        <v>44043</v>
      </c>
      <c r="C727" s="2" t="s">
        <v>4586</v>
      </c>
      <c r="D727" t="s">
        <v>6167</v>
      </c>
      <c r="E727" s="2">
        <v>6</v>
      </c>
      <c r="F727" s="2"/>
      <c r="G727" s="2"/>
      <c r="H727" s="2"/>
    </row>
    <row r="728" spans="1:8" x14ac:dyDescent="0.35">
      <c r="A728" s="2" t="s">
        <v>4591</v>
      </c>
      <c r="B728" s="3">
        <v>44571</v>
      </c>
      <c r="C728" s="2" t="s">
        <v>4592</v>
      </c>
      <c r="D728" t="s">
        <v>6164</v>
      </c>
      <c r="E728" s="2">
        <v>4</v>
      </c>
      <c r="F728" s="2"/>
      <c r="G728" s="2"/>
      <c r="H728" s="2"/>
    </row>
    <row r="729" spans="1:8" x14ac:dyDescent="0.35">
      <c r="A729" s="2" t="s">
        <v>4596</v>
      </c>
      <c r="B729" s="3">
        <v>44264</v>
      </c>
      <c r="C729" s="2" t="s">
        <v>4597</v>
      </c>
      <c r="D729" t="s">
        <v>6146</v>
      </c>
      <c r="E729" s="2">
        <v>5</v>
      </c>
      <c r="F729" s="2"/>
      <c r="G729" s="2"/>
      <c r="H729" s="2"/>
    </row>
    <row r="730" spans="1:8" x14ac:dyDescent="0.35">
      <c r="A730" s="2" t="s">
        <v>4602</v>
      </c>
      <c r="B730" s="3">
        <v>44155</v>
      </c>
      <c r="C730" s="2" t="s">
        <v>4603</v>
      </c>
      <c r="D730" t="s">
        <v>6144</v>
      </c>
      <c r="E730" s="2">
        <v>3</v>
      </c>
      <c r="F730" s="2"/>
      <c r="G730" s="2"/>
      <c r="H730" s="2"/>
    </row>
    <row r="731" spans="1:8" x14ac:dyDescent="0.35">
      <c r="A731" s="2" t="s">
        <v>4608</v>
      </c>
      <c r="B731" s="3">
        <v>44634</v>
      </c>
      <c r="C731" s="2" t="s">
        <v>4609</v>
      </c>
      <c r="D731" t="s">
        <v>6159</v>
      </c>
      <c r="E731" s="2">
        <v>1</v>
      </c>
      <c r="F731" s="2"/>
      <c r="G731" s="2"/>
      <c r="H731" s="2"/>
    </row>
    <row r="732" spans="1:8" x14ac:dyDescent="0.35">
      <c r="A732" s="2" t="s">
        <v>4614</v>
      </c>
      <c r="B732" s="3">
        <v>43475</v>
      </c>
      <c r="C732" s="2" t="s">
        <v>4615</v>
      </c>
      <c r="D732" t="s">
        <v>6164</v>
      </c>
      <c r="E732" s="2">
        <v>1</v>
      </c>
      <c r="F732" s="2"/>
      <c r="G732" s="2"/>
      <c r="H732" s="2"/>
    </row>
    <row r="733" spans="1:8" x14ac:dyDescent="0.35">
      <c r="A733" s="2" t="s">
        <v>4620</v>
      </c>
      <c r="B733" s="3">
        <v>44222</v>
      </c>
      <c r="C733" s="2" t="s">
        <v>4621</v>
      </c>
      <c r="D733" t="s">
        <v>6150</v>
      </c>
      <c r="E733" s="2">
        <v>4</v>
      </c>
      <c r="F733" s="2"/>
      <c r="G733" s="2"/>
      <c r="H733" s="2"/>
    </row>
    <row r="734" spans="1:8" x14ac:dyDescent="0.35">
      <c r="A734" s="2" t="s">
        <v>4625</v>
      </c>
      <c r="B734" s="3">
        <v>44312</v>
      </c>
      <c r="C734" s="2" t="s">
        <v>4626</v>
      </c>
      <c r="D734" t="s">
        <v>6184</v>
      </c>
      <c r="E734" s="2">
        <v>2</v>
      </c>
      <c r="F734" s="2"/>
      <c r="G734" s="2"/>
      <c r="H734" s="2"/>
    </row>
    <row r="735" spans="1:8" x14ac:dyDescent="0.35">
      <c r="A735" s="2" t="s">
        <v>4631</v>
      </c>
      <c r="B735" s="3">
        <v>44565</v>
      </c>
      <c r="C735" s="2" t="s">
        <v>4632</v>
      </c>
      <c r="D735" t="s">
        <v>6181</v>
      </c>
      <c r="E735" s="2">
        <v>3</v>
      </c>
      <c r="F735" s="2"/>
      <c r="G735" s="2"/>
      <c r="H735" s="2"/>
    </row>
    <row r="736" spans="1:8" x14ac:dyDescent="0.35">
      <c r="A736" s="2" t="s">
        <v>4637</v>
      </c>
      <c r="B736" s="3">
        <v>43697</v>
      </c>
      <c r="C736" s="2" t="s">
        <v>4638</v>
      </c>
      <c r="D736" t="s">
        <v>6163</v>
      </c>
      <c r="E736" s="2">
        <v>5</v>
      </c>
      <c r="F736" s="2"/>
      <c r="G736" s="2"/>
      <c r="H736" s="2"/>
    </row>
    <row r="737" spans="1:8" x14ac:dyDescent="0.35">
      <c r="A737" s="2" t="s">
        <v>4642</v>
      </c>
      <c r="B737" s="3">
        <v>44757</v>
      </c>
      <c r="C737" s="2" t="s">
        <v>4643</v>
      </c>
      <c r="D737" t="s">
        <v>6153</v>
      </c>
      <c r="E737" s="2">
        <v>6</v>
      </c>
      <c r="F737" s="2"/>
      <c r="G737" s="2"/>
      <c r="H737" s="2"/>
    </row>
    <row r="738" spans="1:8" x14ac:dyDescent="0.35">
      <c r="A738" s="2" t="s">
        <v>4647</v>
      </c>
      <c r="B738" s="3">
        <v>43508</v>
      </c>
      <c r="C738" s="2" t="s">
        <v>4648</v>
      </c>
      <c r="D738" t="s">
        <v>6143</v>
      </c>
      <c r="E738" s="2">
        <v>2</v>
      </c>
      <c r="F738" s="2"/>
      <c r="G738" s="2"/>
      <c r="H738" s="2"/>
    </row>
    <row r="739" spans="1:8" x14ac:dyDescent="0.35">
      <c r="A739" s="2" t="s">
        <v>4653</v>
      </c>
      <c r="B739" s="3">
        <v>44447</v>
      </c>
      <c r="C739" s="2" t="s">
        <v>4654</v>
      </c>
      <c r="D739" t="s">
        <v>6155</v>
      </c>
      <c r="E739" s="2">
        <v>5</v>
      </c>
      <c r="F739" s="2"/>
      <c r="G739" s="2"/>
      <c r="H739" s="2"/>
    </row>
    <row r="740" spans="1:8" x14ac:dyDescent="0.35">
      <c r="A740" s="2" t="s">
        <v>4659</v>
      </c>
      <c r="B740" s="3">
        <v>43812</v>
      </c>
      <c r="C740" s="2" t="s">
        <v>4660</v>
      </c>
      <c r="D740" t="s">
        <v>6178</v>
      </c>
      <c r="E740" s="2">
        <v>3</v>
      </c>
      <c r="F740" s="2"/>
      <c r="G740" s="2"/>
      <c r="H740" s="2"/>
    </row>
    <row r="741" spans="1:8" x14ac:dyDescent="0.35">
      <c r="A741" s="2" t="s">
        <v>4665</v>
      </c>
      <c r="B741" s="3">
        <v>44433</v>
      </c>
      <c r="C741" s="2" t="s">
        <v>4434</v>
      </c>
      <c r="D741" t="s">
        <v>6153</v>
      </c>
      <c r="E741" s="2">
        <v>5</v>
      </c>
      <c r="F741" s="2"/>
      <c r="G741" s="2"/>
      <c r="H741" s="2"/>
    </row>
    <row r="742" spans="1:8" x14ac:dyDescent="0.35">
      <c r="A742" s="2" t="s">
        <v>4670</v>
      </c>
      <c r="B742" s="3">
        <v>44643</v>
      </c>
      <c r="C742" s="2" t="s">
        <v>4671</v>
      </c>
      <c r="D742" t="s">
        <v>6173</v>
      </c>
      <c r="E742" s="2">
        <v>4</v>
      </c>
      <c r="F742" s="2"/>
      <c r="G742" s="2"/>
      <c r="H742" s="2"/>
    </row>
    <row r="743" spans="1:8" x14ac:dyDescent="0.35">
      <c r="A743" s="2" t="s">
        <v>4676</v>
      </c>
      <c r="B743" s="3">
        <v>43566</v>
      </c>
      <c r="C743" s="2" t="s">
        <v>4677</v>
      </c>
      <c r="D743" t="s">
        <v>6159</v>
      </c>
      <c r="E743" s="2">
        <v>2</v>
      </c>
      <c r="F743" s="2"/>
      <c r="G743" s="2"/>
      <c r="H743" s="2"/>
    </row>
    <row r="744" spans="1:8" x14ac:dyDescent="0.35">
      <c r="A744" s="2" t="s">
        <v>4682</v>
      </c>
      <c r="B744" s="3">
        <v>44133</v>
      </c>
      <c r="C744" s="2" t="s">
        <v>4683</v>
      </c>
      <c r="D744" t="s">
        <v>6162</v>
      </c>
      <c r="E744" s="2">
        <v>4</v>
      </c>
      <c r="F744" s="2"/>
      <c r="G744" s="2"/>
      <c r="H744" s="2"/>
    </row>
    <row r="745" spans="1:8" x14ac:dyDescent="0.35">
      <c r="A745" s="2" t="s">
        <v>4688</v>
      </c>
      <c r="B745" s="3">
        <v>44042</v>
      </c>
      <c r="C745" s="2" t="s">
        <v>4689</v>
      </c>
      <c r="D745" t="s">
        <v>6158</v>
      </c>
      <c r="E745" s="2">
        <v>3</v>
      </c>
      <c r="F745" s="2"/>
      <c r="G745" s="2"/>
      <c r="H745" s="2"/>
    </row>
    <row r="746" spans="1:8" x14ac:dyDescent="0.35">
      <c r="A746" s="2" t="s">
        <v>4694</v>
      </c>
      <c r="B746" s="3">
        <v>43539</v>
      </c>
      <c r="C746" s="2" t="s">
        <v>4695</v>
      </c>
      <c r="D746" t="s">
        <v>6174</v>
      </c>
      <c r="E746" s="2">
        <v>6</v>
      </c>
      <c r="F746" s="2"/>
      <c r="G746" s="2"/>
      <c r="H746" s="2"/>
    </row>
    <row r="747" spans="1:8" x14ac:dyDescent="0.35">
      <c r="A747" s="2" t="s">
        <v>4699</v>
      </c>
      <c r="B747" s="3">
        <v>44557</v>
      </c>
      <c r="C747" s="2" t="s">
        <v>4700</v>
      </c>
      <c r="D747" t="s">
        <v>6144</v>
      </c>
      <c r="E747" s="2">
        <v>2</v>
      </c>
      <c r="F747" s="2"/>
      <c r="G747" s="2"/>
      <c r="H747" s="2"/>
    </row>
    <row r="748" spans="1:8" x14ac:dyDescent="0.35">
      <c r="A748" s="2" t="s">
        <v>4705</v>
      </c>
      <c r="B748" s="3">
        <v>43741</v>
      </c>
      <c r="C748" s="2" t="s">
        <v>4706</v>
      </c>
      <c r="D748" t="s">
        <v>6155</v>
      </c>
      <c r="E748" s="2">
        <v>3</v>
      </c>
      <c r="F748" s="2"/>
      <c r="G748" s="2"/>
      <c r="H748" s="2"/>
    </row>
    <row r="749" spans="1:8" x14ac:dyDescent="0.35">
      <c r="A749" s="2" t="s">
        <v>4711</v>
      </c>
      <c r="B749" s="3">
        <v>43501</v>
      </c>
      <c r="C749" s="2" t="s">
        <v>4712</v>
      </c>
      <c r="D749" t="s">
        <v>6160</v>
      </c>
      <c r="E749" s="2">
        <v>4</v>
      </c>
      <c r="F749" s="2"/>
      <c r="G749" s="2"/>
      <c r="H749" s="2"/>
    </row>
    <row r="750" spans="1:8" x14ac:dyDescent="0.35">
      <c r="A750" s="2" t="s">
        <v>4717</v>
      </c>
      <c r="B750" s="3">
        <v>44074</v>
      </c>
      <c r="C750" s="2" t="s">
        <v>4718</v>
      </c>
      <c r="D750" t="s">
        <v>6144</v>
      </c>
      <c r="E750" s="2">
        <v>2</v>
      </c>
      <c r="F750" s="2"/>
      <c r="G750" s="2"/>
      <c r="H750" s="2"/>
    </row>
    <row r="751" spans="1:8" x14ac:dyDescent="0.35">
      <c r="A751" s="2" t="s">
        <v>4723</v>
      </c>
      <c r="B751" s="3">
        <v>44209</v>
      </c>
      <c r="C751" s="2" t="s">
        <v>4724</v>
      </c>
      <c r="D751" t="s">
        <v>6163</v>
      </c>
      <c r="E751" s="2">
        <v>2</v>
      </c>
      <c r="F751" s="2"/>
      <c r="G751" s="2"/>
      <c r="H751" s="2"/>
    </row>
    <row r="752" spans="1:8" x14ac:dyDescent="0.35">
      <c r="A752" s="2" t="s">
        <v>4730</v>
      </c>
      <c r="B752" s="3">
        <v>44277</v>
      </c>
      <c r="C752" s="2" t="s">
        <v>4731</v>
      </c>
      <c r="D752" t="s">
        <v>6146</v>
      </c>
      <c r="E752" s="2">
        <v>1</v>
      </c>
      <c r="F752" s="2"/>
      <c r="G752" s="2"/>
      <c r="H752" s="2"/>
    </row>
    <row r="753" spans="1:8" x14ac:dyDescent="0.35">
      <c r="A753" s="2" t="s">
        <v>4735</v>
      </c>
      <c r="B753" s="3">
        <v>43847</v>
      </c>
      <c r="C753" s="2" t="s">
        <v>4736</v>
      </c>
      <c r="D753" t="s">
        <v>6161</v>
      </c>
      <c r="E753" s="2">
        <v>2</v>
      </c>
      <c r="F753" s="2"/>
      <c r="G753" s="2"/>
      <c r="H753" s="2"/>
    </row>
    <row r="754" spans="1:8" x14ac:dyDescent="0.35">
      <c r="A754" s="2" t="s">
        <v>4741</v>
      </c>
      <c r="B754" s="3">
        <v>43648</v>
      </c>
      <c r="C754" s="2" t="s">
        <v>4742</v>
      </c>
      <c r="D754" t="s">
        <v>6141</v>
      </c>
      <c r="E754" s="2">
        <v>2</v>
      </c>
      <c r="F754" s="2"/>
      <c r="G754" s="2"/>
      <c r="H754" s="2"/>
    </row>
    <row r="755" spans="1:8" x14ac:dyDescent="0.35">
      <c r="A755" s="2" t="s">
        <v>4747</v>
      </c>
      <c r="B755" s="3">
        <v>44704</v>
      </c>
      <c r="C755" s="2" t="s">
        <v>4748</v>
      </c>
      <c r="D755" t="s">
        <v>6158</v>
      </c>
      <c r="E755" s="2">
        <v>5</v>
      </c>
      <c r="F755" s="2"/>
      <c r="G755" s="2"/>
      <c r="H755" s="2"/>
    </row>
    <row r="756" spans="1:8" x14ac:dyDescent="0.35">
      <c r="A756" s="2" t="s">
        <v>4753</v>
      </c>
      <c r="B756" s="3">
        <v>44726</v>
      </c>
      <c r="C756" s="2" t="s">
        <v>4434</v>
      </c>
      <c r="D756" t="s">
        <v>6154</v>
      </c>
      <c r="E756" s="2">
        <v>6</v>
      </c>
      <c r="F756" s="2"/>
      <c r="G756" s="2"/>
      <c r="H756" s="2"/>
    </row>
    <row r="757" spans="1:8" x14ac:dyDescent="0.35">
      <c r="A757" s="2" t="s">
        <v>4758</v>
      </c>
      <c r="B757" s="3">
        <v>44397</v>
      </c>
      <c r="C757" s="2" t="s">
        <v>4759</v>
      </c>
      <c r="D757" t="s">
        <v>6145</v>
      </c>
      <c r="E757" s="2">
        <v>6</v>
      </c>
      <c r="F757" s="2"/>
      <c r="G757" s="2"/>
      <c r="H757" s="2"/>
    </row>
    <row r="758" spans="1:8" x14ac:dyDescent="0.35">
      <c r="A758" s="2" t="s">
        <v>4764</v>
      </c>
      <c r="B758" s="3">
        <v>44715</v>
      </c>
      <c r="C758" s="2" t="s">
        <v>4765</v>
      </c>
      <c r="D758" t="s">
        <v>6177</v>
      </c>
      <c r="E758" s="2">
        <v>4</v>
      </c>
      <c r="F758" s="2"/>
      <c r="G758" s="2"/>
      <c r="H758" s="2"/>
    </row>
    <row r="759" spans="1:8" x14ac:dyDescent="0.35">
      <c r="A759" s="2" t="s">
        <v>4770</v>
      </c>
      <c r="B759" s="3">
        <v>43977</v>
      </c>
      <c r="C759" s="2" t="s">
        <v>4771</v>
      </c>
      <c r="D759" t="s">
        <v>6158</v>
      </c>
      <c r="E759" s="2">
        <v>3</v>
      </c>
      <c r="F759" s="2"/>
      <c r="G759" s="2"/>
      <c r="H759" s="2"/>
    </row>
    <row r="760" spans="1:8" x14ac:dyDescent="0.35">
      <c r="A760" s="2" t="s">
        <v>4776</v>
      </c>
      <c r="B760" s="3">
        <v>43672</v>
      </c>
      <c r="C760" s="2" t="s">
        <v>4777</v>
      </c>
      <c r="D760" t="s">
        <v>6177</v>
      </c>
      <c r="E760" s="2">
        <v>1</v>
      </c>
      <c r="F760" s="2"/>
      <c r="G760" s="2"/>
      <c r="H760" s="2"/>
    </row>
    <row r="761" spans="1:8" x14ac:dyDescent="0.35">
      <c r="A761" s="2" t="s">
        <v>4781</v>
      </c>
      <c r="B761" s="3">
        <v>44126</v>
      </c>
      <c r="C761" s="2" t="s">
        <v>4782</v>
      </c>
      <c r="D761" t="s">
        <v>6165</v>
      </c>
      <c r="E761" s="2">
        <v>1</v>
      </c>
      <c r="F761" s="2"/>
      <c r="G761" s="2"/>
      <c r="H761" s="2"/>
    </row>
    <row r="762" spans="1:8" x14ac:dyDescent="0.35">
      <c r="A762" s="2" t="s">
        <v>4787</v>
      </c>
      <c r="B762" s="3">
        <v>44189</v>
      </c>
      <c r="C762" s="2" t="s">
        <v>4788</v>
      </c>
      <c r="D762" t="s">
        <v>6176</v>
      </c>
      <c r="E762" s="2">
        <v>5</v>
      </c>
      <c r="F762" s="2"/>
      <c r="G762" s="2"/>
      <c r="H762" s="2"/>
    </row>
    <row r="763" spans="1:8" x14ac:dyDescent="0.35">
      <c r="A763" s="2" t="s">
        <v>4792</v>
      </c>
      <c r="B763" s="3">
        <v>43714</v>
      </c>
      <c r="C763" s="2" t="s">
        <v>4793</v>
      </c>
      <c r="D763" t="s">
        <v>6171</v>
      </c>
      <c r="E763" s="2">
        <v>6</v>
      </c>
      <c r="F763" s="2"/>
      <c r="G763" s="2"/>
      <c r="H763" s="2"/>
    </row>
    <row r="764" spans="1:8" x14ac:dyDescent="0.35">
      <c r="A764" s="2" t="s">
        <v>4797</v>
      </c>
      <c r="B764" s="3">
        <v>43563</v>
      </c>
      <c r="C764" s="2" t="s">
        <v>4798</v>
      </c>
      <c r="D764" t="s">
        <v>6160</v>
      </c>
      <c r="E764" s="2">
        <v>5</v>
      </c>
      <c r="F764" s="2"/>
      <c r="G764" s="2"/>
      <c r="H764" s="2"/>
    </row>
    <row r="765" spans="1:8" x14ac:dyDescent="0.35">
      <c r="A765" s="2" t="s">
        <v>4803</v>
      </c>
      <c r="B765" s="3">
        <v>44587</v>
      </c>
      <c r="C765" s="2" t="s">
        <v>4804</v>
      </c>
      <c r="D765" t="s">
        <v>6180</v>
      </c>
      <c r="E765" s="2">
        <v>3</v>
      </c>
      <c r="F765" s="2"/>
      <c r="G765" s="2"/>
      <c r="H765" s="2"/>
    </row>
    <row r="766" spans="1:8" x14ac:dyDescent="0.35">
      <c r="A766" s="2" t="s">
        <v>4808</v>
      </c>
      <c r="B766" s="3">
        <v>43797</v>
      </c>
      <c r="C766" s="2" t="s">
        <v>4809</v>
      </c>
      <c r="D766" t="s">
        <v>6182</v>
      </c>
      <c r="E766" s="2">
        <v>6</v>
      </c>
      <c r="F766" s="2"/>
      <c r="G766" s="2"/>
      <c r="H766" s="2"/>
    </row>
    <row r="767" spans="1:8" x14ac:dyDescent="0.35">
      <c r="A767" s="2" t="s">
        <v>4814</v>
      </c>
      <c r="B767" s="3">
        <v>43667</v>
      </c>
      <c r="C767" s="2" t="s">
        <v>4815</v>
      </c>
      <c r="D767" t="s">
        <v>6138</v>
      </c>
      <c r="E767" s="2">
        <v>6</v>
      </c>
      <c r="F767" s="2"/>
      <c r="G767" s="2"/>
      <c r="H767" s="2"/>
    </row>
    <row r="768" spans="1:8" x14ac:dyDescent="0.35">
      <c r="A768" s="2" t="s">
        <v>4814</v>
      </c>
      <c r="B768" s="3">
        <v>43667</v>
      </c>
      <c r="C768" s="2" t="s">
        <v>4815</v>
      </c>
      <c r="D768" t="s">
        <v>6180</v>
      </c>
      <c r="E768" s="2">
        <v>2</v>
      </c>
      <c r="F768" s="2"/>
      <c r="G768" s="2"/>
      <c r="H768" s="2"/>
    </row>
    <row r="769" spans="1:8" x14ac:dyDescent="0.35">
      <c r="A769" s="2" t="s">
        <v>4825</v>
      </c>
      <c r="B769" s="3">
        <v>44267</v>
      </c>
      <c r="C769" s="2" t="s">
        <v>4759</v>
      </c>
      <c r="D769" t="s">
        <v>6182</v>
      </c>
      <c r="E769" s="2">
        <v>3</v>
      </c>
      <c r="F769" s="2"/>
      <c r="G769" s="2"/>
      <c r="H769" s="2"/>
    </row>
    <row r="770" spans="1:8" x14ac:dyDescent="0.35">
      <c r="A770" s="2" t="s">
        <v>4831</v>
      </c>
      <c r="B770" s="3">
        <v>44562</v>
      </c>
      <c r="C770" s="2" t="s">
        <v>4759</v>
      </c>
      <c r="D770" t="s">
        <v>6179</v>
      </c>
      <c r="E770" s="2">
        <v>2</v>
      </c>
      <c r="F770" s="2"/>
      <c r="G770" s="2"/>
      <c r="H770" s="2"/>
    </row>
    <row r="771" spans="1:8" x14ac:dyDescent="0.35">
      <c r="A771" s="2" t="s">
        <v>4836</v>
      </c>
      <c r="B771" s="3">
        <v>43912</v>
      </c>
      <c r="C771" s="2" t="s">
        <v>4837</v>
      </c>
      <c r="D771" t="s">
        <v>6151</v>
      </c>
      <c r="E771" s="2">
        <v>6</v>
      </c>
      <c r="F771" s="2"/>
      <c r="G771" s="2"/>
      <c r="H771" s="2"/>
    </row>
    <row r="772" spans="1:8" x14ac:dyDescent="0.35">
      <c r="A772" s="2" t="s">
        <v>4842</v>
      </c>
      <c r="B772" s="3">
        <v>44092</v>
      </c>
      <c r="C772" s="2" t="s">
        <v>4843</v>
      </c>
      <c r="D772" t="s">
        <v>6147</v>
      </c>
      <c r="E772" s="2">
        <v>1</v>
      </c>
      <c r="F772" s="2"/>
      <c r="G772" s="2"/>
      <c r="H772" s="2"/>
    </row>
    <row r="773" spans="1:8" x14ac:dyDescent="0.35">
      <c r="A773" s="2" t="s">
        <v>4847</v>
      </c>
      <c r="B773" s="3">
        <v>43468</v>
      </c>
      <c r="C773" s="2" t="s">
        <v>4848</v>
      </c>
      <c r="D773" t="s">
        <v>6173</v>
      </c>
      <c r="E773" s="2">
        <v>3</v>
      </c>
      <c r="F773" s="2"/>
      <c r="G773" s="2"/>
      <c r="H773" s="2"/>
    </row>
    <row r="774" spans="1:8" x14ac:dyDescent="0.35">
      <c r="A774" s="2" t="s">
        <v>4853</v>
      </c>
      <c r="B774" s="3">
        <v>44468</v>
      </c>
      <c r="C774" s="2" t="s">
        <v>4854</v>
      </c>
      <c r="D774" t="s">
        <v>6141</v>
      </c>
      <c r="E774" s="2">
        <v>6</v>
      </c>
      <c r="F774" s="2"/>
      <c r="G774" s="2"/>
      <c r="H774" s="2"/>
    </row>
    <row r="775" spans="1:8" x14ac:dyDescent="0.35">
      <c r="A775" s="2" t="s">
        <v>4858</v>
      </c>
      <c r="B775" s="3">
        <v>44488</v>
      </c>
      <c r="C775" s="2" t="s">
        <v>4859</v>
      </c>
      <c r="D775" t="s">
        <v>6159</v>
      </c>
      <c r="E775" s="2">
        <v>2</v>
      </c>
      <c r="F775" s="2"/>
      <c r="G775" s="2"/>
      <c r="H775" s="2"/>
    </row>
    <row r="776" spans="1:8" x14ac:dyDescent="0.35">
      <c r="A776" s="2" t="s">
        <v>4864</v>
      </c>
      <c r="B776" s="3">
        <v>44756</v>
      </c>
      <c r="C776" s="2" t="s">
        <v>4865</v>
      </c>
      <c r="D776" t="s">
        <v>6138</v>
      </c>
      <c r="E776" s="2">
        <v>2</v>
      </c>
      <c r="F776" s="2"/>
      <c r="G776" s="2"/>
      <c r="H776" s="2"/>
    </row>
    <row r="777" spans="1:8" x14ac:dyDescent="0.35">
      <c r="A777" s="2" t="s">
        <v>4869</v>
      </c>
      <c r="B777" s="3">
        <v>44396</v>
      </c>
      <c r="C777" s="2" t="s">
        <v>4870</v>
      </c>
      <c r="D777" t="s">
        <v>6176</v>
      </c>
      <c r="E777" s="2">
        <v>2</v>
      </c>
      <c r="F777" s="2"/>
      <c r="G777" s="2"/>
      <c r="H777" s="2"/>
    </row>
    <row r="778" spans="1:8" x14ac:dyDescent="0.35">
      <c r="A778" s="2" t="s">
        <v>4875</v>
      </c>
      <c r="B778" s="3">
        <v>44540</v>
      </c>
      <c r="C778" s="2" t="s">
        <v>4876</v>
      </c>
      <c r="D778" t="s">
        <v>6157</v>
      </c>
      <c r="E778" s="2">
        <v>3</v>
      </c>
      <c r="F778" s="2"/>
      <c r="G778" s="2"/>
      <c r="H778" s="2"/>
    </row>
    <row r="779" spans="1:8" x14ac:dyDescent="0.35">
      <c r="A779" s="2" t="s">
        <v>4881</v>
      </c>
      <c r="B779" s="3">
        <v>43541</v>
      </c>
      <c r="C779" s="2" t="s">
        <v>4882</v>
      </c>
      <c r="D779" t="s">
        <v>6182</v>
      </c>
      <c r="E779" s="2">
        <v>2</v>
      </c>
      <c r="F779" s="2"/>
      <c r="G779" s="2"/>
      <c r="H779" s="2"/>
    </row>
    <row r="780" spans="1:8" x14ac:dyDescent="0.35">
      <c r="A780" s="2" t="s">
        <v>4886</v>
      </c>
      <c r="B780" s="3">
        <v>43889</v>
      </c>
      <c r="C780" s="2" t="s">
        <v>4933</v>
      </c>
      <c r="D780" t="s">
        <v>6161</v>
      </c>
      <c r="E780" s="2">
        <v>2</v>
      </c>
      <c r="F780" s="2"/>
      <c r="G780" s="2"/>
      <c r="H780" s="2"/>
    </row>
    <row r="781" spans="1:8" x14ac:dyDescent="0.35">
      <c r="A781" s="2" t="s">
        <v>4892</v>
      </c>
      <c r="B781" s="3">
        <v>43985</v>
      </c>
      <c r="C781" s="2" t="s">
        <v>4893</v>
      </c>
      <c r="D781" t="s">
        <v>6143</v>
      </c>
      <c r="E781" s="2">
        <v>6</v>
      </c>
      <c r="F781" s="2"/>
      <c r="G781" s="2"/>
      <c r="H781" s="2"/>
    </row>
    <row r="782" spans="1:8" x14ac:dyDescent="0.35">
      <c r="A782" s="2" t="s">
        <v>4898</v>
      </c>
      <c r="B782" s="3">
        <v>43883</v>
      </c>
      <c r="C782" s="2" t="s">
        <v>4899</v>
      </c>
      <c r="D782" t="s">
        <v>6141</v>
      </c>
      <c r="E782" s="2">
        <v>3</v>
      </c>
      <c r="F782" s="2"/>
      <c r="G782" s="2"/>
      <c r="H782" s="2"/>
    </row>
    <row r="783" spans="1:8" x14ac:dyDescent="0.35">
      <c r="A783" s="2" t="s">
        <v>4903</v>
      </c>
      <c r="B783" s="3">
        <v>43778</v>
      </c>
      <c r="C783" s="2" t="s">
        <v>4904</v>
      </c>
      <c r="D783" t="s">
        <v>6164</v>
      </c>
      <c r="E783" s="2">
        <v>4</v>
      </c>
      <c r="F783" s="2"/>
      <c r="G783" s="2"/>
      <c r="H783" s="2"/>
    </row>
    <row r="784" spans="1:8" x14ac:dyDescent="0.35">
      <c r="A784" s="2" t="s">
        <v>4909</v>
      </c>
      <c r="B784" s="3">
        <v>43897</v>
      </c>
      <c r="C784" s="2" t="s">
        <v>4910</v>
      </c>
      <c r="D784" t="s">
        <v>6184</v>
      </c>
      <c r="E784" s="2">
        <v>6</v>
      </c>
      <c r="F784" s="2"/>
      <c r="G784" s="2"/>
      <c r="H784" s="2"/>
    </row>
    <row r="785" spans="1:8" x14ac:dyDescent="0.35">
      <c r="A785" s="2" t="s">
        <v>4915</v>
      </c>
      <c r="B785" s="3">
        <v>44312</v>
      </c>
      <c r="C785" s="2" t="s">
        <v>4916</v>
      </c>
      <c r="D785" t="s">
        <v>6160</v>
      </c>
      <c r="E785" s="2">
        <v>5</v>
      </c>
      <c r="F785" s="2"/>
      <c r="G785" s="2"/>
      <c r="H785" s="2"/>
    </row>
    <row r="786" spans="1:8" x14ac:dyDescent="0.35">
      <c r="A786" s="2" t="s">
        <v>4921</v>
      </c>
      <c r="B786" s="3">
        <v>44511</v>
      </c>
      <c r="C786" s="2" t="s">
        <v>4922</v>
      </c>
      <c r="D786" t="s">
        <v>6170</v>
      </c>
      <c r="E786" s="2">
        <v>2</v>
      </c>
      <c r="F786" s="2"/>
      <c r="G786" s="2"/>
      <c r="H786" s="2"/>
    </row>
    <row r="787" spans="1:8" x14ac:dyDescent="0.35">
      <c r="A787" s="2" t="s">
        <v>4926</v>
      </c>
      <c r="B787" s="3">
        <v>44362</v>
      </c>
      <c r="C787" s="2" t="s">
        <v>4927</v>
      </c>
      <c r="D787" t="s">
        <v>6168</v>
      </c>
      <c r="E787" s="2">
        <v>1</v>
      </c>
      <c r="F787" s="2"/>
      <c r="G787" s="2"/>
      <c r="H787" s="2"/>
    </row>
    <row r="788" spans="1:8" x14ac:dyDescent="0.35">
      <c r="A788" s="2" t="s">
        <v>4932</v>
      </c>
      <c r="B788" s="3">
        <v>43888</v>
      </c>
      <c r="C788" s="2" t="s">
        <v>4933</v>
      </c>
      <c r="D788" t="s">
        <v>6185</v>
      </c>
      <c r="E788" s="2">
        <v>1</v>
      </c>
      <c r="F788" s="2"/>
      <c r="G788" s="2"/>
      <c r="H788" s="2"/>
    </row>
    <row r="789" spans="1:8" x14ac:dyDescent="0.35">
      <c r="A789" s="2" t="s">
        <v>4938</v>
      </c>
      <c r="B789" s="3">
        <v>44305</v>
      </c>
      <c r="C789" s="2" t="s">
        <v>4939</v>
      </c>
      <c r="D789" t="s">
        <v>6141</v>
      </c>
      <c r="E789" s="2">
        <v>6</v>
      </c>
      <c r="F789" s="2"/>
      <c r="G789" s="2"/>
      <c r="H789" s="2"/>
    </row>
    <row r="790" spans="1:8" x14ac:dyDescent="0.35">
      <c r="A790" s="2" t="s">
        <v>4943</v>
      </c>
      <c r="B790" s="3">
        <v>44771</v>
      </c>
      <c r="C790" s="2" t="s">
        <v>4944</v>
      </c>
      <c r="D790" t="s">
        <v>6151</v>
      </c>
      <c r="E790" s="2">
        <v>2</v>
      </c>
      <c r="F790" s="2"/>
      <c r="G790" s="2"/>
      <c r="H790" s="2"/>
    </row>
    <row r="791" spans="1:8" x14ac:dyDescent="0.35">
      <c r="A791" s="2" t="s">
        <v>4949</v>
      </c>
      <c r="B791" s="3">
        <v>43485</v>
      </c>
      <c r="C791" s="2" t="s">
        <v>4950</v>
      </c>
      <c r="D791" t="s">
        <v>6140</v>
      </c>
      <c r="E791" s="2">
        <v>6</v>
      </c>
      <c r="F791" s="2"/>
      <c r="G791" s="2"/>
      <c r="H791" s="2"/>
    </row>
    <row r="792" spans="1:8" x14ac:dyDescent="0.35">
      <c r="A792" s="2" t="s">
        <v>4955</v>
      </c>
      <c r="B792" s="3">
        <v>44613</v>
      </c>
      <c r="C792" s="2" t="s">
        <v>4956</v>
      </c>
      <c r="D792" t="s">
        <v>6180</v>
      </c>
      <c r="E792" s="2">
        <v>3</v>
      </c>
      <c r="F792" s="2"/>
      <c r="G792" s="2"/>
      <c r="H792" s="2"/>
    </row>
    <row r="793" spans="1:8" x14ac:dyDescent="0.35">
      <c r="A793" s="2" t="s">
        <v>4961</v>
      </c>
      <c r="B793" s="3">
        <v>43954</v>
      </c>
      <c r="C793" s="2" t="s">
        <v>4962</v>
      </c>
      <c r="D793" t="s">
        <v>6145</v>
      </c>
      <c r="E793" s="2">
        <v>5</v>
      </c>
      <c r="F793" s="2"/>
      <c r="G793" s="2"/>
      <c r="H793" s="2"/>
    </row>
    <row r="794" spans="1:8" x14ac:dyDescent="0.35">
      <c r="A794" s="2" t="s">
        <v>4967</v>
      </c>
      <c r="B794" s="3">
        <v>43545</v>
      </c>
      <c r="C794" s="2" t="s">
        <v>4968</v>
      </c>
      <c r="D794" t="s">
        <v>6160</v>
      </c>
      <c r="E794" s="2">
        <v>6</v>
      </c>
      <c r="F794" s="2"/>
      <c r="G794" s="2"/>
      <c r="H794" s="2"/>
    </row>
    <row r="795" spans="1:8" x14ac:dyDescent="0.35">
      <c r="A795" s="2" t="s">
        <v>4973</v>
      </c>
      <c r="B795" s="3">
        <v>43629</v>
      </c>
      <c r="C795" s="2" t="s">
        <v>4974</v>
      </c>
      <c r="D795" t="s">
        <v>6178</v>
      </c>
      <c r="E795" s="2">
        <v>5</v>
      </c>
      <c r="F795" s="2"/>
      <c r="G795" s="2"/>
      <c r="H795" s="2"/>
    </row>
    <row r="796" spans="1:8" x14ac:dyDescent="0.35">
      <c r="A796" s="2" t="s">
        <v>4979</v>
      </c>
      <c r="B796" s="3">
        <v>43987</v>
      </c>
      <c r="C796" s="2" t="s">
        <v>4980</v>
      </c>
      <c r="D796" t="s">
        <v>6182</v>
      </c>
      <c r="E796" s="2">
        <v>5</v>
      </c>
      <c r="F796" s="2"/>
      <c r="G796" s="2"/>
      <c r="H796" s="2"/>
    </row>
    <row r="797" spans="1:8" x14ac:dyDescent="0.35">
      <c r="A797" s="2" t="s">
        <v>4985</v>
      </c>
      <c r="B797" s="3">
        <v>43540</v>
      </c>
      <c r="C797" s="2" t="s">
        <v>4986</v>
      </c>
      <c r="D797" t="s">
        <v>6173</v>
      </c>
      <c r="E797" s="2">
        <v>4</v>
      </c>
      <c r="F797" s="2"/>
      <c r="G797" s="2"/>
      <c r="H797" s="2"/>
    </row>
    <row r="798" spans="1:8" x14ac:dyDescent="0.35">
      <c r="A798" s="2" t="s">
        <v>4991</v>
      </c>
      <c r="B798" s="3">
        <v>44533</v>
      </c>
      <c r="C798" s="2" t="s">
        <v>4992</v>
      </c>
      <c r="D798" t="s">
        <v>6161</v>
      </c>
      <c r="E798" s="2">
        <v>1</v>
      </c>
      <c r="F798" s="2"/>
      <c r="G798" s="2"/>
      <c r="H798" s="2"/>
    </row>
    <row r="799" spans="1:8" x14ac:dyDescent="0.35">
      <c r="A799" s="2" t="s">
        <v>4996</v>
      </c>
      <c r="B799" s="3">
        <v>44751</v>
      </c>
      <c r="C799" s="2" t="s">
        <v>4997</v>
      </c>
      <c r="D799" t="s">
        <v>6180</v>
      </c>
      <c r="E799" s="2">
        <v>4</v>
      </c>
      <c r="F799" s="2"/>
      <c r="G799" s="2"/>
      <c r="H799" s="2"/>
    </row>
    <row r="800" spans="1:8" x14ac:dyDescent="0.35">
      <c r="A800" s="2" t="s">
        <v>5002</v>
      </c>
      <c r="B800" s="3">
        <v>43950</v>
      </c>
      <c r="C800" s="2" t="s">
        <v>5003</v>
      </c>
      <c r="D800" t="s">
        <v>6163</v>
      </c>
      <c r="E800" s="2">
        <v>3</v>
      </c>
      <c r="F800" s="2"/>
      <c r="G800" s="2"/>
      <c r="H800" s="2"/>
    </row>
    <row r="801" spans="1:8" x14ac:dyDescent="0.35">
      <c r="A801" s="2" t="s">
        <v>5008</v>
      </c>
      <c r="B801" s="3">
        <v>44588</v>
      </c>
      <c r="C801" s="2" t="s">
        <v>5009</v>
      </c>
      <c r="D801" t="s">
        <v>6183</v>
      </c>
      <c r="E801" s="2">
        <v>3</v>
      </c>
      <c r="F801" s="2"/>
      <c r="G801" s="2"/>
      <c r="H801" s="2"/>
    </row>
    <row r="802" spans="1:8" x14ac:dyDescent="0.35">
      <c r="A802" s="2" t="s">
        <v>5012</v>
      </c>
      <c r="B802" s="3">
        <v>44240</v>
      </c>
      <c r="C802" s="2" t="s">
        <v>5013</v>
      </c>
      <c r="D802" t="s">
        <v>6163</v>
      </c>
      <c r="E802" s="2">
        <v>6</v>
      </c>
      <c r="F802" s="2"/>
      <c r="G802" s="2"/>
      <c r="H802" s="2"/>
    </row>
    <row r="803" spans="1:8" x14ac:dyDescent="0.35">
      <c r="A803" s="2" t="s">
        <v>5018</v>
      </c>
      <c r="B803" s="3">
        <v>44025</v>
      </c>
      <c r="C803" s="2" t="s">
        <v>5019</v>
      </c>
      <c r="D803" t="s">
        <v>6149</v>
      </c>
      <c r="E803" s="2">
        <v>2</v>
      </c>
      <c r="F803" s="2"/>
      <c r="G803" s="2"/>
      <c r="H803" s="2"/>
    </row>
    <row r="804" spans="1:8" x14ac:dyDescent="0.35">
      <c r="A804" s="2" t="s">
        <v>5024</v>
      </c>
      <c r="B804" s="3">
        <v>43902</v>
      </c>
      <c r="C804" s="2" t="s">
        <v>5025</v>
      </c>
      <c r="D804" t="s">
        <v>6163</v>
      </c>
      <c r="E804" s="2">
        <v>4</v>
      </c>
      <c r="F804" s="2"/>
      <c r="G804" s="2"/>
      <c r="H804" s="2"/>
    </row>
    <row r="805" spans="1:8" x14ac:dyDescent="0.35">
      <c r="A805" s="2" t="s">
        <v>5030</v>
      </c>
      <c r="B805" s="3">
        <v>43955</v>
      </c>
      <c r="C805" s="2" t="s">
        <v>5031</v>
      </c>
      <c r="D805" t="s">
        <v>6166</v>
      </c>
      <c r="E805" s="2">
        <v>4</v>
      </c>
      <c r="F805" s="2"/>
      <c r="G805" s="2"/>
      <c r="H805" s="2"/>
    </row>
    <row r="806" spans="1:8" x14ac:dyDescent="0.35">
      <c r="A806" s="2" t="s">
        <v>5035</v>
      </c>
      <c r="B806" s="3">
        <v>44289</v>
      </c>
      <c r="C806" s="2" t="s">
        <v>5036</v>
      </c>
      <c r="D806" t="s">
        <v>6179</v>
      </c>
      <c r="E806" s="2">
        <v>2</v>
      </c>
      <c r="F806" s="2"/>
      <c r="G806" s="2"/>
      <c r="H806" s="2"/>
    </row>
    <row r="807" spans="1:8" x14ac:dyDescent="0.35">
      <c r="A807" s="2" t="s">
        <v>5040</v>
      </c>
      <c r="B807" s="3">
        <v>44713</v>
      </c>
      <c r="C807" s="2" t="s">
        <v>5041</v>
      </c>
      <c r="D807" t="s">
        <v>6146</v>
      </c>
      <c r="E807" s="2">
        <v>1</v>
      </c>
      <c r="F807" s="2"/>
      <c r="G807" s="2"/>
      <c r="H807" s="2"/>
    </row>
    <row r="808" spans="1:8" x14ac:dyDescent="0.35">
      <c r="A808" s="2" t="s">
        <v>5046</v>
      </c>
      <c r="B808" s="3">
        <v>44241</v>
      </c>
      <c r="C808" s="2" t="s">
        <v>5047</v>
      </c>
      <c r="D808" t="s">
        <v>6150</v>
      </c>
      <c r="E808" s="2">
        <v>2</v>
      </c>
      <c r="F808" s="2"/>
      <c r="G808" s="2"/>
      <c r="H808" s="2"/>
    </row>
    <row r="809" spans="1:8" x14ac:dyDescent="0.35">
      <c r="A809" s="2" t="s">
        <v>5050</v>
      </c>
      <c r="B809" s="3">
        <v>44543</v>
      </c>
      <c r="C809" s="2" t="s">
        <v>5051</v>
      </c>
      <c r="D809" t="s">
        <v>6169</v>
      </c>
      <c r="E809" s="2">
        <v>3</v>
      </c>
      <c r="F809" s="2"/>
      <c r="G809" s="2"/>
      <c r="H809" s="2"/>
    </row>
    <row r="810" spans="1:8" x14ac:dyDescent="0.35">
      <c r="A810" s="2" t="s">
        <v>5056</v>
      </c>
      <c r="B810" s="3">
        <v>43868</v>
      </c>
      <c r="C810" s="2" t="s">
        <v>5113</v>
      </c>
      <c r="D810" t="s">
        <v>6142</v>
      </c>
      <c r="E810" s="2">
        <v>5</v>
      </c>
      <c r="F810" s="2"/>
      <c r="G810" s="2"/>
      <c r="H810" s="2"/>
    </row>
    <row r="811" spans="1:8" x14ac:dyDescent="0.35">
      <c r="A811" s="2" t="s">
        <v>5062</v>
      </c>
      <c r="B811" s="3">
        <v>44235</v>
      </c>
      <c r="C811" s="2" t="s">
        <v>5063</v>
      </c>
      <c r="D811" t="s">
        <v>6163</v>
      </c>
      <c r="E811" s="2">
        <v>3</v>
      </c>
      <c r="F811" s="2"/>
      <c r="G811" s="2"/>
      <c r="H811" s="2"/>
    </row>
    <row r="812" spans="1:8" x14ac:dyDescent="0.35">
      <c r="A812" s="2" t="s">
        <v>5067</v>
      </c>
      <c r="B812" s="3">
        <v>44054</v>
      </c>
      <c r="C812" s="2" t="s">
        <v>5068</v>
      </c>
      <c r="D812" t="s">
        <v>6161</v>
      </c>
      <c r="E812" s="2">
        <v>3</v>
      </c>
      <c r="F812" s="2"/>
      <c r="G812" s="2"/>
      <c r="H812" s="2"/>
    </row>
    <row r="813" spans="1:8" x14ac:dyDescent="0.35">
      <c r="A813" s="2" t="s">
        <v>5073</v>
      </c>
      <c r="B813" s="3">
        <v>44114</v>
      </c>
      <c r="C813" s="2" t="s">
        <v>5074</v>
      </c>
      <c r="D813" t="s">
        <v>6155</v>
      </c>
      <c r="E813" s="2">
        <v>6</v>
      </c>
      <c r="F813" s="2"/>
      <c r="G813" s="2"/>
      <c r="H813" s="2"/>
    </row>
    <row r="814" spans="1:8" x14ac:dyDescent="0.35">
      <c r="A814" s="2" t="s">
        <v>5073</v>
      </c>
      <c r="B814" s="3">
        <v>44114</v>
      </c>
      <c r="C814" s="2" t="s">
        <v>5074</v>
      </c>
      <c r="D814" t="s">
        <v>6165</v>
      </c>
      <c r="E814" s="2">
        <v>6</v>
      </c>
      <c r="F814" s="2"/>
      <c r="G814" s="2"/>
      <c r="H814" s="2"/>
    </row>
    <row r="815" spans="1:8" x14ac:dyDescent="0.35">
      <c r="A815" s="2" t="s">
        <v>5084</v>
      </c>
      <c r="B815" s="3">
        <v>44173</v>
      </c>
      <c r="C815" s="2" t="s">
        <v>5085</v>
      </c>
      <c r="D815" t="s">
        <v>6166</v>
      </c>
      <c r="E815" s="2">
        <v>1</v>
      </c>
      <c r="F815" s="2"/>
      <c r="G815" s="2"/>
      <c r="H815" s="2"/>
    </row>
    <row r="816" spans="1:8" x14ac:dyDescent="0.35">
      <c r="A816" s="2" t="s">
        <v>5090</v>
      </c>
      <c r="B816" s="3">
        <v>43573</v>
      </c>
      <c r="C816" s="2" t="s">
        <v>5091</v>
      </c>
      <c r="D816" t="s">
        <v>6184</v>
      </c>
      <c r="E816" s="2">
        <v>2</v>
      </c>
      <c r="F816" s="2"/>
      <c r="G816" s="2"/>
      <c r="H816" s="2"/>
    </row>
    <row r="817" spans="1:8" x14ac:dyDescent="0.35">
      <c r="A817" s="2" t="s">
        <v>5096</v>
      </c>
      <c r="B817" s="3">
        <v>44200</v>
      </c>
      <c r="C817" s="2" t="s">
        <v>5097</v>
      </c>
      <c r="D817" t="s">
        <v>6146</v>
      </c>
      <c r="E817" s="2">
        <v>6</v>
      </c>
      <c r="F817" s="2"/>
      <c r="G817" s="2"/>
      <c r="H817" s="2"/>
    </row>
    <row r="818" spans="1:8" x14ac:dyDescent="0.35">
      <c r="A818" s="2" t="s">
        <v>5102</v>
      </c>
      <c r="B818" s="3">
        <v>43534</v>
      </c>
      <c r="C818" s="2" t="s">
        <v>5103</v>
      </c>
      <c r="D818" t="s">
        <v>6161</v>
      </c>
      <c r="E818" s="2">
        <v>4</v>
      </c>
      <c r="F818" s="2"/>
      <c r="G818" s="2"/>
      <c r="H818" s="2"/>
    </row>
    <row r="819" spans="1:8" x14ac:dyDescent="0.35">
      <c r="A819" s="2" t="s">
        <v>5107</v>
      </c>
      <c r="B819" s="3">
        <v>43798</v>
      </c>
      <c r="C819" s="2" t="s">
        <v>5108</v>
      </c>
      <c r="D819" t="s">
        <v>6169</v>
      </c>
      <c r="E819" s="2">
        <v>2</v>
      </c>
      <c r="F819" s="2"/>
      <c r="G819" s="2"/>
      <c r="H819" s="2"/>
    </row>
    <row r="820" spans="1:8" x14ac:dyDescent="0.35">
      <c r="A820" s="2" t="s">
        <v>5112</v>
      </c>
      <c r="B820" s="3">
        <v>44761</v>
      </c>
      <c r="C820" s="2" t="s">
        <v>5113</v>
      </c>
      <c r="D820" t="s">
        <v>6170</v>
      </c>
      <c r="E820" s="2">
        <v>5</v>
      </c>
      <c r="F820" s="2"/>
      <c r="G820" s="2"/>
      <c r="H820" s="2"/>
    </row>
    <row r="821" spans="1:8" x14ac:dyDescent="0.35">
      <c r="A821" s="2" t="s">
        <v>5117</v>
      </c>
      <c r="B821" s="3">
        <v>44008</v>
      </c>
      <c r="C821" s="2" t="s">
        <v>5118</v>
      </c>
      <c r="D821" t="s">
        <v>6145</v>
      </c>
      <c r="E821" s="2">
        <v>1</v>
      </c>
      <c r="F821" s="2"/>
      <c r="G821" s="2"/>
      <c r="H821" s="2"/>
    </row>
    <row r="822" spans="1:8" x14ac:dyDescent="0.35">
      <c r="A822" s="2" t="s">
        <v>5123</v>
      </c>
      <c r="B822" s="3">
        <v>43510</v>
      </c>
      <c r="C822" s="2" t="s">
        <v>5124</v>
      </c>
      <c r="D822" t="s">
        <v>6141</v>
      </c>
      <c r="E822" s="2">
        <v>4</v>
      </c>
      <c r="F822" s="2"/>
      <c r="G822" s="2"/>
      <c r="H822" s="2"/>
    </row>
    <row r="823" spans="1:8" x14ac:dyDescent="0.35">
      <c r="A823" s="2" t="s">
        <v>5129</v>
      </c>
      <c r="B823" s="3">
        <v>44144</v>
      </c>
      <c r="C823" s="2" t="s">
        <v>5130</v>
      </c>
      <c r="D823" t="s">
        <v>6172</v>
      </c>
      <c r="E823" s="2">
        <v>5</v>
      </c>
      <c r="F823" s="2"/>
      <c r="G823" s="2"/>
      <c r="H823" s="2"/>
    </row>
    <row r="824" spans="1:8" x14ac:dyDescent="0.35">
      <c r="A824" s="2" t="s">
        <v>5135</v>
      </c>
      <c r="B824" s="3">
        <v>43585</v>
      </c>
      <c r="C824" s="2" t="s">
        <v>5136</v>
      </c>
      <c r="D824" t="s">
        <v>6148</v>
      </c>
      <c r="E824" s="2">
        <v>4</v>
      </c>
      <c r="F824" s="2"/>
      <c r="G824" s="2"/>
      <c r="H824" s="2"/>
    </row>
    <row r="825" spans="1:8" x14ac:dyDescent="0.35">
      <c r="A825" s="2" t="s">
        <v>5141</v>
      </c>
      <c r="B825" s="3">
        <v>44134</v>
      </c>
      <c r="C825" s="2" t="s">
        <v>5142</v>
      </c>
      <c r="D825" t="s">
        <v>6170</v>
      </c>
      <c r="E825" s="2">
        <v>3</v>
      </c>
      <c r="F825" s="2"/>
      <c r="G825" s="2"/>
      <c r="H825" s="2"/>
    </row>
    <row r="826" spans="1:8" x14ac:dyDescent="0.35">
      <c r="A826" s="2" t="s">
        <v>5147</v>
      </c>
      <c r="B826" s="3">
        <v>43781</v>
      </c>
      <c r="C826" s="2" t="s">
        <v>5148</v>
      </c>
      <c r="D826" t="s">
        <v>6152</v>
      </c>
      <c r="E826" s="2">
        <v>5</v>
      </c>
      <c r="F826" s="2"/>
      <c r="G826" s="2"/>
      <c r="H826" s="2"/>
    </row>
    <row r="827" spans="1:8" x14ac:dyDescent="0.35">
      <c r="A827" s="2" t="s">
        <v>5152</v>
      </c>
      <c r="B827" s="3">
        <v>44603</v>
      </c>
      <c r="C827" s="2" t="s">
        <v>5188</v>
      </c>
      <c r="D827" t="s">
        <v>6147</v>
      </c>
      <c r="E827" s="2">
        <v>3</v>
      </c>
      <c r="F827" s="2"/>
      <c r="G827" s="2"/>
      <c r="H827" s="2"/>
    </row>
    <row r="828" spans="1:8" x14ac:dyDescent="0.35">
      <c r="A828" s="2" t="s">
        <v>5158</v>
      </c>
      <c r="B828" s="3">
        <v>44283</v>
      </c>
      <c r="C828" s="2" t="s">
        <v>5159</v>
      </c>
      <c r="D828" t="s">
        <v>6139</v>
      </c>
      <c r="E828" s="2">
        <v>5</v>
      </c>
      <c r="F828" s="2"/>
      <c r="G828" s="2"/>
      <c r="H828" s="2"/>
    </row>
    <row r="829" spans="1:8" x14ac:dyDescent="0.35">
      <c r="A829" s="2" t="s">
        <v>5164</v>
      </c>
      <c r="B829" s="3">
        <v>44540</v>
      </c>
      <c r="C829" s="2" t="s">
        <v>5165</v>
      </c>
      <c r="D829" t="s">
        <v>6156</v>
      </c>
      <c r="E829" s="2">
        <v>5</v>
      </c>
      <c r="F829" s="2"/>
      <c r="G829" s="2"/>
      <c r="H829" s="2"/>
    </row>
    <row r="830" spans="1:8" x14ac:dyDescent="0.35">
      <c r="A830" s="2" t="s">
        <v>5170</v>
      </c>
      <c r="B830" s="3">
        <v>44505</v>
      </c>
      <c r="C830" s="2" t="s">
        <v>5171</v>
      </c>
      <c r="D830" t="s">
        <v>6168</v>
      </c>
      <c r="E830" s="2">
        <v>6</v>
      </c>
      <c r="F830" s="2"/>
      <c r="G830" s="2"/>
      <c r="H830" s="2"/>
    </row>
    <row r="831" spans="1:8" x14ac:dyDescent="0.35">
      <c r="A831" s="2" t="s">
        <v>5176</v>
      </c>
      <c r="B831" s="3">
        <v>43890</v>
      </c>
      <c r="C831" s="2" t="s">
        <v>5177</v>
      </c>
      <c r="D831" t="s">
        <v>6154</v>
      </c>
      <c r="E831" s="2">
        <v>1</v>
      </c>
      <c r="F831" s="2"/>
      <c r="G831" s="2"/>
      <c r="H831" s="2"/>
    </row>
    <row r="832" spans="1:8" x14ac:dyDescent="0.35">
      <c r="A832" s="2" t="s">
        <v>5182</v>
      </c>
      <c r="B832" s="3">
        <v>44414</v>
      </c>
      <c r="C832" s="2" t="s">
        <v>5183</v>
      </c>
      <c r="D832" t="s">
        <v>6141</v>
      </c>
      <c r="E832" s="2">
        <v>2</v>
      </c>
      <c r="F832" s="2"/>
      <c r="G832" s="2"/>
      <c r="H832" s="2"/>
    </row>
    <row r="833" spans="1:8" x14ac:dyDescent="0.35">
      <c r="A833" s="2" t="s">
        <v>5182</v>
      </c>
      <c r="B833" s="3">
        <v>44414</v>
      </c>
      <c r="C833" s="2" t="s">
        <v>5183</v>
      </c>
      <c r="D833" t="s">
        <v>6154</v>
      </c>
      <c r="E833" s="2">
        <v>2</v>
      </c>
      <c r="F833" s="2"/>
      <c r="G833" s="2"/>
      <c r="H833" s="2"/>
    </row>
    <row r="834" spans="1:8" x14ac:dyDescent="0.35">
      <c r="A834" s="2" t="s">
        <v>5193</v>
      </c>
      <c r="B834" s="3">
        <v>44274</v>
      </c>
      <c r="C834" s="2" t="s">
        <v>5194</v>
      </c>
      <c r="D834" t="s">
        <v>6138</v>
      </c>
      <c r="E834" s="2">
        <v>6</v>
      </c>
      <c r="F834" s="2"/>
      <c r="G834" s="2"/>
      <c r="H834" s="2"/>
    </row>
    <row r="835" spans="1:8" x14ac:dyDescent="0.35">
      <c r="A835" s="2" t="s">
        <v>5199</v>
      </c>
      <c r="B835" s="3">
        <v>44302</v>
      </c>
      <c r="C835" s="2" t="s">
        <v>5200</v>
      </c>
      <c r="D835" t="s">
        <v>6149</v>
      </c>
      <c r="E835" s="2">
        <v>4</v>
      </c>
      <c r="F835" s="2"/>
      <c r="G835" s="2"/>
      <c r="H835" s="2"/>
    </row>
    <row r="836" spans="1:8" x14ac:dyDescent="0.35">
      <c r="A836" s="2" t="s">
        <v>5205</v>
      </c>
      <c r="B836" s="3">
        <v>44141</v>
      </c>
      <c r="C836" s="2" t="s">
        <v>5206</v>
      </c>
      <c r="D836" t="s">
        <v>6168</v>
      </c>
      <c r="E836" s="2">
        <v>1</v>
      </c>
      <c r="F836" s="2"/>
      <c r="G836" s="2"/>
      <c r="H836" s="2"/>
    </row>
    <row r="837" spans="1:8" x14ac:dyDescent="0.35">
      <c r="A837" s="2" t="s">
        <v>5211</v>
      </c>
      <c r="B837" s="3">
        <v>44270</v>
      </c>
      <c r="C837" s="2" t="s">
        <v>5212</v>
      </c>
      <c r="D837" t="s">
        <v>6176</v>
      </c>
      <c r="E837" s="2">
        <v>1</v>
      </c>
      <c r="F837" s="2"/>
      <c r="G837" s="2"/>
      <c r="H837" s="2"/>
    </row>
    <row r="838" spans="1:8" x14ac:dyDescent="0.35">
      <c r="A838" s="2" t="s">
        <v>5216</v>
      </c>
      <c r="B838" s="3">
        <v>44486</v>
      </c>
      <c r="C838" s="2" t="s">
        <v>5217</v>
      </c>
      <c r="D838" t="s">
        <v>6154</v>
      </c>
      <c r="E838" s="2">
        <v>4</v>
      </c>
      <c r="F838" s="2"/>
      <c r="G838" s="2"/>
      <c r="H838" s="2"/>
    </row>
    <row r="839" spans="1:8" x14ac:dyDescent="0.35">
      <c r="A839" s="2" t="s">
        <v>5222</v>
      </c>
      <c r="B839" s="3">
        <v>43715</v>
      </c>
      <c r="C839" s="2" t="s">
        <v>5113</v>
      </c>
      <c r="D839" t="s">
        <v>6181</v>
      </c>
      <c r="E839" s="2">
        <v>3</v>
      </c>
      <c r="F839" s="2"/>
      <c r="G839" s="2"/>
      <c r="H839" s="2"/>
    </row>
    <row r="840" spans="1:8" x14ac:dyDescent="0.35">
      <c r="A840" s="2" t="s">
        <v>5228</v>
      </c>
      <c r="B840" s="3">
        <v>44755</v>
      </c>
      <c r="C840" s="2" t="s">
        <v>5229</v>
      </c>
      <c r="D840" t="s">
        <v>6168</v>
      </c>
      <c r="E840" s="2">
        <v>5</v>
      </c>
      <c r="F840" s="2"/>
      <c r="G840" s="2"/>
      <c r="H840" s="2"/>
    </row>
    <row r="841" spans="1:8" x14ac:dyDescent="0.35">
      <c r="A841" s="2" t="s">
        <v>5234</v>
      </c>
      <c r="B841" s="3">
        <v>44521</v>
      </c>
      <c r="C841" s="2" t="s">
        <v>5235</v>
      </c>
      <c r="D841" t="s">
        <v>6139</v>
      </c>
      <c r="E841" s="2">
        <v>5</v>
      </c>
      <c r="F841" s="2"/>
      <c r="G841" s="2"/>
      <c r="H841" s="2"/>
    </row>
    <row r="842" spans="1:8" x14ac:dyDescent="0.35">
      <c r="A842" s="2" t="s">
        <v>5240</v>
      </c>
      <c r="B842" s="3">
        <v>44574</v>
      </c>
      <c r="C842" s="2" t="s">
        <v>5241</v>
      </c>
      <c r="D842" t="s">
        <v>6173</v>
      </c>
      <c r="E842" s="2">
        <v>4</v>
      </c>
      <c r="F842" s="2"/>
      <c r="G842" s="2"/>
      <c r="H842" s="2"/>
    </row>
    <row r="843" spans="1:8" x14ac:dyDescent="0.35">
      <c r="A843" s="2" t="s">
        <v>5246</v>
      </c>
      <c r="B843" s="3">
        <v>44755</v>
      </c>
      <c r="C843" s="2" t="s">
        <v>5247</v>
      </c>
      <c r="D843" t="s">
        <v>6159</v>
      </c>
      <c r="E843" s="2">
        <v>1</v>
      </c>
      <c r="F843" s="2"/>
      <c r="G843" s="2"/>
      <c r="H843" s="2"/>
    </row>
    <row r="844" spans="1:8" x14ac:dyDescent="0.35">
      <c r="A844" s="2" t="s">
        <v>5251</v>
      </c>
      <c r="B844" s="3">
        <v>44502</v>
      </c>
      <c r="C844" s="2" t="s">
        <v>5188</v>
      </c>
      <c r="D844" t="s">
        <v>6156</v>
      </c>
      <c r="E844" s="2">
        <v>2</v>
      </c>
      <c r="F844" s="2"/>
      <c r="G844" s="2"/>
      <c r="H844" s="2"/>
    </row>
    <row r="845" spans="1:8" x14ac:dyDescent="0.35">
      <c r="A845" s="2" t="s">
        <v>5256</v>
      </c>
      <c r="B845" s="3">
        <v>44387</v>
      </c>
      <c r="C845" s="2" t="s">
        <v>5257</v>
      </c>
      <c r="D845" t="s">
        <v>6156</v>
      </c>
      <c r="E845" s="2">
        <v>2</v>
      </c>
      <c r="F845" s="2"/>
      <c r="G845" s="2"/>
      <c r="H845" s="2"/>
    </row>
    <row r="846" spans="1:8" x14ac:dyDescent="0.35">
      <c r="A846" s="2" t="s">
        <v>5262</v>
      </c>
      <c r="B846" s="3">
        <v>44476</v>
      </c>
      <c r="C846" s="2" t="s">
        <v>5263</v>
      </c>
      <c r="D846" t="s">
        <v>6158</v>
      </c>
      <c r="E846" s="2">
        <v>6</v>
      </c>
      <c r="F846" s="2"/>
      <c r="G846" s="2"/>
      <c r="H846" s="2"/>
    </row>
    <row r="847" spans="1:8" x14ac:dyDescent="0.35">
      <c r="A847" s="2" t="s">
        <v>5268</v>
      </c>
      <c r="B847" s="3">
        <v>43889</v>
      </c>
      <c r="C847" s="2" t="s">
        <v>5269</v>
      </c>
      <c r="D847" t="s">
        <v>6185</v>
      </c>
      <c r="E847" s="2">
        <v>6</v>
      </c>
      <c r="F847" s="2"/>
      <c r="G847" s="2"/>
      <c r="H847" s="2"/>
    </row>
    <row r="848" spans="1:8" x14ac:dyDescent="0.35">
      <c r="A848" s="2" t="s">
        <v>5273</v>
      </c>
      <c r="B848" s="3">
        <v>44747</v>
      </c>
      <c r="C848" s="2" t="s">
        <v>5274</v>
      </c>
      <c r="D848" t="s">
        <v>6175</v>
      </c>
      <c r="E848" s="2">
        <v>2</v>
      </c>
      <c r="F848" s="2"/>
      <c r="G848" s="2"/>
      <c r="H848" s="2"/>
    </row>
    <row r="849" spans="1:8" x14ac:dyDescent="0.35">
      <c r="A849" s="2" t="s">
        <v>5278</v>
      </c>
      <c r="B849" s="3">
        <v>44460</v>
      </c>
      <c r="C849" s="2" t="s">
        <v>5279</v>
      </c>
      <c r="D849" t="s">
        <v>6154</v>
      </c>
      <c r="E849" s="2">
        <v>3</v>
      </c>
      <c r="F849" s="2"/>
      <c r="G849" s="2"/>
      <c r="H849" s="2"/>
    </row>
    <row r="850" spans="1:8" x14ac:dyDescent="0.35">
      <c r="A850" s="2" t="s">
        <v>5283</v>
      </c>
      <c r="B850" s="3">
        <v>43468</v>
      </c>
      <c r="C850" s="2" t="s">
        <v>5284</v>
      </c>
      <c r="D850" t="s">
        <v>6176</v>
      </c>
      <c r="E850" s="2">
        <v>6</v>
      </c>
      <c r="F850" s="2"/>
      <c r="G850" s="2"/>
      <c r="H850" s="2"/>
    </row>
    <row r="851" spans="1:8" x14ac:dyDescent="0.35">
      <c r="A851" s="2" t="s">
        <v>5288</v>
      </c>
      <c r="B851" s="3">
        <v>44628</v>
      </c>
      <c r="C851" s="2" t="s">
        <v>5289</v>
      </c>
      <c r="D851" t="s">
        <v>6167</v>
      </c>
      <c r="E851" s="2">
        <v>6</v>
      </c>
      <c r="F851" s="2"/>
      <c r="G851" s="2"/>
      <c r="H851" s="2"/>
    </row>
    <row r="852" spans="1:8" x14ac:dyDescent="0.35">
      <c r="A852" s="2" t="s">
        <v>5288</v>
      </c>
      <c r="B852" s="3">
        <v>44628</v>
      </c>
      <c r="C852" s="2" t="s">
        <v>5289</v>
      </c>
      <c r="D852" t="s">
        <v>6152</v>
      </c>
      <c r="E852" s="2">
        <v>2</v>
      </c>
      <c r="F852" s="2"/>
      <c r="G852" s="2"/>
      <c r="H852" s="2"/>
    </row>
    <row r="853" spans="1:8" x14ac:dyDescent="0.35">
      <c r="A853" s="2" t="s">
        <v>5299</v>
      </c>
      <c r="B853" s="3">
        <v>43900</v>
      </c>
      <c r="C853" s="2" t="s">
        <v>5300</v>
      </c>
      <c r="D853" t="s">
        <v>6169</v>
      </c>
      <c r="E853" s="2">
        <v>1</v>
      </c>
      <c r="F853" s="2"/>
      <c r="G853" s="2"/>
      <c r="H853" s="2"/>
    </row>
    <row r="854" spans="1:8" x14ac:dyDescent="0.35">
      <c r="A854" s="2" t="s">
        <v>5305</v>
      </c>
      <c r="B854" s="3">
        <v>44527</v>
      </c>
      <c r="C854" s="2" t="s">
        <v>5306</v>
      </c>
      <c r="D854" t="s">
        <v>6165</v>
      </c>
      <c r="E854" s="2">
        <v>4</v>
      </c>
      <c r="F854" s="2"/>
      <c r="G854" s="2"/>
      <c r="H854" s="2"/>
    </row>
    <row r="855" spans="1:8" x14ac:dyDescent="0.35">
      <c r="A855" s="2" t="s">
        <v>5310</v>
      </c>
      <c r="B855" s="3">
        <v>44259</v>
      </c>
      <c r="C855" s="2" t="s">
        <v>5311</v>
      </c>
      <c r="D855" t="s">
        <v>6147</v>
      </c>
      <c r="E855" s="2">
        <v>2</v>
      </c>
      <c r="F855" s="2"/>
      <c r="G855" s="2"/>
      <c r="H855" s="2"/>
    </row>
    <row r="856" spans="1:8" x14ac:dyDescent="0.35">
      <c r="A856" s="2" t="s">
        <v>5315</v>
      </c>
      <c r="B856" s="3">
        <v>44516</v>
      </c>
      <c r="C856" s="2" t="s">
        <v>5316</v>
      </c>
      <c r="D856" t="s">
        <v>6173</v>
      </c>
      <c r="E856" s="2">
        <v>5</v>
      </c>
      <c r="F856" s="2"/>
      <c r="G856" s="2"/>
      <c r="H856" s="2"/>
    </row>
    <row r="857" spans="1:8" x14ac:dyDescent="0.35">
      <c r="A857" s="2" t="s">
        <v>5321</v>
      </c>
      <c r="B857" s="3">
        <v>43632</v>
      </c>
      <c r="C857" s="2" t="s">
        <v>5322</v>
      </c>
      <c r="D857" t="s">
        <v>6165</v>
      </c>
      <c r="E857" s="2">
        <v>3</v>
      </c>
      <c r="F857" s="2"/>
      <c r="G857" s="2"/>
      <c r="H857" s="2"/>
    </row>
    <row r="858" spans="1:8" x14ac:dyDescent="0.35">
      <c r="A858" s="2" t="s">
        <v>5327</v>
      </c>
      <c r="B858" s="3">
        <v>44031</v>
      </c>
      <c r="C858" s="2" t="s">
        <v>5188</v>
      </c>
      <c r="D858" t="s">
        <v>6159</v>
      </c>
      <c r="E858" s="2">
        <v>2</v>
      </c>
      <c r="F858" s="2"/>
      <c r="G858" s="2"/>
      <c r="H858" s="2"/>
    </row>
    <row r="859" spans="1:8" x14ac:dyDescent="0.35">
      <c r="A859" s="2" t="s">
        <v>5333</v>
      </c>
      <c r="B859" s="3">
        <v>43889</v>
      </c>
      <c r="C859" s="2" t="s">
        <v>5334</v>
      </c>
      <c r="D859" t="s">
        <v>6142</v>
      </c>
      <c r="E859" s="2">
        <v>5</v>
      </c>
      <c r="F859" s="2"/>
      <c r="G859" s="2"/>
      <c r="H859" s="2"/>
    </row>
    <row r="860" spans="1:8" x14ac:dyDescent="0.35">
      <c r="A860" s="2" t="s">
        <v>5339</v>
      </c>
      <c r="B860" s="3">
        <v>43638</v>
      </c>
      <c r="C860" s="2" t="s">
        <v>5340</v>
      </c>
      <c r="D860" t="s">
        <v>6160</v>
      </c>
      <c r="E860" s="2">
        <v>4</v>
      </c>
      <c r="F860" s="2"/>
      <c r="G860" s="2"/>
      <c r="H860" s="2"/>
    </row>
    <row r="861" spans="1:8" x14ac:dyDescent="0.35">
      <c r="A861" s="2" t="s">
        <v>5345</v>
      </c>
      <c r="B861" s="3">
        <v>43716</v>
      </c>
      <c r="C861" s="2" t="s">
        <v>5346</v>
      </c>
      <c r="D861" t="s">
        <v>6182</v>
      </c>
      <c r="E861" s="2">
        <v>6</v>
      </c>
      <c r="F861" s="2"/>
      <c r="G861" s="2"/>
      <c r="H861" s="2"/>
    </row>
    <row r="862" spans="1:8" x14ac:dyDescent="0.35">
      <c r="A862" s="2" t="s">
        <v>5351</v>
      </c>
      <c r="B862" s="3">
        <v>44707</v>
      </c>
      <c r="C862" s="2" t="s">
        <v>5352</v>
      </c>
      <c r="D862" t="s">
        <v>6175</v>
      </c>
      <c r="E862" s="2">
        <v>1</v>
      </c>
      <c r="F862" s="2"/>
      <c r="G862" s="2"/>
      <c r="H862" s="2"/>
    </row>
    <row r="863" spans="1:8" x14ac:dyDescent="0.35">
      <c r="A863" s="2" t="s">
        <v>5356</v>
      </c>
      <c r="B863" s="3">
        <v>43802</v>
      </c>
      <c r="C863" s="2" t="s">
        <v>5357</v>
      </c>
      <c r="D863" t="s">
        <v>6143</v>
      </c>
      <c r="E863" s="2">
        <v>6</v>
      </c>
      <c r="F863" s="2"/>
      <c r="G863" s="2"/>
      <c r="H863" s="2"/>
    </row>
    <row r="864" spans="1:8" x14ac:dyDescent="0.35">
      <c r="A864" s="2" t="s">
        <v>5362</v>
      </c>
      <c r="B864" s="3">
        <v>43725</v>
      </c>
      <c r="C864" s="2" t="s">
        <v>5363</v>
      </c>
      <c r="D864" t="s">
        <v>6138</v>
      </c>
      <c r="E864" s="2">
        <v>1</v>
      </c>
      <c r="F864" s="2"/>
      <c r="G864" s="2"/>
      <c r="H864" s="2"/>
    </row>
    <row r="865" spans="1:8" x14ac:dyDescent="0.35">
      <c r="A865" s="2" t="s">
        <v>5368</v>
      </c>
      <c r="B865" s="3">
        <v>44712</v>
      </c>
      <c r="C865" s="2" t="s">
        <v>5369</v>
      </c>
      <c r="D865" t="s">
        <v>6162</v>
      </c>
      <c r="E865" s="2">
        <v>2</v>
      </c>
      <c r="F865" s="2"/>
      <c r="G865" s="2"/>
      <c r="H865" s="2"/>
    </row>
    <row r="866" spans="1:8" x14ac:dyDescent="0.35">
      <c r="A866" s="2" t="s">
        <v>5374</v>
      </c>
      <c r="B866" s="3">
        <v>43759</v>
      </c>
      <c r="C866" s="2" t="s">
        <v>5375</v>
      </c>
      <c r="D866" t="s">
        <v>6178</v>
      </c>
      <c r="E866" s="2">
        <v>6</v>
      </c>
      <c r="F866" s="2"/>
      <c r="G866" s="2"/>
      <c r="H866" s="2"/>
    </row>
    <row r="867" spans="1:8" x14ac:dyDescent="0.35">
      <c r="A867" s="2" t="s">
        <v>5380</v>
      </c>
      <c r="B867" s="3">
        <v>44675</v>
      </c>
      <c r="C867" s="2" t="s">
        <v>5428</v>
      </c>
      <c r="D867" t="s">
        <v>6157</v>
      </c>
      <c r="E867" s="2">
        <v>1</v>
      </c>
      <c r="F867" s="2"/>
      <c r="G867" s="2"/>
      <c r="H867" s="2"/>
    </row>
    <row r="868" spans="1:8" x14ac:dyDescent="0.35">
      <c r="A868" s="2" t="s">
        <v>5385</v>
      </c>
      <c r="B868" s="3">
        <v>44209</v>
      </c>
      <c r="C868" s="2" t="s">
        <v>5386</v>
      </c>
      <c r="D868" t="s">
        <v>6158</v>
      </c>
      <c r="E868" s="2">
        <v>3</v>
      </c>
      <c r="F868" s="2"/>
      <c r="G868" s="2"/>
      <c r="H868" s="2"/>
    </row>
    <row r="869" spans="1:8" x14ac:dyDescent="0.35">
      <c r="A869" s="2" t="s">
        <v>5391</v>
      </c>
      <c r="B869" s="3">
        <v>44792</v>
      </c>
      <c r="C869" s="2" t="s">
        <v>5392</v>
      </c>
      <c r="D869" t="s">
        <v>6182</v>
      </c>
      <c r="E869" s="2">
        <v>1</v>
      </c>
      <c r="F869" s="2"/>
      <c r="G869" s="2"/>
      <c r="H869" s="2"/>
    </row>
    <row r="870" spans="1:8" x14ac:dyDescent="0.35">
      <c r="A870" s="2" t="s">
        <v>5396</v>
      </c>
      <c r="B870" s="3">
        <v>43526</v>
      </c>
      <c r="C870" s="2" t="s">
        <v>5397</v>
      </c>
      <c r="D870" t="s">
        <v>6139</v>
      </c>
      <c r="E870" s="2">
        <v>5</v>
      </c>
      <c r="F870" s="2"/>
      <c r="G870" s="2"/>
      <c r="H870" s="2"/>
    </row>
    <row r="871" spans="1:8" x14ac:dyDescent="0.35">
      <c r="A871" s="2" t="s">
        <v>5402</v>
      </c>
      <c r="B871" s="3">
        <v>43851</v>
      </c>
      <c r="C871" s="2" t="s">
        <v>5403</v>
      </c>
      <c r="D871" t="s">
        <v>6146</v>
      </c>
      <c r="E871" s="2">
        <v>3</v>
      </c>
      <c r="F871" s="2"/>
      <c r="G871" s="2"/>
      <c r="H871" s="2"/>
    </row>
    <row r="872" spans="1:8" x14ac:dyDescent="0.35">
      <c r="A872" s="2" t="s">
        <v>5407</v>
      </c>
      <c r="B872" s="3">
        <v>44460</v>
      </c>
      <c r="C872" s="2" t="s">
        <v>5408</v>
      </c>
      <c r="D872" t="s">
        <v>6144</v>
      </c>
      <c r="E872" s="2">
        <v>1</v>
      </c>
      <c r="F872" s="2"/>
      <c r="G872" s="2"/>
      <c r="H872" s="2"/>
    </row>
    <row r="873" spans="1:8" x14ac:dyDescent="0.35">
      <c r="A873" s="2" t="s">
        <v>5413</v>
      </c>
      <c r="B873" s="3">
        <v>43707</v>
      </c>
      <c r="C873" s="2" t="s">
        <v>5414</v>
      </c>
      <c r="D873" t="s">
        <v>6171</v>
      </c>
      <c r="E873" s="2">
        <v>2</v>
      </c>
      <c r="F873" s="2"/>
      <c r="G873" s="2"/>
      <c r="H873" s="2"/>
    </row>
    <row r="874" spans="1:8" x14ac:dyDescent="0.35">
      <c r="A874" s="2" t="s">
        <v>5421</v>
      </c>
      <c r="B874" s="3">
        <v>43521</v>
      </c>
      <c r="C874" s="2" t="s">
        <v>5422</v>
      </c>
      <c r="D874" t="s">
        <v>6155</v>
      </c>
      <c r="E874" s="2">
        <v>2</v>
      </c>
      <c r="F874" s="2"/>
      <c r="G874" s="2"/>
      <c r="H874" s="2"/>
    </row>
    <row r="875" spans="1:8" x14ac:dyDescent="0.35">
      <c r="A875" s="2" t="s">
        <v>5427</v>
      </c>
      <c r="B875" s="3">
        <v>43725</v>
      </c>
      <c r="C875" s="2" t="s">
        <v>5428</v>
      </c>
      <c r="D875" t="s">
        <v>6174</v>
      </c>
      <c r="E875" s="2">
        <v>4</v>
      </c>
      <c r="F875" s="2"/>
      <c r="G875" s="2"/>
      <c r="H875" s="2"/>
    </row>
    <row r="876" spans="1:8" x14ac:dyDescent="0.35">
      <c r="A876" s="2" t="s">
        <v>5433</v>
      </c>
      <c r="B876" s="3">
        <v>43680</v>
      </c>
      <c r="C876" s="2" t="s">
        <v>5434</v>
      </c>
      <c r="D876" t="s">
        <v>6140</v>
      </c>
      <c r="E876" s="2">
        <v>2</v>
      </c>
      <c r="F876" s="2"/>
      <c r="G876" s="2"/>
      <c r="H876" s="2"/>
    </row>
    <row r="877" spans="1:8" x14ac:dyDescent="0.35">
      <c r="A877" s="2" t="s">
        <v>5439</v>
      </c>
      <c r="B877" s="3">
        <v>44253</v>
      </c>
      <c r="C877" s="2" t="s">
        <v>5440</v>
      </c>
      <c r="D877" t="s">
        <v>6160</v>
      </c>
      <c r="E877" s="2">
        <v>5</v>
      </c>
      <c r="F877" s="2"/>
      <c r="G877" s="2"/>
      <c r="H877" s="2"/>
    </row>
    <row r="878" spans="1:8" x14ac:dyDescent="0.35">
      <c r="A878" s="2" t="s">
        <v>5439</v>
      </c>
      <c r="B878" s="3">
        <v>44253</v>
      </c>
      <c r="C878" s="2" t="s">
        <v>5440</v>
      </c>
      <c r="D878" t="s">
        <v>6180</v>
      </c>
      <c r="E878" s="2">
        <v>6</v>
      </c>
      <c r="F878" s="2"/>
      <c r="G878" s="2"/>
      <c r="H878" s="2"/>
    </row>
    <row r="879" spans="1:8" x14ac:dyDescent="0.35">
      <c r="A879" s="2" t="s">
        <v>5450</v>
      </c>
      <c r="B879" s="3">
        <v>44411</v>
      </c>
      <c r="C879" s="2" t="s">
        <v>5451</v>
      </c>
      <c r="D879" t="s">
        <v>6161</v>
      </c>
      <c r="E879" s="2">
        <v>3</v>
      </c>
      <c r="F879" s="2"/>
      <c r="G879" s="2"/>
      <c r="H879" s="2"/>
    </row>
    <row r="880" spans="1:8" x14ac:dyDescent="0.35">
      <c r="A880" s="2" t="s">
        <v>5456</v>
      </c>
      <c r="B880" s="3">
        <v>44323</v>
      </c>
      <c r="C880" s="2" t="s">
        <v>5457</v>
      </c>
      <c r="D880" t="s">
        <v>6142</v>
      </c>
      <c r="E880" s="2">
        <v>1</v>
      </c>
      <c r="F880" s="2"/>
      <c r="G880" s="2"/>
      <c r="H880" s="2"/>
    </row>
    <row r="881" spans="1:8" x14ac:dyDescent="0.35">
      <c r="A881" s="2" t="s">
        <v>5461</v>
      </c>
      <c r="B881" s="3">
        <v>43630</v>
      </c>
      <c r="C881" s="2" t="s">
        <v>5462</v>
      </c>
      <c r="D881" t="s">
        <v>6153</v>
      </c>
      <c r="E881" s="2">
        <v>3</v>
      </c>
      <c r="F881" s="2"/>
      <c r="G881" s="2"/>
      <c r="H881" s="2"/>
    </row>
    <row r="882" spans="1:8" x14ac:dyDescent="0.35">
      <c r="A882" s="2" t="s">
        <v>5466</v>
      </c>
      <c r="B882" s="3">
        <v>43790</v>
      </c>
      <c r="C882" s="2" t="s">
        <v>5467</v>
      </c>
      <c r="D882" t="s">
        <v>6178</v>
      </c>
      <c r="E882" s="2">
        <v>2</v>
      </c>
      <c r="F882" s="2"/>
      <c r="G882" s="2"/>
      <c r="H882" s="2"/>
    </row>
    <row r="883" spans="1:8" x14ac:dyDescent="0.35">
      <c r="A883" s="2" t="s">
        <v>5472</v>
      </c>
      <c r="B883" s="3">
        <v>44286</v>
      </c>
      <c r="C883" s="2" t="s">
        <v>5473</v>
      </c>
      <c r="D883" t="s">
        <v>6167</v>
      </c>
      <c r="E883" s="2">
        <v>6</v>
      </c>
      <c r="F883" s="2"/>
      <c r="G883" s="2"/>
      <c r="H883" s="2"/>
    </row>
    <row r="884" spans="1:8" x14ac:dyDescent="0.35">
      <c r="A884" s="2" t="s">
        <v>5477</v>
      </c>
      <c r="B884" s="3">
        <v>43647</v>
      </c>
      <c r="C884" s="2" t="s">
        <v>5526</v>
      </c>
      <c r="D884" t="s">
        <v>6168</v>
      </c>
      <c r="E884" s="2">
        <v>5</v>
      </c>
      <c r="F884" s="2"/>
      <c r="G884" s="2"/>
      <c r="H884" s="2"/>
    </row>
    <row r="885" spans="1:8" x14ac:dyDescent="0.35">
      <c r="A885" s="2" t="s">
        <v>5483</v>
      </c>
      <c r="B885" s="3">
        <v>43956</v>
      </c>
      <c r="C885" s="2" t="s">
        <v>5484</v>
      </c>
      <c r="D885" t="s">
        <v>6175</v>
      </c>
      <c r="E885" s="2">
        <v>3</v>
      </c>
      <c r="F885" s="2"/>
      <c r="G885" s="2"/>
      <c r="H885" s="2"/>
    </row>
    <row r="886" spans="1:8" x14ac:dyDescent="0.35">
      <c r="A886" s="2" t="s">
        <v>5489</v>
      </c>
      <c r="B886" s="3">
        <v>43941</v>
      </c>
      <c r="C886" s="2" t="s">
        <v>5490</v>
      </c>
      <c r="D886" t="s">
        <v>6172</v>
      </c>
      <c r="E886" s="2">
        <v>1</v>
      </c>
      <c r="F886" s="2"/>
      <c r="G886" s="2"/>
      <c r="H886" s="2"/>
    </row>
    <row r="887" spans="1:8" x14ac:dyDescent="0.35">
      <c r="A887" s="2" t="s">
        <v>5495</v>
      </c>
      <c r="B887" s="3">
        <v>43664</v>
      </c>
      <c r="C887" s="2" t="s">
        <v>5496</v>
      </c>
      <c r="D887" t="s">
        <v>6149</v>
      </c>
      <c r="E887" s="2">
        <v>6</v>
      </c>
      <c r="F887" s="2"/>
      <c r="G887" s="2"/>
      <c r="H887" s="2"/>
    </row>
    <row r="888" spans="1:8" x14ac:dyDescent="0.35">
      <c r="A888" s="2" t="s">
        <v>5501</v>
      </c>
      <c r="B888" s="3">
        <v>44518</v>
      </c>
      <c r="C888" s="2" t="s">
        <v>5502</v>
      </c>
      <c r="D888" t="s">
        <v>6160</v>
      </c>
      <c r="E888" s="2">
        <v>2</v>
      </c>
      <c r="F888" s="2"/>
      <c r="G888" s="2"/>
      <c r="H888" s="2"/>
    </row>
    <row r="889" spans="1:8" x14ac:dyDescent="0.35">
      <c r="A889" s="2" t="s">
        <v>5507</v>
      </c>
      <c r="B889" s="3">
        <v>44002</v>
      </c>
      <c r="C889" s="2" t="s">
        <v>5508</v>
      </c>
      <c r="D889" t="s">
        <v>6184</v>
      </c>
      <c r="E889" s="2">
        <v>3</v>
      </c>
      <c r="F889" s="2"/>
      <c r="G889" s="2"/>
      <c r="H889" s="2"/>
    </row>
    <row r="890" spans="1:8" x14ac:dyDescent="0.35">
      <c r="A890" s="2" t="s">
        <v>5513</v>
      </c>
      <c r="B890" s="3">
        <v>44292</v>
      </c>
      <c r="C890" s="2" t="s">
        <v>5514</v>
      </c>
      <c r="D890" t="s">
        <v>6167</v>
      </c>
      <c r="E890" s="2">
        <v>2</v>
      </c>
      <c r="F890" s="2"/>
      <c r="G890" s="2"/>
      <c r="H890" s="2"/>
    </row>
    <row r="891" spans="1:8" x14ac:dyDescent="0.35">
      <c r="A891" s="2" t="s">
        <v>5519</v>
      </c>
      <c r="B891" s="3">
        <v>43633</v>
      </c>
      <c r="C891" s="2" t="s">
        <v>5520</v>
      </c>
      <c r="D891" t="s">
        <v>6163</v>
      </c>
      <c r="E891" s="2">
        <v>1</v>
      </c>
      <c r="F891" s="2"/>
      <c r="G891" s="2"/>
      <c r="H891" s="2"/>
    </row>
    <row r="892" spans="1:8" x14ac:dyDescent="0.35">
      <c r="A892" s="2" t="s">
        <v>5525</v>
      </c>
      <c r="B892" s="3">
        <v>44646</v>
      </c>
      <c r="C892" s="2" t="s">
        <v>5526</v>
      </c>
      <c r="D892" t="s">
        <v>6149</v>
      </c>
      <c r="E892" s="2">
        <v>1</v>
      </c>
      <c r="F892" s="2"/>
      <c r="G892" s="2"/>
      <c r="H892" s="2"/>
    </row>
    <row r="893" spans="1:8" x14ac:dyDescent="0.35">
      <c r="A893" s="2" t="s">
        <v>5531</v>
      </c>
      <c r="B893" s="3">
        <v>44469</v>
      </c>
      <c r="C893" s="2" t="s">
        <v>5532</v>
      </c>
      <c r="D893" t="s">
        <v>6168</v>
      </c>
      <c r="E893" s="2">
        <v>5</v>
      </c>
      <c r="F893" s="2"/>
      <c r="G893" s="2"/>
      <c r="H893" s="2"/>
    </row>
    <row r="894" spans="1:8" x14ac:dyDescent="0.35">
      <c r="A894" s="2" t="s">
        <v>5537</v>
      </c>
      <c r="B894" s="3">
        <v>43635</v>
      </c>
      <c r="C894" s="2" t="s">
        <v>5538</v>
      </c>
      <c r="D894" t="s">
        <v>6156</v>
      </c>
      <c r="E894" s="2">
        <v>5</v>
      </c>
      <c r="F894" s="2"/>
      <c r="G894" s="2"/>
      <c r="H894" s="2"/>
    </row>
    <row r="895" spans="1:8" x14ac:dyDescent="0.35">
      <c r="A895" s="2" t="s">
        <v>5543</v>
      </c>
      <c r="B895" s="3">
        <v>44651</v>
      </c>
      <c r="C895" s="2" t="s">
        <v>5544</v>
      </c>
      <c r="D895" t="s">
        <v>6161</v>
      </c>
      <c r="E895" s="2">
        <v>6</v>
      </c>
      <c r="F895" s="2"/>
      <c r="G895" s="2"/>
      <c r="H895" s="2"/>
    </row>
    <row r="896" spans="1:8" x14ac:dyDescent="0.35">
      <c r="A896" s="2" t="s">
        <v>5548</v>
      </c>
      <c r="B896" s="3">
        <v>44016</v>
      </c>
      <c r="C896" s="2" t="s">
        <v>5549</v>
      </c>
      <c r="D896" t="s">
        <v>6149</v>
      </c>
      <c r="E896" s="2">
        <v>4</v>
      </c>
      <c r="F896" s="2"/>
      <c r="G896" s="2"/>
      <c r="H896" s="2"/>
    </row>
    <row r="897" spans="1:8" x14ac:dyDescent="0.35">
      <c r="A897" s="2" t="s">
        <v>5553</v>
      </c>
      <c r="B897" s="3">
        <v>44521</v>
      </c>
      <c r="C897" s="2" t="s">
        <v>5554</v>
      </c>
      <c r="D897" t="s">
        <v>6166</v>
      </c>
      <c r="E897" s="2">
        <v>5</v>
      </c>
      <c r="F897" s="2"/>
      <c r="G897" s="2"/>
      <c r="H897" s="2"/>
    </row>
    <row r="898" spans="1:8" x14ac:dyDescent="0.35">
      <c r="A898" s="2" t="s">
        <v>5558</v>
      </c>
      <c r="B898" s="3">
        <v>44347</v>
      </c>
      <c r="C898" s="2" t="s">
        <v>5559</v>
      </c>
      <c r="D898" t="s">
        <v>6172</v>
      </c>
      <c r="E898" s="2">
        <v>6</v>
      </c>
      <c r="F898" s="2"/>
      <c r="G898" s="2"/>
      <c r="H898" s="2"/>
    </row>
    <row r="899" spans="1:8" x14ac:dyDescent="0.35">
      <c r="A899" s="2" t="s">
        <v>5564</v>
      </c>
      <c r="B899" s="3">
        <v>43932</v>
      </c>
      <c r="C899" s="2" t="s">
        <v>5565</v>
      </c>
      <c r="D899" t="s">
        <v>6183</v>
      </c>
      <c r="E899" s="2">
        <v>2</v>
      </c>
      <c r="F899" s="2"/>
      <c r="G899" s="2"/>
      <c r="H899" s="2"/>
    </row>
    <row r="900" spans="1:8" x14ac:dyDescent="0.35">
      <c r="A900" s="2" t="s">
        <v>5570</v>
      </c>
      <c r="B900" s="3">
        <v>44089</v>
      </c>
      <c r="C900" s="2" t="s">
        <v>5571</v>
      </c>
      <c r="D900" t="s">
        <v>6173</v>
      </c>
      <c r="E900" s="2">
        <v>5</v>
      </c>
      <c r="F900" s="2"/>
      <c r="G900" s="2"/>
      <c r="H900" s="2"/>
    </row>
    <row r="901" spans="1:8" x14ac:dyDescent="0.35">
      <c r="A901" s="2" t="s">
        <v>5575</v>
      </c>
      <c r="B901" s="3">
        <v>44523</v>
      </c>
      <c r="C901" s="2" t="s">
        <v>5554</v>
      </c>
      <c r="D901" t="s">
        <v>6162</v>
      </c>
      <c r="E901" s="2">
        <v>5</v>
      </c>
      <c r="F901" s="2"/>
      <c r="G901" s="2"/>
      <c r="H901" s="2"/>
    </row>
    <row r="902" spans="1:8" x14ac:dyDescent="0.35">
      <c r="A902" s="2" t="s">
        <v>5580</v>
      </c>
      <c r="B902" s="3">
        <v>44584</v>
      </c>
      <c r="C902" s="2" t="s">
        <v>5581</v>
      </c>
      <c r="D902" t="s">
        <v>6170</v>
      </c>
      <c r="E902" s="2">
        <v>3</v>
      </c>
      <c r="F902" s="2"/>
      <c r="G902" s="2"/>
      <c r="H902" s="2"/>
    </row>
    <row r="903" spans="1:8" x14ac:dyDescent="0.35">
      <c r="A903" s="2" t="s">
        <v>5585</v>
      </c>
      <c r="B903" s="3">
        <v>44223</v>
      </c>
      <c r="C903" s="2" t="s">
        <v>5586</v>
      </c>
      <c r="D903" t="s">
        <v>6178</v>
      </c>
      <c r="E903" s="2">
        <v>1</v>
      </c>
      <c r="F903" s="2"/>
      <c r="G903" s="2"/>
      <c r="H903" s="2"/>
    </row>
    <row r="904" spans="1:8" x14ac:dyDescent="0.35">
      <c r="A904" s="2" t="s">
        <v>5591</v>
      </c>
      <c r="B904" s="3">
        <v>43640</v>
      </c>
      <c r="C904" s="2" t="s">
        <v>5592</v>
      </c>
      <c r="D904" t="s">
        <v>6166</v>
      </c>
      <c r="E904" s="2">
        <v>5</v>
      </c>
      <c r="F904" s="2"/>
      <c r="G904" s="2"/>
      <c r="H904" s="2"/>
    </row>
    <row r="905" spans="1:8" x14ac:dyDescent="0.35">
      <c r="A905" s="2" t="s">
        <v>5597</v>
      </c>
      <c r="B905" s="3">
        <v>43905</v>
      </c>
      <c r="C905" s="2" t="s">
        <v>5598</v>
      </c>
      <c r="D905" t="s">
        <v>6160</v>
      </c>
      <c r="E905" s="2">
        <v>2</v>
      </c>
      <c r="F905" s="2"/>
      <c r="G905" s="2"/>
      <c r="H905" s="2"/>
    </row>
    <row r="906" spans="1:8" x14ac:dyDescent="0.35">
      <c r="A906" s="2" t="s">
        <v>5603</v>
      </c>
      <c r="B906" s="3">
        <v>44463</v>
      </c>
      <c r="C906" s="2" t="s">
        <v>5604</v>
      </c>
      <c r="D906" t="s">
        <v>6182</v>
      </c>
      <c r="E906" s="2">
        <v>5</v>
      </c>
      <c r="F906" s="2"/>
      <c r="G906" s="2"/>
      <c r="H906" s="2"/>
    </row>
    <row r="907" spans="1:8" x14ac:dyDescent="0.35">
      <c r="A907" s="2" t="s">
        <v>5609</v>
      </c>
      <c r="B907" s="3">
        <v>43560</v>
      </c>
      <c r="C907" s="2" t="s">
        <v>5610</v>
      </c>
      <c r="D907" t="s">
        <v>6157</v>
      </c>
      <c r="E907" s="2">
        <v>6</v>
      </c>
      <c r="F907" s="2"/>
      <c r="G907" s="2"/>
      <c r="H907" s="2"/>
    </row>
    <row r="908" spans="1:8" x14ac:dyDescent="0.35">
      <c r="A908" s="2" t="s">
        <v>5614</v>
      </c>
      <c r="B908" s="3">
        <v>44588</v>
      </c>
      <c r="C908" s="2" t="s">
        <v>5615</v>
      </c>
      <c r="D908" t="s">
        <v>6157</v>
      </c>
      <c r="E908" s="2">
        <v>4</v>
      </c>
      <c r="F908" s="2"/>
      <c r="G908" s="2"/>
      <c r="H908" s="2"/>
    </row>
    <row r="909" spans="1:8" x14ac:dyDescent="0.35">
      <c r="A909" s="2" t="s">
        <v>5620</v>
      </c>
      <c r="B909" s="3">
        <v>44449</v>
      </c>
      <c r="C909" s="2" t="s">
        <v>5621</v>
      </c>
      <c r="D909" t="s">
        <v>6143</v>
      </c>
      <c r="E909" s="2">
        <v>3</v>
      </c>
      <c r="F909" s="2"/>
      <c r="G909" s="2"/>
      <c r="H909" s="2"/>
    </row>
    <row r="910" spans="1:8" x14ac:dyDescent="0.35">
      <c r="A910" s="2" t="s">
        <v>5626</v>
      </c>
      <c r="B910" s="3">
        <v>43836</v>
      </c>
      <c r="C910" s="2" t="s">
        <v>5627</v>
      </c>
      <c r="D910" t="s">
        <v>6179</v>
      </c>
      <c r="E910" s="2">
        <v>5</v>
      </c>
      <c r="F910" s="2"/>
      <c r="G910" s="2"/>
      <c r="H910" s="2"/>
    </row>
    <row r="911" spans="1:8" x14ac:dyDescent="0.35">
      <c r="A911" s="2" t="s">
        <v>5632</v>
      </c>
      <c r="B911" s="3">
        <v>44635</v>
      </c>
      <c r="C911" s="2" t="s">
        <v>5633</v>
      </c>
      <c r="D911" t="s">
        <v>6178</v>
      </c>
      <c r="E911" s="2">
        <v>3</v>
      </c>
      <c r="F911" s="2"/>
      <c r="G911" s="2"/>
      <c r="H911" s="2"/>
    </row>
    <row r="912" spans="1:8" x14ac:dyDescent="0.35">
      <c r="A912" s="2" t="s">
        <v>5637</v>
      </c>
      <c r="B912" s="3">
        <v>44447</v>
      </c>
      <c r="C912" s="2" t="s">
        <v>5638</v>
      </c>
      <c r="D912" t="s">
        <v>6168</v>
      </c>
      <c r="E912" s="2">
        <v>4</v>
      </c>
      <c r="F912" s="2"/>
      <c r="G912" s="2"/>
      <c r="H912" s="2"/>
    </row>
    <row r="913" spans="1:8" x14ac:dyDescent="0.35">
      <c r="A913" s="2" t="s">
        <v>5643</v>
      </c>
      <c r="B913" s="3">
        <v>44511</v>
      </c>
      <c r="C913" s="2" t="s">
        <v>5644</v>
      </c>
      <c r="D913" t="s">
        <v>6155</v>
      </c>
      <c r="E913" s="2">
        <v>4</v>
      </c>
      <c r="F913" s="2"/>
      <c r="G913" s="2"/>
      <c r="H913" s="2"/>
    </row>
    <row r="914" spans="1:8" x14ac:dyDescent="0.35">
      <c r="A914" s="2" t="s">
        <v>5649</v>
      </c>
      <c r="B914" s="3">
        <v>43726</v>
      </c>
      <c r="C914" s="2" t="s">
        <v>5650</v>
      </c>
      <c r="D914" t="s">
        <v>6151</v>
      </c>
      <c r="E914" s="2">
        <v>6</v>
      </c>
      <c r="F914" s="2"/>
      <c r="G914" s="2"/>
      <c r="H914" s="2"/>
    </row>
    <row r="915" spans="1:8" x14ac:dyDescent="0.35">
      <c r="A915" s="2" t="s">
        <v>5654</v>
      </c>
      <c r="B915" s="3">
        <v>44406</v>
      </c>
      <c r="C915" s="2" t="s">
        <v>5655</v>
      </c>
      <c r="D915" t="s">
        <v>6157</v>
      </c>
      <c r="E915" s="2">
        <v>1</v>
      </c>
      <c r="F915" s="2"/>
      <c r="G915" s="2"/>
      <c r="H915" s="2"/>
    </row>
    <row r="916" spans="1:8" x14ac:dyDescent="0.35">
      <c r="A916" s="2" t="s">
        <v>5660</v>
      </c>
      <c r="B916" s="3">
        <v>44640</v>
      </c>
      <c r="C916" s="2" t="s">
        <v>5661</v>
      </c>
      <c r="D916" t="s">
        <v>6155</v>
      </c>
      <c r="E916" s="2">
        <v>4</v>
      </c>
      <c r="F916" s="2"/>
      <c r="G916" s="2"/>
      <c r="H916" s="2"/>
    </row>
    <row r="917" spans="1:8" x14ac:dyDescent="0.35">
      <c r="A917" s="2" t="s">
        <v>5666</v>
      </c>
      <c r="B917" s="3">
        <v>43955</v>
      </c>
      <c r="C917" s="2" t="s">
        <v>5667</v>
      </c>
      <c r="D917" t="s">
        <v>6185</v>
      </c>
      <c r="E917" s="2">
        <v>3</v>
      </c>
      <c r="F917" s="2"/>
      <c r="G917" s="2"/>
      <c r="H917" s="2"/>
    </row>
    <row r="918" spans="1:8" x14ac:dyDescent="0.35">
      <c r="A918" s="2" t="s">
        <v>5672</v>
      </c>
      <c r="B918" s="3">
        <v>44291</v>
      </c>
      <c r="C918" s="2" t="s">
        <v>5673</v>
      </c>
      <c r="D918" t="s">
        <v>6153</v>
      </c>
      <c r="E918" s="2">
        <v>1</v>
      </c>
      <c r="F918" s="2"/>
      <c r="G918" s="2"/>
      <c r="H918" s="2"/>
    </row>
    <row r="919" spans="1:8" x14ac:dyDescent="0.35">
      <c r="A919" s="2" t="s">
        <v>5676</v>
      </c>
      <c r="B919" s="3">
        <v>44573</v>
      </c>
      <c r="C919" s="2" t="s">
        <v>5677</v>
      </c>
      <c r="D919" t="s">
        <v>6157</v>
      </c>
      <c r="E919" s="2">
        <v>1</v>
      </c>
      <c r="F919" s="2"/>
      <c r="G919" s="2"/>
      <c r="H919" s="2"/>
    </row>
    <row r="920" spans="1:8" x14ac:dyDescent="0.35">
      <c r="A920" s="2" t="s">
        <v>5676</v>
      </c>
      <c r="B920" s="3">
        <v>44573</v>
      </c>
      <c r="C920" s="2" t="s">
        <v>5677</v>
      </c>
      <c r="D920" t="s">
        <v>6144</v>
      </c>
      <c r="E920" s="2">
        <v>3</v>
      </c>
      <c r="F920" s="2"/>
      <c r="G920" s="2"/>
      <c r="H920" s="2"/>
    </row>
    <row r="921" spans="1:8" x14ac:dyDescent="0.35">
      <c r="A921" s="2" t="s">
        <v>5687</v>
      </c>
      <c r="B921" s="3">
        <v>44181</v>
      </c>
      <c r="C921" s="2" t="s">
        <v>5688</v>
      </c>
      <c r="D921" t="s">
        <v>6163</v>
      </c>
      <c r="E921" s="2">
        <v>5</v>
      </c>
      <c r="F921" s="2"/>
      <c r="G921" s="2"/>
      <c r="H921" s="2"/>
    </row>
    <row r="922" spans="1:8" x14ac:dyDescent="0.35">
      <c r="A922" s="2" t="s">
        <v>5693</v>
      </c>
      <c r="B922" s="3">
        <v>44711</v>
      </c>
      <c r="C922" s="2" t="s">
        <v>5694</v>
      </c>
      <c r="D922" t="s">
        <v>6149</v>
      </c>
      <c r="E922" s="2">
        <v>6</v>
      </c>
      <c r="F922" s="2"/>
      <c r="G922" s="2"/>
      <c r="H922" s="2"/>
    </row>
    <row r="923" spans="1:8" x14ac:dyDescent="0.35">
      <c r="A923" s="2" t="s">
        <v>5699</v>
      </c>
      <c r="B923" s="3">
        <v>44509</v>
      </c>
      <c r="C923" s="2" t="s">
        <v>5700</v>
      </c>
      <c r="D923" t="s">
        <v>6150</v>
      </c>
      <c r="E923" s="2">
        <v>2</v>
      </c>
      <c r="F923" s="2"/>
      <c r="G923" s="2"/>
      <c r="H923" s="2"/>
    </row>
    <row r="924" spans="1:8" x14ac:dyDescent="0.35">
      <c r="A924" s="2" t="s">
        <v>5705</v>
      </c>
      <c r="B924" s="3">
        <v>44659</v>
      </c>
      <c r="C924" s="2" t="s">
        <v>5706</v>
      </c>
      <c r="D924" t="s">
        <v>6155</v>
      </c>
      <c r="E924" s="2">
        <v>6</v>
      </c>
      <c r="F924" s="2"/>
      <c r="G924" s="2"/>
      <c r="H924" s="2"/>
    </row>
    <row r="925" spans="1:8" x14ac:dyDescent="0.35">
      <c r="A925" s="2" t="s">
        <v>5709</v>
      </c>
      <c r="B925" s="3">
        <v>43746</v>
      </c>
      <c r="C925" s="2" t="s">
        <v>5710</v>
      </c>
      <c r="D925" t="s">
        <v>6185</v>
      </c>
      <c r="E925" s="2">
        <v>1</v>
      </c>
      <c r="F925" s="2"/>
      <c r="G925" s="2"/>
      <c r="H925" s="2"/>
    </row>
    <row r="926" spans="1:8" x14ac:dyDescent="0.35">
      <c r="A926" s="2" t="s">
        <v>5715</v>
      </c>
      <c r="B926" s="3">
        <v>44451</v>
      </c>
      <c r="C926" s="2" t="s">
        <v>5716</v>
      </c>
      <c r="D926" t="s">
        <v>6182</v>
      </c>
      <c r="E926" s="2">
        <v>3</v>
      </c>
      <c r="F926" s="2"/>
      <c r="G926" s="2"/>
      <c r="H926" s="2"/>
    </row>
    <row r="927" spans="1:8" x14ac:dyDescent="0.35">
      <c r="A927" s="2" t="s">
        <v>5720</v>
      </c>
      <c r="B927" s="3">
        <v>44770</v>
      </c>
      <c r="C927" s="2" t="s">
        <v>5554</v>
      </c>
      <c r="D927" t="s">
        <v>6157</v>
      </c>
      <c r="E927" s="2">
        <v>3</v>
      </c>
      <c r="F927" s="2"/>
      <c r="G927" s="2"/>
      <c r="H927" s="2"/>
    </row>
    <row r="928" spans="1:8" x14ac:dyDescent="0.35">
      <c r="A928" s="2" t="s">
        <v>5725</v>
      </c>
      <c r="B928" s="3">
        <v>44012</v>
      </c>
      <c r="C928" s="2" t="s">
        <v>5726</v>
      </c>
      <c r="D928" t="s">
        <v>6157</v>
      </c>
      <c r="E928" s="2">
        <v>5</v>
      </c>
      <c r="F928" s="2"/>
      <c r="G928" s="2"/>
      <c r="H928" s="2"/>
    </row>
    <row r="929" spans="1:8" x14ac:dyDescent="0.35">
      <c r="A929" s="2" t="s">
        <v>5731</v>
      </c>
      <c r="B929" s="3">
        <v>43474</v>
      </c>
      <c r="C929" s="2" t="s">
        <v>5732</v>
      </c>
      <c r="D929" t="s">
        <v>6185</v>
      </c>
      <c r="E929" s="2">
        <v>4</v>
      </c>
      <c r="F929" s="2"/>
      <c r="G929" s="2"/>
      <c r="H929" s="2"/>
    </row>
    <row r="930" spans="1:8" x14ac:dyDescent="0.35">
      <c r="A930" s="2" t="s">
        <v>5737</v>
      </c>
      <c r="B930" s="3">
        <v>44754</v>
      </c>
      <c r="C930" s="2" t="s">
        <v>5738</v>
      </c>
      <c r="D930" t="s">
        <v>6166</v>
      </c>
      <c r="E930" s="2">
        <v>2</v>
      </c>
      <c r="F930" s="2"/>
      <c r="G930" s="2"/>
      <c r="H930" s="2"/>
    </row>
    <row r="931" spans="1:8" x14ac:dyDescent="0.35">
      <c r="A931" s="2" t="s">
        <v>5742</v>
      </c>
      <c r="B931" s="3">
        <v>44165</v>
      </c>
      <c r="C931" s="2" t="s">
        <v>5743</v>
      </c>
      <c r="D931" t="s">
        <v>6184</v>
      </c>
      <c r="E931" s="2">
        <v>2</v>
      </c>
      <c r="F931" s="2"/>
      <c r="G931" s="2"/>
      <c r="H931" s="2"/>
    </row>
    <row r="932" spans="1:8" x14ac:dyDescent="0.35">
      <c r="A932" s="2" t="s">
        <v>5748</v>
      </c>
      <c r="B932" s="3">
        <v>43546</v>
      </c>
      <c r="C932" s="2" t="s">
        <v>5749</v>
      </c>
      <c r="D932" t="s">
        <v>6183</v>
      </c>
      <c r="E932" s="2">
        <v>1</v>
      </c>
      <c r="F932" s="2"/>
      <c r="G932" s="2"/>
      <c r="H932" s="2"/>
    </row>
    <row r="933" spans="1:8" x14ac:dyDescent="0.35">
      <c r="A933" s="2" t="s">
        <v>5753</v>
      </c>
      <c r="B933" s="3">
        <v>44607</v>
      </c>
      <c r="C933" s="2" t="s">
        <v>5754</v>
      </c>
      <c r="D933" t="s">
        <v>6158</v>
      </c>
      <c r="E933" s="2">
        <v>4</v>
      </c>
      <c r="F933" s="2"/>
      <c r="G933" s="2"/>
      <c r="H933" s="2"/>
    </row>
    <row r="934" spans="1:8" x14ac:dyDescent="0.35">
      <c r="A934" s="2" t="s">
        <v>5757</v>
      </c>
      <c r="B934" s="3">
        <v>44117</v>
      </c>
      <c r="C934" s="2" t="s">
        <v>5758</v>
      </c>
      <c r="D934" t="s">
        <v>6141</v>
      </c>
      <c r="E934" s="2">
        <v>4</v>
      </c>
      <c r="F934" s="2"/>
      <c r="G934" s="2"/>
      <c r="H934" s="2"/>
    </row>
    <row r="935" spans="1:8" x14ac:dyDescent="0.35">
      <c r="A935" s="2" t="s">
        <v>5763</v>
      </c>
      <c r="B935" s="3">
        <v>44557</v>
      </c>
      <c r="C935" s="2" t="s">
        <v>5764</v>
      </c>
      <c r="D935" t="s">
        <v>6177</v>
      </c>
      <c r="E935" s="2">
        <v>3</v>
      </c>
      <c r="F935" s="2"/>
      <c r="G935" s="2"/>
      <c r="H935" s="2"/>
    </row>
    <row r="936" spans="1:8" x14ac:dyDescent="0.35">
      <c r="A936" s="2" t="s">
        <v>5768</v>
      </c>
      <c r="B936" s="3">
        <v>44409</v>
      </c>
      <c r="C936" s="2" t="s">
        <v>5769</v>
      </c>
      <c r="D936" t="s">
        <v>6151</v>
      </c>
      <c r="E936" s="2">
        <v>5</v>
      </c>
      <c r="F936" s="2"/>
      <c r="G936" s="2"/>
      <c r="H936" s="2"/>
    </row>
    <row r="937" spans="1:8" x14ac:dyDescent="0.35">
      <c r="A937" s="2" t="s">
        <v>5774</v>
      </c>
      <c r="B937" s="3">
        <v>44153</v>
      </c>
      <c r="C937" s="2" t="s">
        <v>5775</v>
      </c>
      <c r="D937" t="s">
        <v>6175</v>
      </c>
      <c r="E937" s="2">
        <v>6</v>
      </c>
      <c r="F937" s="2"/>
      <c r="G937" s="2"/>
      <c r="H937" s="2"/>
    </row>
    <row r="938" spans="1:8" x14ac:dyDescent="0.35">
      <c r="A938" s="2" t="s">
        <v>5780</v>
      </c>
      <c r="B938" s="3">
        <v>44493</v>
      </c>
      <c r="C938" s="2" t="s">
        <v>5781</v>
      </c>
      <c r="D938" t="s">
        <v>6169</v>
      </c>
      <c r="E938" s="2">
        <v>3</v>
      </c>
      <c r="F938" s="2"/>
      <c r="G938" s="2"/>
      <c r="H938" s="2"/>
    </row>
    <row r="939" spans="1:8" x14ac:dyDescent="0.35">
      <c r="A939" s="2" t="s">
        <v>5780</v>
      </c>
      <c r="B939" s="3">
        <v>44493</v>
      </c>
      <c r="C939" s="2" t="s">
        <v>5781</v>
      </c>
      <c r="D939" t="s">
        <v>6151</v>
      </c>
      <c r="E939" s="2">
        <v>4</v>
      </c>
      <c r="F939" s="2"/>
      <c r="G939" s="2"/>
      <c r="H939" s="2"/>
    </row>
    <row r="940" spans="1:8" x14ac:dyDescent="0.35">
      <c r="A940" s="2" t="s">
        <v>5791</v>
      </c>
      <c r="B940" s="3">
        <v>43829</v>
      </c>
      <c r="C940" s="2" t="s">
        <v>5792</v>
      </c>
      <c r="D940" t="s">
        <v>6171</v>
      </c>
      <c r="E940" s="2">
        <v>5</v>
      </c>
      <c r="F940" s="2"/>
      <c r="G940" s="2"/>
      <c r="H940" s="2"/>
    </row>
    <row r="941" spans="1:8" x14ac:dyDescent="0.35">
      <c r="A941" s="2" t="s">
        <v>5797</v>
      </c>
      <c r="B941" s="3">
        <v>44229</v>
      </c>
      <c r="C941" s="2" t="s">
        <v>5798</v>
      </c>
      <c r="D941" t="s">
        <v>6145</v>
      </c>
      <c r="E941" s="2">
        <v>6</v>
      </c>
      <c r="F941" s="2"/>
      <c r="G941" s="2"/>
      <c r="H941" s="2"/>
    </row>
    <row r="942" spans="1:8" x14ac:dyDescent="0.35">
      <c r="A942" s="2" t="s">
        <v>5803</v>
      </c>
      <c r="B942" s="3">
        <v>44332</v>
      </c>
      <c r="C942" s="2" t="s">
        <v>5804</v>
      </c>
      <c r="D942" t="s">
        <v>6173</v>
      </c>
      <c r="E942" s="2">
        <v>2</v>
      </c>
      <c r="F942" s="2"/>
      <c r="G942" s="2"/>
      <c r="H942" s="2"/>
    </row>
    <row r="943" spans="1:8" x14ac:dyDescent="0.35">
      <c r="A943" s="2" t="s">
        <v>5809</v>
      </c>
      <c r="B943" s="3">
        <v>44674</v>
      </c>
      <c r="C943" s="2" t="s">
        <v>5810</v>
      </c>
      <c r="D943" t="s">
        <v>6180</v>
      </c>
      <c r="E943" s="2">
        <v>2</v>
      </c>
      <c r="F943" s="2"/>
      <c r="G943" s="2"/>
      <c r="H943" s="2"/>
    </row>
    <row r="944" spans="1:8" x14ac:dyDescent="0.35">
      <c r="A944" s="2" t="s">
        <v>5816</v>
      </c>
      <c r="B944" s="3">
        <v>44464</v>
      </c>
      <c r="C944" s="2" t="s">
        <v>5817</v>
      </c>
      <c r="D944" t="s">
        <v>6179</v>
      </c>
      <c r="E944" s="2">
        <v>3</v>
      </c>
      <c r="F944" s="2"/>
      <c r="G944" s="2"/>
      <c r="H944" s="2"/>
    </row>
    <row r="945" spans="1:8" x14ac:dyDescent="0.35">
      <c r="A945" s="2" t="s">
        <v>5822</v>
      </c>
      <c r="B945" s="3">
        <v>44719</v>
      </c>
      <c r="C945" s="2" t="s">
        <v>5823</v>
      </c>
      <c r="D945" t="s">
        <v>6180</v>
      </c>
      <c r="E945" s="2">
        <v>6</v>
      </c>
      <c r="F945" s="2"/>
      <c r="G945" s="2"/>
      <c r="H945" s="2"/>
    </row>
    <row r="946" spans="1:8" x14ac:dyDescent="0.35">
      <c r="A946" s="2" t="s">
        <v>5828</v>
      </c>
      <c r="B946" s="3">
        <v>44054</v>
      </c>
      <c r="C946" s="2" t="s">
        <v>5829</v>
      </c>
      <c r="D946" t="s">
        <v>6173</v>
      </c>
      <c r="E946" s="2">
        <v>5</v>
      </c>
      <c r="F946" s="2"/>
      <c r="G946" s="2"/>
      <c r="H946" s="2"/>
    </row>
    <row r="947" spans="1:8" x14ac:dyDescent="0.35">
      <c r="A947" s="2" t="s">
        <v>5834</v>
      </c>
      <c r="B947" s="3">
        <v>43524</v>
      </c>
      <c r="C947" s="2" t="s">
        <v>5835</v>
      </c>
      <c r="D947" t="s">
        <v>6165</v>
      </c>
      <c r="E947" s="2">
        <v>4</v>
      </c>
      <c r="F947" s="2"/>
      <c r="G947" s="2"/>
      <c r="H947" s="2"/>
    </row>
    <row r="948" spans="1:8" x14ac:dyDescent="0.35">
      <c r="A948" s="2" t="s">
        <v>5839</v>
      </c>
      <c r="B948" s="3">
        <v>43719</v>
      </c>
      <c r="C948" s="2" t="s">
        <v>5840</v>
      </c>
      <c r="D948" t="s">
        <v>6169</v>
      </c>
      <c r="E948" s="2">
        <v>3</v>
      </c>
      <c r="F948" s="2"/>
      <c r="G948" s="2"/>
      <c r="H948" s="2"/>
    </row>
    <row r="949" spans="1:8" x14ac:dyDescent="0.35">
      <c r="A949" s="2" t="s">
        <v>5844</v>
      </c>
      <c r="B949" s="3">
        <v>44294</v>
      </c>
      <c r="C949" s="2" t="s">
        <v>5845</v>
      </c>
      <c r="D949" t="s">
        <v>6155</v>
      </c>
      <c r="E949" s="2">
        <v>1</v>
      </c>
      <c r="F949" s="2"/>
      <c r="G949" s="2"/>
      <c r="H949" s="2"/>
    </row>
    <row r="950" spans="1:8" x14ac:dyDescent="0.35">
      <c r="A950" s="2" t="s">
        <v>5849</v>
      </c>
      <c r="B950" s="3">
        <v>44445</v>
      </c>
      <c r="C950" s="2" t="s">
        <v>5850</v>
      </c>
      <c r="D950" t="s">
        <v>6185</v>
      </c>
      <c r="E950" s="2">
        <v>3</v>
      </c>
      <c r="F950" s="2"/>
      <c r="G950" s="2"/>
      <c r="H950" s="2"/>
    </row>
    <row r="951" spans="1:8" x14ac:dyDescent="0.35">
      <c r="A951" s="2" t="s">
        <v>5855</v>
      </c>
      <c r="B951" s="3">
        <v>44449</v>
      </c>
      <c r="C951" s="2" t="s">
        <v>5856</v>
      </c>
      <c r="D951" t="s">
        <v>6142</v>
      </c>
      <c r="E951" s="2">
        <v>4</v>
      </c>
      <c r="F951" s="2"/>
      <c r="G951" s="2"/>
      <c r="H951" s="2"/>
    </row>
    <row r="952" spans="1:8" x14ac:dyDescent="0.35">
      <c r="A952" s="2" t="s">
        <v>5861</v>
      </c>
      <c r="B952" s="3">
        <v>44703</v>
      </c>
      <c r="C952" s="2" t="s">
        <v>5862</v>
      </c>
      <c r="D952" t="s">
        <v>6178</v>
      </c>
      <c r="E952" s="2">
        <v>4</v>
      </c>
      <c r="F952" s="2"/>
      <c r="G952" s="2"/>
      <c r="H952" s="2"/>
    </row>
    <row r="953" spans="1:8" x14ac:dyDescent="0.35">
      <c r="A953" s="2" t="s">
        <v>5866</v>
      </c>
      <c r="B953" s="3">
        <v>44092</v>
      </c>
      <c r="C953" s="2" t="s">
        <v>5867</v>
      </c>
      <c r="D953" t="s">
        <v>6178</v>
      </c>
      <c r="E953" s="2">
        <v>6</v>
      </c>
      <c r="F953" s="2"/>
      <c r="G953" s="2"/>
      <c r="H953" s="2"/>
    </row>
    <row r="954" spans="1:8" x14ac:dyDescent="0.35">
      <c r="A954" s="2" t="s">
        <v>5872</v>
      </c>
      <c r="B954" s="3">
        <v>44439</v>
      </c>
      <c r="C954" s="2" t="s">
        <v>5873</v>
      </c>
      <c r="D954" t="s">
        <v>6155</v>
      </c>
      <c r="E954" s="2">
        <v>2</v>
      </c>
      <c r="F954" s="2"/>
      <c r="G954" s="2"/>
      <c r="H954" s="2"/>
    </row>
    <row r="955" spans="1:8" x14ac:dyDescent="0.35">
      <c r="A955" s="2" t="s">
        <v>5878</v>
      </c>
      <c r="B955" s="3">
        <v>44582</v>
      </c>
      <c r="C955" s="2" t="s">
        <v>5764</v>
      </c>
      <c r="D955" t="s">
        <v>6167</v>
      </c>
      <c r="E955" s="2">
        <v>1</v>
      </c>
      <c r="F955" s="2"/>
      <c r="G955" s="2"/>
      <c r="H955" s="2"/>
    </row>
    <row r="956" spans="1:8" x14ac:dyDescent="0.35">
      <c r="A956" s="2" t="s">
        <v>5884</v>
      </c>
      <c r="B956" s="3">
        <v>44722</v>
      </c>
      <c r="C956" s="2" t="s">
        <v>5764</v>
      </c>
      <c r="D956" t="s">
        <v>6185</v>
      </c>
      <c r="E956" s="2">
        <v>1</v>
      </c>
      <c r="F956" s="2"/>
      <c r="G956" s="2"/>
      <c r="H956" s="2"/>
    </row>
    <row r="957" spans="1:8" x14ac:dyDescent="0.35">
      <c r="A957" s="2" t="s">
        <v>5890</v>
      </c>
      <c r="B957" s="3">
        <v>43582</v>
      </c>
      <c r="C957" s="2" t="s">
        <v>5764</v>
      </c>
      <c r="D957" t="s">
        <v>6148</v>
      </c>
      <c r="E957" s="2">
        <v>5</v>
      </c>
      <c r="F957" s="2"/>
      <c r="G957" s="2"/>
      <c r="H957" s="2"/>
    </row>
    <row r="958" spans="1:8" x14ac:dyDescent="0.35">
      <c r="A958" s="2" t="s">
        <v>5890</v>
      </c>
      <c r="B958" s="3">
        <v>43582</v>
      </c>
      <c r="C958" s="2" t="s">
        <v>5764</v>
      </c>
      <c r="D958" t="s">
        <v>6142</v>
      </c>
      <c r="E958" s="2">
        <v>2</v>
      </c>
      <c r="F958" s="2"/>
      <c r="G958" s="2"/>
      <c r="H958" s="2"/>
    </row>
    <row r="959" spans="1:8" x14ac:dyDescent="0.35">
      <c r="A959" s="2" t="s">
        <v>5890</v>
      </c>
      <c r="B959" s="3">
        <v>43582</v>
      </c>
      <c r="C959" s="2" t="s">
        <v>5764</v>
      </c>
      <c r="D959" t="s">
        <v>6171</v>
      </c>
      <c r="E959" s="2">
        <v>1</v>
      </c>
      <c r="F959" s="2"/>
      <c r="G959" s="2"/>
      <c r="H959" s="2"/>
    </row>
    <row r="960" spans="1:8" x14ac:dyDescent="0.35">
      <c r="A960" s="2" t="s">
        <v>5890</v>
      </c>
      <c r="B960" s="3">
        <v>43582</v>
      </c>
      <c r="C960" s="2" t="s">
        <v>5764</v>
      </c>
      <c r="D960" t="s">
        <v>6167</v>
      </c>
      <c r="E960" s="2">
        <v>2</v>
      </c>
      <c r="F960" s="2"/>
      <c r="G960" s="2"/>
      <c r="H960" s="2"/>
    </row>
    <row r="961" spans="1:8" x14ac:dyDescent="0.35">
      <c r="A961" s="2" t="s">
        <v>5910</v>
      </c>
      <c r="B961" s="3">
        <v>44598</v>
      </c>
      <c r="C961" s="2" t="s">
        <v>5911</v>
      </c>
      <c r="D961" t="s">
        <v>6145</v>
      </c>
      <c r="E961" s="2">
        <v>5</v>
      </c>
      <c r="F961" s="2"/>
      <c r="G961" s="2"/>
      <c r="H961" s="2"/>
    </row>
    <row r="962" spans="1:8" x14ac:dyDescent="0.35">
      <c r="A962" s="2" t="s">
        <v>5915</v>
      </c>
      <c r="B962" s="3">
        <v>44591</v>
      </c>
      <c r="C962" s="2" t="s">
        <v>5916</v>
      </c>
      <c r="D962" t="s">
        <v>6170</v>
      </c>
      <c r="E962" s="2">
        <v>5</v>
      </c>
      <c r="F962" s="2"/>
      <c r="G962" s="2"/>
      <c r="H962" s="2"/>
    </row>
    <row r="963" spans="1:8" x14ac:dyDescent="0.35">
      <c r="A963" s="2" t="s">
        <v>5921</v>
      </c>
      <c r="B963" s="3">
        <v>44158</v>
      </c>
      <c r="C963" s="2" t="s">
        <v>5922</v>
      </c>
      <c r="D963" t="s">
        <v>6168</v>
      </c>
      <c r="E963" s="2">
        <v>2</v>
      </c>
      <c r="F963" s="2"/>
      <c r="G963" s="2"/>
      <c r="H963" s="2"/>
    </row>
    <row r="964" spans="1:8" x14ac:dyDescent="0.35">
      <c r="A964" s="2" t="s">
        <v>5926</v>
      </c>
      <c r="B964" s="3">
        <v>44664</v>
      </c>
      <c r="C964" s="2" t="s">
        <v>5927</v>
      </c>
      <c r="D964" t="s">
        <v>6177</v>
      </c>
      <c r="E964" s="2">
        <v>1</v>
      </c>
      <c r="F964" s="2"/>
      <c r="G964" s="2"/>
      <c r="H964" s="2"/>
    </row>
    <row r="965" spans="1:8" x14ac:dyDescent="0.35">
      <c r="A965" s="2" t="s">
        <v>5932</v>
      </c>
      <c r="B965" s="3">
        <v>44203</v>
      </c>
      <c r="C965" s="2" t="s">
        <v>5933</v>
      </c>
      <c r="D965" t="s">
        <v>6146</v>
      </c>
      <c r="E965" s="2">
        <v>4</v>
      </c>
      <c r="F965" s="2"/>
      <c r="G965" s="2"/>
      <c r="H965" s="2"/>
    </row>
    <row r="966" spans="1:8" x14ac:dyDescent="0.35">
      <c r="A966" s="2" t="s">
        <v>5938</v>
      </c>
      <c r="B966" s="3">
        <v>43865</v>
      </c>
      <c r="C966" s="2" t="s">
        <v>5939</v>
      </c>
      <c r="D966" t="s">
        <v>6184</v>
      </c>
      <c r="E966" s="2">
        <v>5</v>
      </c>
      <c r="F966" s="2"/>
      <c r="G966" s="2"/>
      <c r="H966" s="2"/>
    </row>
    <row r="967" spans="1:8" x14ac:dyDescent="0.35">
      <c r="A967" s="2" t="s">
        <v>5944</v>
      </c>
      <c r="B967" s="3">
        <v>43724</v>
      </c>
      <c r="C967" s="2" t="s">
        <v>5945</v>
      </c>
      <c r="D967" t="s">
        <v>6138</v>
      </c>
      <c r="E967" s="2">
        <v>3</v>
      </c>
      <c r="F967" s="2"/>
      <c r="G967" s="2"/>
      <c r="H967" s="2"/>
    </row>
    <row r="968" spans="1:8" x14ac:dyDescent="0.35">
      <c r="A968" s="2" t="s">
        <v>5949</v>
      </c>
      <c r="B968" s="3">
        <v>43491</v>
      </c>
      <c r="C968" s="2" t="s">
        <v>5950</v>
      </c>
      <c r="D968" t="s">
        <v>6176</v>
      </c>
      <c r="E968" s="2">
        <v>6</v>
      </c>
      <c r="F968" s="2"/>
      <c r="G968" s="2"/>
      <c r="H968" s="2"/>
    </row>
    <row r="969" spans="1:8" x14ac:dyDescent="0.35">
      <c r="A969" s="2" t="s">
        <v>5955</v>
      </c>
      <c r="B969" s="3">
        <v>44246</v>
      </c>
      <c r="C969" s="2" t="s">
        <v>5956</v>
      </c>
      <c r="D969" t="s">
        <v>6163</v>
      </c>
      <c r="E969" s="2">
        <v>1</v>
      </c>
      <c r="F969" s="2"/>
      <c r="G969" s="2"/>
      <c r="H969" s="2"/>
    </row>
    <row r="970" spans="1:8" x14ac:dyDescent="0.35">
      <c r="A970" s="2" t="s">
        <v>5961</v>
      </c>
      <c r="B970" s="3">
        <v>44642</v>
      </c>
      <c r="C970" s="2" t="s">
        <v>5962</v>
      </c>
      <c r="D970" t="s">
        <v>6174</v>
      </c>
      <c r="E970" s="2">
        <v>2</v>
      </c>
      <c r="F970" s="2"/>
      <c r="G970" s="2"/>
      <c r="H970" s="2"/>
    </row>
    <row r="971" spans="1:8" x14ac:dyDescent="0.35">
      <c r="A971" s="2" t="s">
        <v>5967</v>
      </c>
      <c r="B971" s="3">
        <v>43649</v>
      </c>
      <c r="C971" s="2" t="s">
        <v>5968</v>
      </c>
      <c r="D971" t="s">
        <v>6143</v>
      </c>
      <c r="E971" s="2">
        <v>1</v>
      </c>
      <c r="F971" s="2"/>
      <c r="G971" s="2"/>
      <c r="H971" s="2"/>
    </row>
    <row r="972" spans="1:8" x14ac:dyDescent="0.35">
      <c r="A972" s="2" t="s">
        <v>5973</v>
      </c>
      <c r="B972" s="3">
        <v>43729</v>
      </c>
      <c r="C972" s="2" t="s">
        <v>5974</v>
      </c>
      <c r="D972" t="s">
        <v>6139</v>
      </c>
      <c r="E972" s="2">
        <v>1</v>
      </c>
      <c r="F972" s="2"/>
      <c r="G972" s="2"/>
      <c r="H972" s="2"/>
    </row>
    <row r="973" spans="1:8" x14ac:dyDescent="0.35">
      <c r="A973" s="2" t="s">
        <v>5978</v>
      </c>
      <c r="B973" s="3">
        <v>43703</v>
      </c>
      <c r="C973" s="2" t="s">
        <v>5979</v>
      </c>
      <c r="D973" t="s">
        <v>6182</v>
      </c>
      <c r="E973" s="2">
        <v>5</v>
      </c>
      <c r="F973" s="2"/>
      <c r="G973" s="2"/>
      <c r="H973" s="2"/>
    </row>
    <row r="974" spans="1:8" x14ac:dyDescent="0.35">
      <c r="A974" s="2" t="s">
        <v>5984</v>
      </c>
      <c r="B974" s="3">
        <v>44411</v>
      </c>
      <c r="C974" s="2" t="s">
        <v>5985</v>
      </c>
      <c r="D974" t="s">
        <v>6182</v>
      </c>
      <c r="E974" s="2">
        <v>3</v>
      </c>
      <c r="F974" s="2"/>
      <c r="G974" s="2"/>
      <c r="H974" s="2"/>
    </row>
    <row r="975" spans="1:8" x14ac:dyDescent="0.35">
      <c r="A975" s="2" t="s">
        <v>5989</v>
      </c>
      <c r="B975" s="3">
        <v>44493</v>
      </c>
      <c r="C975" s="2" t="s">
        <v>5990</v>
      </c>
      <c r="D975" t="s">
        <v>6162</v>
      </c>
      <c r="E975" s="2">
        <v>6</v>
      </c>
      <c r="F975" s="2"/>
      <c r="G975" s="2"/>
      <c r="H975" s="2"/>
    </row>
    <row r="976" spans="1:8" x14ac:dyDescent="0.35">
      <c r="A976" s="2" t="s">
        <v>5995</v>
      </c>
      <c r="B976" s="3">
        <v>43556</v>
      </c>
      <c r="C976" s="2" t="s">
        <v>5996</v>
      </c>
      <c r="D976" t="s">
        <v>6172</v>
      </c>
      <c r="E976" s="2">
        <v>1</v>
      </c>
      <c r="F976" s="2"/>
      <c r="G976" s="2"/>
      <c r="H976" s="2"/>
    </row>
    <row r="977" spans="1:8" x14ac:dyDescent="0.35">
      <c r="A977" s="2" t="s">
        <v>6001</v>
      </c>
      <c r="B977" s="3">
        <v>44538</v>
      </c>
      <c r="C977" s="2" t="s">
        <v>6002</v>
      </c>
      <c r="D977" t="s">
        <v>6154</v>
      </c>
      <c r="E977" s="2">
        <v>3</v>
      </c>
      <c r="F977" s="2"/>
      <c r="G977" s="2"/>
      <c r="H977" s="2"/>
    </row>
    <row r="978" spans="1:8" x14ac:dyDescent="0.35">
      <c r="A978" s="2" t="s">
        <v>6007</v>
      </c>
      <c r="B978" s="3">
        <v>43643</v>
      </c>
      <c r="C978" s="2" t="s">
        <v>6008</v>
      </c>
      <c r="D978" t="s">
        <v>6142</v>
      </c>
      <c r="E978" s="2">
        <v>5</v>
      </c>
      <c r="F978" s="2"/>
      <c r="G978" s="2"/>
      <c r="H978" s="2"/>
    </row>
    <row r="979" spans="1:8" x14ac:dyDescent="0.35">
      <c r="A979" s="2" t="s">
        <v>6013</v>
      </c>
      <c r="B979" s="3">
        <v>44026</v>
      </c>
      <c r="C979" s="2" t="s">
        <v>6014</v>
      </c>
      <c r="D979" t="s">
        <v>6179</v>
      </c>
      <c r="E979" s="2">
        <v>5</v>
      </c>
      <c r="F979" s="2"/>
      <c r="G979" s="2"/>
      <c r="H979" s="2"/>
    </row>
    <row r="980" spans="1:8" x14ac:dyDescent="0.35">
      <c r="A980" s="2" t="s">
        <v>6019</v>
      </c>
      <c r="B980" s="3">
        <v>43913</v>
      </c>
      <c r="C980" s="2" t="s">
        <v>5990</v>
      </c>
      <c r="D980" t="s">
        <v>6180</v>
      </c>
      <c r="E980" s="2">
        <v>3</v>
      </c>
      <c r="F980" s="2"/>
      <c r="G980" s="2"/>
      <c r="H980" s="2"/>
    </row>
    <row r="981" spans="1:8" x14ac:dyDescent="0.35">
      <c r="A981" s="2" t="s">
        <v>6025</v>
      </c>
      <c r="B981" s="3">
        <v>43856</v>
      </c>
      <c r="C981" s="2" t="s">
        <v>6026</v>
      </c>
      <c r="D981" t="s">
        <v>6172</v>
      </c>
      <c r="E981" s="2">
        <v>2</v>
      </c>
      <c r="F981" s="2"/>
      <c r="G981" s="2"/>
      <c r="H981" s="2"/>
    </row>
    <row r="982" spans="1:8" x14ac:dyDescent="0.35">
      <c r="A982" s="2" t="s">
        <v>6030</v>
      </c>
      <c r="B982" s="3">
        <v>43982</v>
      </c>
      <c r="C982" s="2" t="s">
        <v>6031</v>
      </c>
      <c r="D982" t="s">
        <v>6185</v>
      </c>
      <c r="E982" s="2">
        <v>6</v>
      </c>
      <c r="F982" s="2"/>
      <c r="G982" s="2"/>
      <c r="H982" s="2"/>
    </row>
    <row r="983" spans="1:8" x14ac:dyDescent="0.35">
      <c r="A983" s="2" t="s">
        <v>6035</v>
      </c>
      <c r="B983" s="3">
        <v>44397</v>
      </c>
      <c r="C983" s="2" t="s">
        <v>6036</v>
      </c>
      <c r="D983" t="s">
        <v>6153</v>
      </c>
      <c r="E983" s="2">
        <v>6</v>
      </c>
      <c r="F983" s="2"/>
      <c r="G983" s="2"/>
      <c r="H983" s="2"/>
    </row>
    <row r="984" spans="1:8" x14ac:dyDescent="0.35">
      <c r="A984" s="2" t="s">
        <v>6041</v>
      </c>
      <c r="B984" s="3">
        <v>44785</v>
      </c>
      <c r="C984" s="2" t="s">
        <v>6042</v>
      </c>
      <c r="D984" t="s">
        <v>6179</v>
      </c>
      <c r="E984" s="2">
        <v>2</v>
      </c>
      <c r="F984" s="2"/>
      <c r="G984" s="2"/>
      <c r="H984" s="2"/>
    </row>
    <row r="985" spans="1:8" x14ac:dyDescent="0.35">
      <c r="A985" s="2" t="s">
        <v>6047</v>
      </c>
      <c r="B985" s="3">
        <v>43831</v>
      </c>
      <c r="C985" s="2" t="s">
        <v>6048</v>
      </c>
      <c r="D985" t="s">
        <v>6152</v>
      </c>
      <c r="E985" s="2">
        <v>2</v>
      </c>
      <c r="F985" s="2"/>
      <c r="G985" s="2"/>
      <c r="H985" s="2"/>
    </row>
    <row r="986" spans="1:8" x14ac:dyDescent="0.35">
      <c r="A986" s="2" t="s">
        <v>6053</v>
      </c>
      <c r="B986" s="3">
        <v>44214</v>
      </c>
      <c r="C986" s="2" t="s">
        <v>6054</v>
      </c>
      <c r="D986" t="s">
        <v>6166</v>
      </c>
      <c r="E986" s="2">
        <v>1</v>
      </c>
      <c r="F986" s="2"/>
      <c r="G986" s="2"/>
      <c r="H986" s="2"/>
    </row>
    <row r="987" spans="1:8" x14ac:dyDescent="0.35">
      <c r="A987" s="2" t="s">
        <v>6058</v>
      </c>
      <c r="B987" s="3">
        <v>44561</v>
      </c>
      <c r="C987" s="2" t="s">
        <v>6059</v>
      </c>
      <c r="D987" t="s">
        <v>6179</v>
      </c>
      <c r="E987" s="2">
        <v>4</v>
      </c>
      <c r="F987" s="2"/>
      <c r="G987" s="2"/>
      <c r="H987" s="2"/>
    </row>
    <row r="988" spans="1:8" x14ac:dyDescent="0.35">
      <c r="A988" s="2" t="s">
        <v>6064</v>
      </c>
      <c r="B988" s="3">
        <v>43955</v>
      </c>
      <c r="C988" s="2" t="s">
        <v>6065</v>
      </c>
      <c r="D988" t="s">
        <v>6181</v>
      </c>
      <c r="E988" s="2">
        <v>1</v>
      </c>
      <c r="F988" s="2"/>
      <c r="G988" s="2"/>
      <c r="H988" s="2"/>
    </row>
    <row r="989" spans="1:8" x14ac:dyDescent="0.35">
      <c r="A989" s="2" t="s">
        <v>6070</v>
      </c>
      <c r="B989" s="3">
        <v>44247</v>
      </c>
      <c r="C989" s="2" t="s">
        <v>6071</v>
      </c>
      <c r="D989" t="s">
        <v>6158</v>
      </c>
      <c r="E989" s="2">
        <v>5</v>
      </c>
      <c r="F989" s="2"/>
      <c r="G989" s="2"/>
      <c r="H989" s="2"/>
    </row>
    <row r="990" spans="1:8" x14ac:dyDescent="0.35">
      <c r="A990" s="2" t="s">
        <v>6076</v>
      </c>
      <c r="B990" s="3">
        <v>43897</v>
      </c>
      <c r="C990" s="2" t="s">
        <v>6077</v>
      </c>
      <c r="D990" t="s">
        <v>6138</v>
      </c>
      <c r="E990" s="2">
        <v>3</v>
      </c>
      <c r="F990" s="2"/>
      <c r="G990" s="2"/>
      <c r="H990" s="2"/>
    </row>
    <row r="991" spans="1:8" x14ac:dyDescent="0.35">
      <c r="A991" s="2" t="s">
        <v>6081</v>
      </c>
      <c r="B991" s="3">
        <v>43560</v>
      </c>
      <c r="C991" s="2" t="s">
        <v>6082</v>
      </c>
      <c r="D991" t="s">
        <v>6175</v>
      </c>
      <c r="E991" s="2">
        <v>6</v>
      </c>
      <c r="F991" s="2"/>
      <c r="G991" s="2"/>
      <c r="H991" s="2"/>
    </row>
    <row r="992" spans="1:8" x14ac:dyDescent="0.35">
      <c r="A992" s="2" t="s">
        <v>6086</v>
      </c>
      <c r="B992" s="3">
        <v>44718</v>
      </c>
      <c r="C992" s="2" t="s">
        <v>6118</v>
      </c>
      <c r="D992" t="s">
        <v>6153</v>
      </c>
      <c r="E992" s="2">
        <v>5</v>
      </c>
      <c r="F992" s="2"/>
      <c r="G992" s="2"/>
      <c r="H992" s="2"/>
    </row>
    <row r="993" spans="1:8" x14ac:dyDescent="0.35">
      <c r="A993" s="2" t="s">
        <v>6086</v>
      </c>
      <c r="B993" s="3">
        <v>44718</v>
      </c>
      <c r="C993" s="2" t="s">
        <v>6118</v>
      </c>
      <c r="D993" t="s">
        <v>6169</v>
      </c>
      <c r="E993" s="2">
        <v>2</v>
      </c>
      <c r="F993" s="2"/>
      <c r="G993" s="2"/>
      <c r="H993" s="2"/>
    </row>
    <row r="994" spans="1:8" x14ac:dyDescent="0.35">
      <c r="A994" s="2" t="s">
        <v>6096</v>
      </c>
      <c r="B994" s="3">
        <v>44276</v>
      </c>
      <c r="C994" s="2" t="s">
        <v>6097</v>
      </c>
      <c r="D994" t="s">
        <v>6164</v>
      </c>
      <c r="E994" s="2">
        <v>3</v>
      </c>
      <c r="F994" s="2"/>
      <c r="G994" s="2"/>
      <c r="H994" s="2"/>
    </row>
    <row r="995" spans="1:8" x14ac:dyDescent="0.35">
      <c r="A995" s="2" t="s">
        <v>6101</v>
      </c>
      <c r="B995" s="3">
        <v>44549</v>
      </c>
      <c r="C995" s="2" t="s">
        <v>6102</v>
      </c>
      <c r="D995" t="s">
        <v>6140</v>
      </c>
      <c r="E995" s="2">
        <v>6</v>
      </c>
      <c r="F995" s="2"/>
      <c r="G995" s="2"/>
      <c r="H995" s="2"/>
    </row>
    <row r="996" spans="1:8" x14ac:dyDescent="0.35">
      <c r="A996" s="2" t="s">
        <v>6106</v>
      </c>
      <c r="B996" s="3">
        <v>44244</v>
      </c>
      <c r="C996" s="2" t="s">
        <v>6107</v>
      </c>
      <c r="D996" t="s">
        <v>6154</v>
      </c>
      <c r="E996" s="2">
        <v>3</v>
      </c>
      <c r="F996" s="2"/>
      <c r="G996" s="2"/>
      <c r="H996" s="2"/>
    </row>
    <row r="997" spans="1:8" x14ac:dyDescent="0.35">
      <c r="A997" s="2" t="s">
        <v>6111</v>
      </c>
      <c r="B997" s="3">
        <v>43836</v>
      </c>
      <c r="C997" s="2" t="s">
        <v>6112</v>
      </c>
      <c r="D997" t="s">
        <v>6142</v>
      </c>
      <c r="E997" s="2">
        <v>1</v>
      </c>
      <c r="F997" s="2"/>
      <c r="G997" s="2"/>
      <c r="H997" s="2"/>
    </row>
    <row r="998" spans="1:8" x14ac:dyDescent="0.35">
      <c r="A998" s="2" t="s">
        <v>6117</v>
      </c>
      <c r="B998" s="3">
        <v>44685</v>
      </c>
      <c r="C998" s="2" t="s">
        <v>6118</v>
      </c>
      <c r="D998" t="s">
        <v>6146</v>
      </c>
      <c r="E998" s="2">
        <v>5</v>
      </c>
      <c r="F998" s="2"/>
      <c r="G998" s="2"/>
      <c r="H998" s="2"/>
    </row>
    <row r="999" spans="1:8" x14ac:dyDescent="0.35">
      <c r="A999" s="2" t="s">
        <v>6122</v>
      </c>
      <c r="B999" s="3">
        <v>43749</v>
      </c>
      <c r="C999" s="2" t="s">
        <v>6118</v>
      </c>
      <c r="D999" t="s">
        <v>6157</v>
      </c>
      <c r="E999" s="2">
        <v>4</v>
      </c>
      <c r="F999" s="2"/>
      <c r="G999" s="2"/>
      <c r="H999" s="2"/>
    </row>
    <row r="1000" spans="1:8" x14ac:dyDescent="0.35">
      <c r="A1000" s="2" t="s">
        <v>6127</v>
      </c>
      <c r="B1000" s="3">
        <v>44411</v>
      </c>
      <c r="C1000" s="2" t="s">
        <v>6128</v>
      </c>
      <c r="D1000" t="s">
        <v>6147</v>
      </c>
      <c r="E1000" s="2">
        <v>1</v>
      </c>
      <c r="F1000" s="2"/>
      <c r="G1000" s="2"/>
      <c r="H1000" s="2"/>
    </row>
    <row r="1001" spans="1:8" x14ac:dyDescent="0.35">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85" zoomScaleNormal="85" workbookViewId="0">
      <selection activeCell="C2" sqref="C2"/>
    </sheetView>
  </sheetViews>
  <sheetFormatPr defaultRowHeight="14.5" x14ac:dyDescent="0.35"/>
  <cols>
    <col min="1" max="1" width="16.6328125" bestFit="1" customWidth="1"/>
    <col min="2" max="2" width="22.1796875" bestFit="1" customWidth="1"/>
    <col min="3" max="3" width="36.36328125" bestFit="1" customWidth="1"/>
    <col min="4" max="4" width="18.81640625" bestFit="1" customWidth="1"/>
    <col min="5" max="5" width="25.7265625" bestFit="1" customWidth="1"/>
    <col min="6" max="6" width="19.36328125" bestFit="1" customWidth="1"/>
    <col min="7" max="7" width="14.1796875" bestFit="1" customWidth="1"/>
    <col min="8" max="8" width="8.54296875" bestFit="1" customWidth="1"/>
    <col min="9" max="9" width="11.0898437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85" zoomScaleNormal="85"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4BA7-FE5D-424E-BDB0-B8E00CB39A8F}">
  <dimension ref="A1:R1001"/>
  <sheetViews>
    <sheetView topLeftCell="E979" zoomScale="85" zoomScaleNormal="85" workbookViewId="0">
      <selection activeCell="G4" sqref="G1:G1001"/>
    </sheetView>
  </sheetViews>
  <sheetFormatPr defaultRowHeight="14.5" x14ac:dyDescent="0.35"/>
  <cols>
    <col min="1" max="1" width="15.81640625" bestFit="1" customWidth="1"/>
    <col min="2" max="2" width="13.1796875" bestFit="1" customWidth="1"/>
    <col min="3" max="4" width="13.1796875" customWidth="1"/>
    <col min="5" max="5" width="16.6328125" bestFit="1" customWidth="1"/>
    <col min="6" max="6" width="12.453125" bestFit="1" customWidth="1"/>
    <col min="7" max="7" width="13.81640625" style="21" bestFit="1" customWidth="1"/>
    <col min="8" max="8" width="22.1796875" bestFit="1" customWidth="1"/>
    <col min="9" max="9" width="36.36328125" bestFit="1" customWidth="1"/>
    <col min="10" max="10" width="14.1796875" bestFit="1" customWidth="1"/>
    <col min="11" max="11" width="13.6328125" customWidth="1"/>
    <col min="12" max="12" width="12.90625" bestFit="1" customWidth="1"/>
    <col min="13" max="13" width="7" bestFit="1" customWidth="1"/>
    <col min="14" max="14" width="13.26953125" style="7" bestFit="1" customWidth="1"/>
    <col min="15" max="15" width="9.26953125" style="7" bestFit="1" customWidth="1"/>
    <col min="16" max="16" width="19.26953125" bestFit="1" customWidth="1"/>
    <col min="17" max="17" width="18.453125" bestFit="1" customWidth="1"/>
    <col min="18" max="18" width="14" bestFit="1" customWidth="1"/>
  </cols>
  <sheetData>
    <row r="1" spans="1:18" x14ac:dyDescent="0.35">
      <c r="A1" s="2" t="s">
        <v>0</v>
      </c>
      <c r="B1" s="2" t="s">
        <v>1</v>
      </c>
      <c r="C1" s="2" t="s">
        <v>6223</v>
      </c>
      <c r="D1" s="2" t="s">
        <v>6224</v>
      </c>
      <c r="E1" s="2" t="s">
        <v>3</v>
      </c>
      <c r="F1" s="2" t="s">
        <v>11</v>
      </c>
      <c r="G1" s="20" t="s">
        <v>14</v>
      </c>
      <c r="H1" s="2" t="s">
        <v>4</v>
      </c>
      <c r="I1" s="2" t="s">
        <v>2</v>
      </c>
      <c r="J1" s="2" t="s">
        <v>7</v>
      </c>
      <c r="K1" s="2" t="s">
        <v>9</v>
      </c>
      <c r="L1" s="2" t="s">
        <v>10</v>
      </c>
      <c r="M1" s="2" t="s">
        <v>12</v>
      </c>
      <c r="N1" s="6" t="s">
        <v>13</v>
      </c>
      <c r="O1" s="6" t="s">
        <v>15</v>
      </c>
      <c r="P1" s="2" t="s">
        <v>6196</v>
      </c>
      <c r="Q1" s="2" t="s">
        <v>6197</v>
      </c>
      <c r="R1" s="2" t="s">
        <v>6189</v>
      </c>
    </row>
    <row r="2" spans="1:18" x14ac:dyDescent="0.35">
      <c r="A2" s="2" t="s">
        <v>2569</v>
      </c>
      <c r="B2" s="4">
        <v>43500</v>
      </c>
      <c r="C2" s="23">
        <f>Orders[[#This Row],[Order Date]]</f>
        <v>43500</v>
      </c>
      <c r="D2" s="2">
        <f>YEAR(Orders[[#This Row],[Order Date]])</f>
        <v>2019</v>
      </c>
      <c r="E2" s="2" t="s">
        <v>2570</v>
      </c>
      <c r="F2" t="s">
        <v>6176</v>
      </c>
      <c r="G2" s="20">
        <v>1</v>
      </c>
      <c r="H2" s="2" t="str">
        <f>INDEX(customers!$A$1:$I$1001,MATCH($E2,customers!$A$1:$A$1001,),MATCH($H$1,customers!$A$1:$I$1,0))</f>
        <v>Abba Pummell</v>
      </c>
      <c r="I2" s="2" t="str">
        <f>IF(INDEX(customers!$A$1:$I$1001,MATCH($E2,customers!$A$1:$A$1001,0),3)=0,"",INDEX(customers!$A$1:$I$1001,MATCH($E2,customers!$A$1:$A$1001,0),3))</f>
        <v/>
      </c>
      <c r="J2" s="2" t="str">
        <f>_xlfn.XLOOKUP(E2,customers!$A$1:$A$1001,customers!$G$1:$G$1001)</f>
        <v>United States</v>
      </c>
      <c r="K2" t="str">
        <f>INDEX(products!$A$1:$G$49,MATCH($F2,products!$A$1:$A$49,0),MATCH(K$1,products!$A$1:$G$1,0))</f>
        <v>Exc</v>
      </c>
      <c r="L2" t="str">
        <f>INDEX(products!$A$1:$G$49,MATCH($F2,products!$A$1:$A$49,0),MATCH(L$1,products!$A$1:$G$1,0))</f>
        <v>L</v>
      </c>
      <c r="M2" s="5">
        <f>INDEX(products!$A$1:$G$49,MATCH($F2,products!$A$1:$A$49,0),MATCH(M$1,products!$A$1:$G$1,0))</f>
        <v>0.5</v>
      </c>
      <c r="N2" s="7">
        <f>INDEX(products!$A$1:$G$49,MATCH($F2,products!$A$1:$A$49,0),MATCH(N$1,products!$A$1:$G$1,0))</f>
        <v>8.91</v>
      </c>
      <c r="O2" s="7">
        <f t="shared" ref="O2:O65" si="0">N2*G2</f>
        <v>8.91</v>
      </c>
      <c r="P2" t="str" cm="1">
        <f t="array" ref="P2">_xlfn.IFS(K2="Rob","Robusta",K2="Exc","Excelsa",K2="Ara","Arabica",K2="Lib","Liberica")</f>
        <v>Excelsa</v>
      </c>
      <c r="Q2" t="str" cm="1">
        <f t="array" ref="Q2">_xlfn.IFS(L2="M","Medium",L2="L","Light",L2="D","Dark")</f>
        <v>Light</v>
      </c>
      <c r="R2" t="str">
        <f>_xlfn.XLOOKUP(Orders[[#This Row],[Customer ID]],customers!$A$1:$A$1001,customers!$I$1:$I$1001)</f>
        <v>Yes</v>
      </c>
    </row>
    <row r="3" spans="1:18" x14ac:dyDescent="0.35">
      <c r="A3" s="2" t="s">
        <v>3677</v>
      </c>
      <c r="B3" s="4">
        <v>43883</v>
      </c>
      <c r="C3" s="23">
        <f>Orders[[#This Row],[Order Date]]</f>
        <v>43883</v>
      </c>
      <c r="D3" s="2">
        <f>YEAR(Orders[[#This Row],[Order Date]])</f>
        <v>2020</v>
      </c>
      <c r="E3" s="2" t="s">
        <v>3678</v>
      </c>
      <c r="F3" t="s">
        <v>6173</v>
      </c>
      <c r="G3" s="20">
        <v>2</v>
      </c>
      <c r="H3" s="2" t="str">
        <f>INDEX(customers!$A$1:$I$1001,MATCH($E3,customers!$A$1:$A$1001,),MATCH($H$1,customers!$A$1:$I$1,0))</f>
        <v>Abbe Thys</v>
      </c>
      <c r="I3" s="2" t="str">
        <f>IF(INDEX(customers!$A$1:$I$1001,MATCH($E3,customers!$A$1:$A$1001,0),3)=0,"",INDEX(customers!$A$1:$I$1001,MATCH($E3,customers!$A$1:$A$1001,0),3))</f>
        <v>athysfo@cdc.gov</v>
      </c>
      <c r="J3" s="2" t="str">
        <f>_xlfn.XLOOKUP(E3,customers!$A$1:$A$1001,customers!$G$1:$G$1001)</f>
        <v>United States</v>
      </c>
      <c r="K3" t="str">
        <f>INDEX(products!$A$1:$G$49,MATCH($F3,products!$A$1:$A$49,0),MATCH(K$1,products!$A$1:$G$1,0))</f>
        <v>Rob</v>
      </c>
      <c r="L3" t="str">
        <f>INDEX(products!$A$1:$G$49,MATCH($F3,products!$A$1:$A$49,0),MATCH(L$1,products!$A$1:$G$1,0))</f>
        <v>L</v>
      </c>
      <c r="M3" s="5">
        <f>INDEX(products!$A$1:$G$49,MATCH($F3,products!$A$1:$A$49,0),MATCH(M$1,products!$A$1:$G$1,0))</f>
        <v>0.5</v>
      </c>
      <c r="N3" s="7">
        <f>INDEX(products!$A$1:$G$49,MATCH($F3,products!$A$1:$A$49,0),MATCH(N$1,products!$A$1:$G$1,0))</f>
        <v>7.169999999999999</v>
      </c>
      <c r="O3" s="7">
        <f t="shared" si="0"/>
        <v>14.339999999999998</v>
      </c>
      <c r="P3" t="str" cm="1">
        <f t="array" ref="P3">_xlfn.IFS(K3="Rob","Robusta",K3="Exc","Excelsa",K3="Ara","Arabica",K3="Lib","Liberica")</f>
        <v>Robusta</v>
      </c>
      <c r="Q3" t="str" cm="1">
        <f t="array" ref="Q3">_xlfn.IFS(L3="M","Medium",L3="L","Light",L3="D","Dark")</f>
        <v>Light</v>
      </c>
      <c r="R3" t="str">
        <f>_xlfn.XLOOKUP(Orders[[#This Row],[Customer ID]],customers!$A$1:$A$1001,customers!$I$1:$I$1001)</f>
        <v>No</v>
      </c>
    </row>
    <row r="4" spans="1:18" x14ac:dyDescent="0.35">
      <c r="A4" s="2" t="s">
        <v>726</v>
      </c>
      <c r="B4" s="4">
        <v>43607</v>
      </c>
      <c r="C4" s="23">
        <f>Orders[[#This Row],[Order Date]]</f>
        <v>43607</v>
      </c>
      <c r="D4" s="2">
        <f>YEAR(Orders[[#This Row],[Order Date]])</f>
        <v>2019</v>
      </c>
      <c r="E4" s="2" t="s">
        <v>727</v>
      </c>
      <c r="F4" t="s">
        <v>6163</v>
      </c>
      <c r="G4" s="20">
        <v>3</v>
      </c>
      <c r="H4" s="2" t="str">
        <f>INDEX(customers!$A$1:$I$1001,MATCH($E4,customers!$A$1:$A$1001,),MATCH($H$1,customers!$A$1:$I$1,0))</f>
        <v>Abigail Tolworthy</v>
      </c>
      <c r="I4" s="2" t="str">
        <f>IF(INDEX(customers!$A$1:$I$1001,MATCH($E4,customers!$A$1:$A$1001,0),3)=0,"",INDEX(customers!$A$1:$I$1001,MATCH($E4,customers!$A$1:$A$1001,0),3))</f>
        <v>atolworthy16@toplist.cz</v>
      </c>
      <c r="J4" s="2" t="str">
        <f>_xlfn.XLOOKUP(E4,customers!$A$1:$A$1001,customers!$G$1:$G$1001)</f>
        <v>United States</v>
      </c>
      <c r="K4" t="str">
        <f>INDEX(products!$A$1:$G$49,MATCH($F4,products!$A$1:$A$49,0),MATCH(K$1,products!$A$1:$G$1,0))</f>
        <v>Rob</v>
      </c>
      <c r="L4" t="str">
        <f>INDEX(products!$A$1:$G$49,MATCH($F4,products!$A$1:$A$49,0),MATCH(L$1,products!$A$1:$G$1,0))</f>
        <v>D</v>
      </c>
      <c r="M4" s="5">
        <f>INDEX(products!$A$1:$G$49,MATCH($F4,products!$A$1:$A$49,0),MATCH(M$1,products!$A$1:$G$1,0))</f>
        <v>0.2</v>
      </c>
      <c r="N4" s="7">
        <f>INDEX(products!$A$1:$G$49,MATCH($F4,products!$A$1:$A$49,0),MATCH(N$1,products!$A$1:$G$1,0))</f>
        <v>2.6849999999999996</v>
      </c>
      <c r="O4" s="7">
        <f t="shared" si="0"/>
        <v>8.0549999999999997</v>
      </c>
      <c r="P4" t="str" cm="1">
        <f t="array" ref="P4">_xlfn.IFS(K4="Rob","Robusta",K4="Exc","Excelsa",K4="Ara","Arabica",K4="Lib","Liberica")</f>
        <v>Robusta</v>
      </c>
      <c r="Q4" t="str" cm="1">
        <f t="array" ref="Q4">_xlfn.IFS(L4="M","Medium",L4="L","Light",L4="D","Dark")</f>
        <v>Dark</v>
      </c>
      <c r="R4" t="str">
        <f>_xlfn.XLOOKUP(Orders[[#This Row],[Customer ID]],customers!$A$1:$A$1001,customers!$I$1:$I$1001)</f>
        <v>Yes</v>
      </c>
    </row>
    <row r="5" spans="1:18" x14ac:dyDescent="0.35">
      <c r="A5" s="2" t="s">
        <v>1266</v>
      </c>
      <c r="B5" s="4">
        <v>44238</v>
      </c>
      <c r="C5" s="23">
        <f>Orders[[#This Row],[Order Date]]</f>
        <v>44238</v>
      </c>
      <c r="D5" s="2">
        <f>YEAR(Orders[[#This Row],[Order Date]])</f>
        <v>2021</v>
      </c>
      <c r="E5" s="2" t="s">
        <v>1267</v>
      </c>
      <c r="F5" t="s">
        <v>6183</v>
      </c>
      <c r="G5" s="20">
        <v>4</v>
      </c>
      <c r="H5" s="2" t="str">
        <f>INDEX(customers!$A$1:$I$1001,MATCH($E5,customers!$A$1:$A$1001,),MATCH($H$1,customers!$A$1:$I$1,0))</f>
        <v>Abraham Coleman</v>
      </c>
      <c r="I5" s="2" t="str">
        <f>IF(INDEX(customers!$A$1:$I$1001,MATCH($E5,customers!$A$1:$A$1001,0),3)=0,"",INDEX(customers!$A$1:$I$1001,MATCH($E5,customers!$A$1:$A$1001,0),3))</f>
        <v/>
      </c>
      <c r="J5" s="2" t="str">
        <f>_xlfn.XLOOKUP(E5,customers!$A$1:$A$1001,customers!$G$1:$G$1001)</f>
        <v>United States</v>
      </c>
      <c r="K5" t="str">
        <f>INDEX(products!$A$1:$G$49,MATCH($F5,products!$A$1:$A$49,0),MATCH(K$1,products!$A$1:$G$1,0))</f>
        <v>Exc</v>
      </c>
      <c r="L5" t="str">
        <f>INDEX(products!$A$1:$G$49,MATCH($F5,products!$A$1:$A$49,0),MATCH(L$1,products!$A$1:$G$1,0))</f>
        <v>D</v>
      </c>
      <c r="M5" s="5">
        <f>INDEX(products!$A$1:$G$49,MATCH($F5,products!$A$1:$A$49,0),MATCH(M$1,products!$A$1:$G$1,0))</f>
        <v>1</v>
      </c>
      <c r="N5" s="7">
        <f>INDEX(products!$A$1:$G$49,MATCH($F5,products!$A$1:$A$49,0),MATCH(N$1,products!$A$1:$G$1,0))</f>
        <v>12.15</v>
      </c>
      <c r="O5" s="7">
        <f t="shared" si="0"/>
        <v>48.6</v>
      </c>
      <c r="P5" t="str" cm="1">
        <f t="array" ref="P5">_xlfn.IFS(K5="Rob","Robusta",K5="Exc","Excelsa",K5="Ara","Arabica",K5="Lib","Liberica")</f>
        <v>Excelsa</v>
      </c>
      <c r="Q5" t="str" cm="1">
        <f t="array" ref="Q5">_xlfn.IFS(L5="M","Medium",L5="L","Light",L5="D","Dark")</f>
        <v>Dark</v>
      </c>
      <c r="R5" t="str">
        <f>_xlfn.XLOOKUP(Orders[[#This Row],[Customer ID]],customers!$A$1:$A$1001,customers!$I$1:$I$1001)</f>
        <v>No</v>
      </c>
    </row>
    <row r="6" spans="1:18" x14ac:dyDescent="0.35">
      <c r="A6" s="2" t="s">
        <v>1503</v>
      </c>
      <c r="B6" s="4">
        <v>43910</v>
      </c>
      <c r="C6" s="23">
        <f>Orders[[#This Row],[Order Date]]</f>
        <v>43910</v>
      </c>
      <c r="D6" s="2">
        <f>YEAR(Orders[[#This Row],[Order Date]])</f>
        <v>2020</v>
      </c>
      <c r="E6" s="2" t="s">
        <v>1504</v>
      </c>
      <c r="F6" t="s">
        <v>6184</v>
      </c>
      <c r="G6" s="20">
        <v>5</v>
      </c>
      <c r="H6" s="2" t="str">
        <f>INDEX(customers!$A$1:$I$1001,MATCH($E6,customers!$A$1:$A$1001,),MATCH($H$1,customers!$A$1:$I$1,0))</f>
        <v>Abrahan Mussen</v>
      </c>
      <c r="I6" s="2" t="str">
        <f>IF(INDEX(customers!$A$1:$I$1001,MATCH($E6,customers!$A$1:$A$1001,0),3)=0,"",INDEX(customers!$A$1:$I$1001,MATCH($E6,customers!$A$1:$A$1001,0),3))</f>
        <v>amussen50@51.la</v>
      </c>
      <c r="J6" s="2" t="str">
        <f>_xlfn.XLOOKUP(E6,customers!$A$1:$A$1001,customers!$G$1:$G$1001)</f>
        <v>United States</v>
      </c>
      <c r="K6" t="str">
        <f>INDEX(products!$A$1:$G$49,MATCH($F6,products!$A$1:$A$49,0),MATCH(K$1,products!$A$1:$G$1,0))</f>
        <v>Exc</v>
      </c>
      <c r="L6" t="str">
        <f>INDEX(products!$A$1:$G$49,MATCH($F6,products!$A$1:$A$49,0),MATCH(L$1,products!$A$1:$G$1,0))</f>
        <v>L</v>
      </c>
      <c r="M6" s="5">
        <f>INDEX(products!$A$1:$G$49,MATCH($F6,products!$A$1:$A$49,0),MATCH(M$1,products!$A$1:$G$1,0))</f>
        <v>0.2</v>
      </c>
      <c r="N6" s="7">
        <f>INDEX(products!$A$1:$G$49,MATCH($F6,products!$A$1:$A$49,0),MATCH(N$1,products!$A$1:$G$1,0))</f>
        <v>4.4550000000000001</v>
      </c>
      <c r="O6" s="7">
        <f t="shared" si="0"/>
        <v>22.274999999999999</v>
      </c>
      <c r="P6" t="str" cm="1">
        <f t="array" ref="P6">_xlfn.IFS(K6="Rob","Robusta",K6="Exc","Excelsa",K6="Ara","Arabica",K6="Lib","Liberica")</f>
        <v>Excelsa</v>
      </c>
      <c r="Q6" t="str" cm="1">
        <f t="array" ref="Q6">_xlfn.IFS(L6="M","Medium",L6="L","Light",L6="D","Dark")</f>
        <v>Light</v>
      </c>
      <c r="R6" t="str">
        <f>_xlfn.XLOOKUP(Orders[[#This Row],[Customer ID]],customers!$A$1:$A$1001,customers!$I$1:$I$1001)</f>
        <v>No</v>
      </c>
    </row>
    <row r="7" spans="1:18" x14ac:dyDescent="0.35">
      <c r="A7" s="2" t="s">
        <v>1503</v>
      </c>
      <c r="B7" s="4">
        <v>43910</v>
      </c>
      <c r="C7" s="23">
        <f>Orders[[#This Row],[Order Date]]</f>
        <v>43910</v>
      </c>
      <c r="D7" s="2">
        <f>YEAR(Orders[[#This Row],[Order Date]])</f>
        <v>2020</v>
      </c>
      <c r="E7" s="2" t="s">
        <v>1504</v>
      </c>
      <c r="F7" t="s">
        <v>6158</v>
      </c>
      <c r="G7" s="20">
        <v>5</v>
      </c>
      <c r="H7" s="2" t="str">
        <f>INDEX(customers!$A$1:$I$1001,MATCH($E7,customers!$A$1:$A$1001,),MATCH($H$1,customers!$A$1:$I$1,0))</f>
        <v>Abrahan Mussen</v>
      </c>
      <c r="I7" s="2" t="str">
        <f>IF(INDEX(customers!$A$1:$I$1001,MATCH($E7,customers!$A$1:$A$1001,0),3)=0,"",INDEX(customers!$A$1:$I$1001,MATCH($E7,customers!$A$1:$A$1001,0),3))</f>
        <v>amussen50@51.la</v>
      </c>
      <c r="J7" s="2" t="str">
        <f>_xlfn.XLOOKUP(E7,customers!$A$1:$A$1001,customers!$G$1:$G$1001)</f>
        <v>United States</v>
      </c>
      <c r="K7" t="str">
        <f>INDEX(products!$A$1:$G$49,MATCH($F7,products!$A$1:$A$49,0),MATCH(K$1,products!$A$1:$G$1,0))</f>
        <v>Ara</v>
      </c>
      <c r="L7" t="str">
        <f>INDEX(products!$A$1:$G$49,MATCH($F7,products!$A$1:$A$49,0),MATCH(L$1,products!$A$1:$G$1,0))</f>
        <v>D</v>
      </c>
      <c r="M7" s="5">
        <f>INDEX(products!$A$1:$G$49,MATCH($F7,products!$A$1:$A$49,0),MATCH(M$1,products!$A$1:$G$1,0))</f>
        <v>0.5</v>
      </c>
      <c r="N7" s="7">
        <f>INDEX(products!$A$1:$G$49,MATCH($F7,products!$A$1:$A$49,0),MATCH(N$1,products!$A$1:$G$1,0))</f>
        <v>5.97</v>
      </c>
      <c r="O7" s="7">
        <f t="shared" si="0"/>
        <v>29.849999999999998</v>
      </c>
      <c r="P7" t="str" cm="1">
        <f t="array" ref="P7">_xlfn.IFS(K7="Rob","Robusta",K7="Exc","Excelsa",K7="Ara","Arabica",K7="Lib","Liberica")</f>
        <v>Arabica</v>
      </c>
      <c r="Q7" t="str" cm="1">
        <f t="array" ref="Q7">_xlfn.IFS(L7="M","Medium",L7="L","Light",L7="D","Dark")</f>
        <v>Dark</v>
      </c>
      <c r="R7" t="str">
        <f>_xlfn.XLOOKUP(Orders[[#This Row],[Customer ID]],customers!$A$1:$A$1001,customers!$I$1:$I$1001)</f>
        <v>No</v>
      </c>
    </row>
    <row r="8" spans="1:18" x14ac:dyDescent="0.35">
      <c r="A8" s="2" t="s">
        <v>6076</v>
      </c>
      <c r="B8" s="4">
        <v>43897</v>
      </c>
      <c r="C8" s="23">
        <f>Orders[[#This Row],[Order Date]]</f>
        <v>43897</v>
      </c>
      <c r="D8" s="2">
        <f>YEAR(Orders[[#This Row],[Order Date]])</f>
        <v>2020</v>
      </c>
      <c r="E8" s="2" t="s">
        <v>6077</v>
      </c>
      <c r="F8" t="s">
        <v>6138</v>
      </c>
      <c r="G8" s="20">
        <v>3</v>
      </c>
      <c r="H8" s="2" t="str">
        <f>INDEX(customers!$A$1:$I$1001,MATCH($E8,customers!$A$1:$A$1001,),MATCH($H$1,customers!$A$1:$I$1,0))</f>
        <v>Adele McFayden</v>
      </c>
      <c r="I8" s="2" t="str">
        <f>IF(INDEX(customers!$A$1:$I$1001,MATCH($E8,customers!$A$1:$A$1001,0),3)=0,"",INDEX(customers!$A$1:$I$1001,MATCH($E8,customers!$A$1:$A$1001,0),3))</f>
        <v/>
      </c>
      <c r="J8" s="2" t="str">
        <f>_xlfn.XLOOKUP(E8,customers!$A$1:$A$1001,customers!$G$1:$G$1001)</f>
        <v>United Kingdom</v>
      </c>
      <c r="K8" t="str">
        <f>INDEX(products!$A$1:$G$49,MATCH($F8,products!$A$1:$A$49,0),MATCH(K$1,products!$A$1:$G$1,0))</f>
        <v>Rob</v>
      </c>
      <c r="L8" t="str">
        <f>INDEX(products!$A$1:$G$49,MATCH($F8,products!$A$1:$A$49,0),MATCH(L$1,products!$A$1:$G$1,0))</f>
        <v>M</v>
      </c>
      <c r="M8" s="5">
        <f>INDEX(products!$A$1:$G$49,MATCH($F8,products!$A$1:$A$49,0),MATCH(M$1,products!$A$1:$G$1,0))</f>
        <v>1</v>
      </c>
      <c r="N8" s="7">
        <f>INDEX(products!$A$1:$G$49,MATCH($F8,products!$A$1:$A$49,0),MATCH(N$1,products!$A$1:$G$1,0))</f>
        <v>9.9499999999999993</v>
      </c>
      <c r="O8" s="7">
        <f t="shared" si="0"/>
        <v>29.849999999999998</v>
      </c>
      <c r="P8" t="str" cm="1">
        <f t="array" ref="P8">_xlfn.IFS(K8="Rob","Robusta",K8="Exc","Excelsa",K8="Ara","Arabica",K8="Lib","Liberica")</f>
        <v>Robusta</v>
      </c>
      <c r="Q8" t="str" cm="1">
        <f t="array" ref="Q8">_xlfn.IFS(L8="M","Medium",L8="L","Light",L8="D","Dark")</f>
        <v>Medium</v>
      </c>
      <c r="R8" t="str">
        <f>_xlfn.XLOOKUP(Orders[[#This Row],[Customer ID]],customers!$A$1:$A$1001,customers!$I$1:$I$1001)</f>
        <v>Yes</v>
      </c>
    </row>
    <row r="9" spans="1:18" x14ac:dyDescent="0.35">
      <c r="A9" s="2" t="s">
        <v>5262</v>
      </c>
      <c r="B9" s="4">
        <v>44476</v>
      </c>
      <c r="C9" s="23">
        <f>Orders[[#This Row],[Order Date]]</f>
        <v>44476</v>
      </c>
      <c r="D9" s="2">
        <f>YEAR(Orders[[#This Row],[Order Date]])</f>
        <v>2021</v>
      </c>
      <c r="E9" s="2" t="s">
        <v>5263</v>
      </c>
      <c r="F9" t="s">
        <v>6158</v>
      </c>
      <c r="G9" s="20">
        <v>6</v>
      </c>
      <c r="H9" s="2" t="str">
        <f>INDEX(customers!$A$1:$I$1001,MATCH($E9,customers!$A$1:$A$1001,),MATCH($H$1,customers!$A$1:$I$1,0))</f>
        <v>Adelheid Gladhill</v>
      </c>
      <c r="I9" s="2" t="str">
        <f>IF(INDEX(customers!$A$1:$I$1001,MATCH($E9,customers!$A$1:$A$1001,0),3)=0,"",INDEX(customers!$A$1:$I$1001,MATCH($E9,customers!$A$1:$A$1001,0),3))</f>
        <v>agladhillng@stanford.edu</v>
      </c>
      <c r="J9" s="2" t="str">
        <f>_xlfn.XLOOKUP(E9,customers!$A$1:$A$1001,customers!$G$1:$G$1001)</f>
        <v>United States</v>
      </c>
      <c r="K9" t="str">
        <f>INDEX(products!$A$1:$G$49,MATCH($F9,products!$A$1:$A$49,0),MATCH(K$1,products!$A$1:$G$1,0))</f>
        <v>Ara</v>
      </c>
      <c r="L9" t="str">
        <f>INDEX(products!$A$1:$G$49,MATCH($F9,products!$A$1:$A$49,0),MATCH(L$1,products!$A$1:$G$1,0))</f>
        <v>D</v>
      </c>
      <c r="M9" s="5">
        <f>INDEX(products!$A$1:$G$49,MATCH($F9,products!$A$1:$A$49,0),MATCH(M$1,products!$A$1:$G$1,0))</f>
        <v>0.5</v>
      </c>
      <c r="N9" s="7">
        <f>INDEX(products!$A$1:$G$49,MATCH($F9,products!$A$1:$A$49,0),MATCH(N$1,products!$A$1:$G$1,0))</f>
        <v>5.97</v>
      </c>
      <c r="O9" s="7">
        <f t="shared" si="0"/>
        <v>35.82</v>
      </c>
      <c r="P9" t="str" cm="1">
        <f t="array" ref="P9">_xlfn.IFS(K9="Rob","Robusta",K9="Exc","Excelsa",K9="Ara","Arabica",K9="Lib","Liberica")</f>
        <v>Arabica</v>
      </c>
      <c r="Q9" t="str" cm="1">
        <f t="array" ref="Q9">_xlfn.IFS(L9="M","Medium",L9="L","Light",L9="D","Dark")</f>
        <v>Dark</v>
      </c>
      <c r="R9" t="str">
        <f>_xlfn.XLOOKUP(Orders[[#This Row],[Customer ID]],customers!$A$1:$A$1001,customers!$I$1:$I$1001)</f>
        <v>Yes</v>
      </c>
    </row>
    <row r="10" spans="1:18" x14ac:dyDescent="0.35">
      <c r="A10" s="2" t="s">
        <v>2871</v>
      </c>
      <c r="B10" s="4">
        <v>44183</v>
      </c>
      <c r="C10" s="23">
        <f>Orders[[#This Row],[Order Date]]</f>
        <v>44183</v>
      </c>
      <c r="D10" s="2">
        <f>YEAR(Orders[[#This Row],[Order Date]])</f>
        <v>2020</v>
      </c>
      <c r="E10" s="2" t="s">
        <v>2872</v>
      </c>
      <c r="F10" t="s">
        <v>6146</v>
      </c>
      <c r="G10" s="20">
        <v>3</v>
      </c>
      <c r="H10" s="2" t="str">
        <f>INDEX(customers!$A$1:$I$1001,MATCH($E10,customers!$A$1:$A$1001,),MATCH($H$1,customers!$A$1:$I$1,0))</f>
        <v>Adelice Isabell</v>
      </c>
      <c r="I10" s="2" t="str">
        <f>IF(INDEX(customers!$A$1:$I$1001,MATCH($E10,customers!$A$1:$A$1001,0),3)=0,"",INDEX(customers!$A$1:$I$1001,MATCH($E10,customers!$A$1:$A$1001,0),3))</f>
        <v/>
      </c>
      <c r="J10" s="2" t="str">
        <f>_xlfn.XLOOKUP(E10,customers!$A$1:$A$1001,customers!$G$1:$G$1001)</f>
        <v>United States</v>
      </c>
      <c r="K10" t="str">
        <f>INDEX(products!$A$1:$G$49,MATCH($F10,products!$A$1:$A$49,0),MATCH(K$1,products!$A$1:$G$1,0))</f>
        <v>Rob</v>
      </c>
      <c r="L10" t="str">
        <f>INDEX(products!$A$1:$G$49,MATCH($F10,products!$A$1:$A$49,0),MATCH(L$1,products!$A$1:$G$1,0))</f>
        <v>M</v>
      </c>
      <c r="M10" s="5">
        <f>INDEX(products!$A$1:$G$49,MATCH($F10,products!$A$1:$A$49,0),MATCH(M$1,products!$A$1:$G$1,0))</f>
        <v>0.5</v>
      </c>
      <c r="N10" s="7">
        <f>INDEX(products!$A$1:$G$49,MATCH($F10,products!$A$1:$A$49,0),MATCH(N$1,products!$A$1:$G$1,0))</f>
        <v>5.97</v>
      </c>
      <c r="O10" s="7">
        <f t="shared" si="0"/>
        <v>17.91</v>
      </c>
      <c r="P10" t="str" cm="1">
        <f t="array" ref="P10">_xlfn.IFS(K10="Rob","Robusta",K10="Exc","Excelsa",K10="Ara","Arabica",K10="Lib","Liberica")</f>
        <v>Robusta</v>
      </c>
      <c r="Q10" t="str" cm="1">
        <f t="array" ref="Q10">_xlfn.IFS(L10="M","Medium",L10="L","Light",L10="D","Dark")</f>
        <v>Medium</v>
      </c>
      <c r="R10" t="str">
        <f>_xlfn.XLOOKUP(Orders[[#This Row],[Customer ID]],customers!$A$1:$A$1001,customers!$I$1:$I$1001)</f>
        <v>No</v>
      </c>
    </row>
    <row r="11" spans="1:18" x14ac:dyDescent="0.35">
      <c r="A11" s="2" t="s">
        <v>1001</v>
      </c>
      <c r="B11" s="4">
        <v>44137</v>
      </c>
      <c r="C11" s="23">
        <f>Orders[[#This Row],[Order Date]]</f>
        <v>44137</v>
      </c>
      <c r="D11" s="2">
        <f>YEAR(Orders[[#This Row],[Order Date]])</f>
        <v>2020</v>
      </c>
      <c r="E11" s="2" t="s">
        <v>1002</v>
      </c>
      <c r="F11" t="s">
        <v>6175</v>
      </c>
      <c r="G11" s="20">
        <v>4</v>
      </c>
      <c r="H11" s="2" t="str">
        <f>INDEX(customers!$A$1:$I$1001,MATCH($E11,customers!$A$1:$A$1001,),MATCH($H$1,customers!$A$1:$I$1,0))</f>
        <v>Adham Greenhead</v>
      </c>
      <c r="I11" s="2" t="str">
        <f>IF(INDEX(customers!$A$1:$I$1001,MATCH($E11,customers!$A$1:$A$1001,0),3)=0,"",INDEX(customers!$A$1:$I$1001,MATCH($E11,customers!$A$1:$A$1001,0),3))</f>
        <v>agreenhead2j@dailymail.co.uk</v>
      </c>
      <c r="J11" s="2" t="str">
        <f>_xlfn.XLOOKUP(E11,customers!$A$1:$A$1001,customers!$G$1:$G$1001)</f>
        <v>United States</v>
      </c>
      <c r="K11" t="str">
        <f>INDEX(products!$A$1:$G$49,MATCH($F11,products!$A$1:$A$49,0),MATCH(K$1,products!$A$1:$G$1,0))</f>
        <v>Ara</v>
      </c>
      <c r="L11" t="str">
        <f>INDEX(products!$A$1:$G$49,MATCH($F11,products!$A$1:$A$49,0),MATCH(L$1,products!$A$1:$G$1,0))</f>
        <v>M</v>
      </c>
      <c r="M11" s="5">
        <f>INDEX(products!$A$1:$G$49,MATCH($F11,products!$A$1:$A$49,0),MATCH(M$1,products!$A$1:$G$1,0))</f>
        <v>2.5</v>
      </c>
      <c r="N11" s="7">
        <f>INDEX(products!$A$1:$G$49,MATCH($F11,products!$A$1:$A$49,0),MATCH(N$1,products!$A$1:$G$1,0))</f>
        <v>25.874999999999996</v>
      </c>
      <c r="O11" s="7">
        <f t="shared" si="0"/>
        <v>103.49999999999999</v>
      </c>
      <c r="P11" t="str" cm="1">
        <f t="array" ref="P11">_xlfn.IFS(K11="Rob","Robusta",K11="Exc","Excelsa",K11="Ara","Arabica",K11="Lib","Liberica")</f>
        <v>Arabica</v>
      </c>
      <c r="Q11" t="str" cm="1">
        <f t="array" ref="Q11">_xlfn.IFS(L11="M","Medium",L11="L","Light",L11="D","Dark")</f>
        <v>Medium</v>
      </c>
      <c r="R11" t="str">
        <f>_xlfn.XLOOKUP(Orders[[#This Row],[Customer ID]],customers!$A$1:$A$1001,customers!$I$1:$I$1001)</f>
        <v>No</v>
      </c>
    </row>
    <row r="12" spans="1:18" x14ac:dyDescent="0.35">
      <c r="A12" s="2" t="s">
        <v>3106</v>
      </c>
      <c r="B12" s="4">
        <v>43730</v>
      </c>
      <c r="C12" s="23">
        <f>Orders[[#This Row],[Order Date]]</f>
        <v>43730</v>
      </c>
      <c r="D12" s="2">
        <f>YEAR(Orders[[#This Row],[Order Date]])</f>
        <v>2019</v>
      </c>
      <c r="E12" s="2" t="s">
        <v>3107</v>
      </c>
      <c r="F12" t="s">
        <v>6141</v>
      </c>
      <c r="G12" s="20">
        <v>2</v>
      </c>
      <c r="H12" s="2" t="str">
        <f>INDEX(customers!$A$1:$I$1001,MATCH($E12,customers!$A$1:$A$1001,),MATCH($H$1,customers!$A$1:$I$1,0))</f>
        <v>Adolphe Treherne</v>
      </c>
      <c r="I12" s="2" t="str">
        <f>IF(INDEX(customers!$A$1:$I$1001,MATCH($E12,customers!$A$1:$A$1001,0),3)=0,"",INDEX(customers!$A$1:$I$1001,MATCH($E12,customers!$A$1:$A$1001,0),3))</f>
        <v>atrehernecv@state.tx.us</v>
      </c>
      <c r="J12" s="2" t="str">
        <f>_xlfn.XLOOKUP(E12,customers!$A$1:$A$1001,customers!$G$1:$G$1001)</f>
        <v>Ireland</v>
      </c>
      <c r="K12" t="str">
        <f>INDEX(products!$A$1:$G$49,MATCH($F12,products!$A$1:$A$49,0),MATCH(K$1,products!$A$1:$G$1,0))</f>
        <v>Exc</v>
      </c>
      <c r="L12" t="str">
        <f>INDEX(products!$A$1:$G$49,MATCH($F12,products!$A$1:$A$49,0),MATCH(L$1,products!$A$1:$G$1,0))</f>
        <v>M</v>
      </c>
      <c r="M12" s="5">
        <f>INDEX(products!$A$1:$G$49,MATCH($F12,products!$A$1:$A$49,0),MATCH(M$1,products!$A$1:$G$1,0))</f>
        <v>1</v>
      </c>
      <c r="N12" s="7">
        <f>INDEX(products!$A$1:$G$49,MATCH($F12,products!$A$1:$A$49,0),MATCH(N$1,products!$A$1:$G$1,0))</f>
        <v>13.75</v>
      </c>
      <c r="O12" s="7">
        <f t="shared" si="0"/>
        <v>27.5</v>
      </c>
      <c r="P12" t="str" cm="1">
        <f t="array" ref="P12">_xlfn.IFS(K12="Rob","Robusta",K12="Exc","Excelsa",K12="Ara","Arabica",K12="Lib","Liberica")</f>
        <v>Excelsa</v>
      </c>
      <c r="Q12" t="str" cm="1">
        <f t="array" ref="Q12">_xlfn.IFS(L12="M","Medium",L12="L","Light",L12="D","Dark")</f>
        <v>Medium</v>
      </c>
      <c r="R12" t="str">
        <f>_xlfn.XLOOKUP(Orders[[#This Row],[Customer ID]],customers!$A$1:$A$1001,customers!$I$1:$I$1001)</f>
        <v>No</v>
      </c>
    </row>
    <row r="13" spans="1:18" x14ac:dyDescent="0.35">
      <c r="A13" s="2" t="s">
        <v>5170</v>
      </c>
      <c r="B13" s="4">
        <v>44505</v>
      </c>
      <c r="C13" s="23">
        <f>Orders[[#This Row],[Order Date]]</f>
        <v>44505</v>
      </c>
      <c r="D13" s="2">
        <f>YEAR(Orders[[#This Row],[Order Date]])</f>
        <v>2021</v>
      </c>
      <c r="E13" s="2" t="s">
        <v>5171</v>
      </c>
      <c r="F13" t="s">
        <v>6168</v>
      </c>
      <c r="G13" s="20">
        <v>6</v>
      </c>
      <c r="H13" s="2" t="str">
        <f>INDEX(customers!$A$1:$I$1001,MATCH($E13,customers!$A$1:$A$1001,),MATCH($H$1,customers!$A$1:$I$1,0))</f>
        <v>Adora Roubert</v>
      </c>
      <c r="I13" s="2" t="str">
        <f>IF(INDEX(customers!$A$1:$I$1001,MATCH($E13,customers!$A$1:$A$1001,0),3)=0,"",INDEX(customers!$A$1:$I$1001,MATCH($E13,customers!$A$1:$A$1001,0),3))</f>
        <v>aroubertn0@tmall.com</v>
      </c>
      <c r="J13" s="2" t="str">
        <f>_xlfn.XLOOKUP(E13,customers!$A$1:$A$1001,customers!$G$1:$G$1001)</f>
        <v>United States</v>
      </c>
      <c r="K13" t="str">
        <f>INDEX(products!$A$1:$G$49,MATCH($F13,products!$A$1:$A$49,0),MATCH(K$1,products!$A$1:$G$1,0))</f>
        <v>Ara</v>
      </c>
      <c r="L13" t="str">
        <f>INDEX(products!$A$1:$G$49,MATCH($F13,products!$A$1:$A$49,0),MATCH(L$1,products!$A$1:$G$1,0))</f>
        <v>D</v>
      </c>
      <c r="M13" s="5">
        <f>INDEX(products!$A$1:$G$49,MATCH($F13,products!$A$1:$A$49,0),MATCH(M$1,products!$A$1:$G$1,0))</f>
        <v>2.5</v>
      </c>
      <c r="N13" s="7">
        <f>INDEX(products!$A$1:$G$49,MATCH($F13,products!$A$1:$A$49,0),MATCH(N$1,products!$A$1:$G$1,0))</f>
        <v>22.884999999999998</v>
      </c>
      <c r="O13" s="7">
        <f t="shared" si="0"/>
        <v>137.31</v>
      </c>
      <c r="P13" t="str" cm="1">
        <f t="array" ref="P13">_xlfn.IFS(K13="Rob","Robusta",K13="Exc","Excelsa",K13="Ara","Arabica",K13="Lib","Liberica")</f>
        <v>Arabica</v>
      </c>
      <c r="Q13" t="str" cm="1">
        <f t="array" ref="Q13">_xlfn.IFS(L13="M","Medium",L13="L","Light",L13="D","Dark")</f>
        <v>Dark</v>
      </c>
      <c r="R13" t="str">
        <f>_xlfn.XLOOKUP(Orders[[#This Row],[Customer ID]],customers!$A$1:$A$1001,customers!$I$1:$I$1001)</f>
        <v>Yes</v>
      </c>
    </row>
    <row r="14" spans="1:18" x14ac:dyDescent="0.35">
      <c r="A14" s="2" t="s">
        <v>4909</v>
      </c>
      <c r="B14" s="4">
        <v>43897</v>
      </c>
      <c r="C14" s="23">
        <f>Orders[[#This Row],[Order Date]]</f>
        <v>43897</v>
      </c>
      <c r="D14" s="2">
        <f>YEAR(Orders[[#This Row],[Order Date]])</f>
        <v>2020</v>
      </c>
      <c r="E14" s="2" t="s">
        <v>4910</v>
      </c>
      <c r="F14" t="s">
        <v>6184</v>
      </c>
      <c r="G14" s="20">
        <v>6</v>
      </c>
      <c r="H14" s="2" t="str">
        <f>INDEX(customers!$A$1:$I$1001,MATCH($E14,customers!$A$1:$A$1001,),MATCH($H$1,customers!$A$1:$I$1,0))</f>
        <v>Adorne Gregoratti</v>
      </c>
      <c r="I14" s="2" t="str">
        <f>IF(INDEX(customers!$A$1:$I$1001,MATCH($E14,customers!$A$1:$A$1001,0),3)=0,"",INDEX(customers!$A$1:$I$1001,MATCH($E14,customers!$A$1:$A$1001,0),3))</f>
        <v>agregorattilq@vistaprint.com</v>
      </c>
      <c r="J14" s="2" t="str">
        <f>_xlfn.XLOOKUP(E14,customers!$A$1:$A$1001,customers!$G$1:$G$1001)</f>
        <v>Ireland</v>
      </c>
      <c r="K14" t="str">
        <f>INDEX(products!$A$1:$G$49,MATCH($F14,products!$A$1:$A$49,0),MATCH(K$1,products!$A$1:$G$1,0))</f>
        <v>Exc</v>
      </c>
      <c r="L14" t="str">
        <f>INDEX(products!$A$1:$G$49,MATCH($F14,products!$A$1:$A$49,0),MATCH(L$1,products!$A$1:$G$1,0))</f>
        <v>L</v>
      </c>
      <c r="M14" s="5">
        <f>INDEX(products!$A$1:$G$49,MATCH($F14,products!$A$1:$A$49,0),MATCH(M$1,products!$A$1:$G$1,0))</f>
        <v>0.2</v>
      </c>
      <c r="N14" s="7">
        <f>INDEX(products!$A$1:$G$49,MATCH($F14,products!$A$1:$A$49,0),MATCH(N$1,products!$A$1:$G$1,0))</f>
        <v>4.4550000000000001</v>
      </c>
      <c r="O14" s="7">
        <f t="shared" si="0"/>
        <v>26.73</v>
      </c>
      <c r="P14" t="str" cm="1">
        <f t="array" ref="P14">_xlfn.IFS(K14="Rob","Robusta",K14="Exc","Excelsa",K14="Ara","Arabica",K14="Lib","Liberica")</f>
        <v>Excelsa</v>
      </c>
      <c r="Q14" t="str" cm="1">
        <f t="array" ref="Q14">_xlfn.IFS(L14="M","Medium",L14="L","Light",L14="D","Dark")</f>
        <v>Light</v>
      </c>
      <c r="R14" t="str">
        <f>_xlfn.XLOOKUP(Orders[[#This Row],[Customer ID]],customers!$A$1:$A$1001,customers!$I$1:$I$1001)</f>
        <v>No</v>
      </c>
    </row>
    <row r="15" spans="1:18" x14ac:dyDescent="0.35">
      <c r="A15" s="2" t="s">
        <v>661</v>
      </c>
      <c r="B15" s="4">
        <v>44464</v>
      </c>
      <c r="C15" s="23">
        <f>Orders[[#This Row],[Order Date]]</f>
        <v>44464</v>
      </c>
      <c r="D15" s="2">
        <f>YEAR(Orders[[#This Row],[Order Date]])</f>
        <v>2021</v>
      </c>
      <c r="E15" s="2" t="s">
        <v>662</v>
      </c>
      <c r="F15" t="s">
        <v>6159</v>
      </c>
      <c r="G15" s="20">
        <v>5</v>
      </c>
      <c r="H15" s="2" t="str">
        <f>INDEX(customers!$A$1:$I$1001,MATCH($E15,customers!$A$1:$A$1001,),MATCH($H$1,customers!$A$1:$I$1,0))</f>
        <v>Adrian Swaine</v>
      </c>
      <c r="I15" s="2" t="str">
        <f>IF(INDEX(customers!$A$1:$I$1001,MATCH($E15,customers!$A$1:$A$1001,0),3)=0,"",INDEX(customers!$A$1:$I$1001,MATCH($E15,customers!$A$1:$A$1001,0),3))</f>
        <v/>
      </c>
      <c r="J15" s="2" t="str">
        <f>_xlfn.XLOOKUP(E15,customers!$A$1:$A$1001,customers!$G$1:$G$1001)</f>
        <v>United States</v>
      </c>
      <c r="K15" t="str">
        <f>INDEX(products!$A$1:$G$49,MATCH($F15,products!$A$1:$A$49,0),MATCH(K$1,products!$A$1:$G$1,0))</f>
        <v>Lib</v>
      </c>
      <c r="L15" t="str">
        <f>INDEX(products!$A$1:$G$49,MATCH($F15,products!$A$1:$A$49,0),MATCH(L$1,products!$A$1:$G$1,0))</f>
        <v>M</v>
      </c>
      <c r="M15" s="5">
        <f>INDEX(products!$A$1:$G$49,MATCH($F15,products!$A$1:$A$49,0),MATCH(M$1,products!$A$1:$G$1,0))</f>
        <v>0.2</v>
      </c>
      <c r="N15" s="7">
        <f>INDEX(products!$A$1:$G$49,MATCH($F15,products!$A$1:$A$49,0),MATCH(N$1,products!$A$1:$G$1,0))</f>
        <v>4.3650000000000002</v>
      </c>
      <c r="O15" s="7">
        <f t="shared" si="0"/>
        <v>21.825000000000003</v>
      </c>
      <c r="P15" t="str" cm="1">
        <f t="array" ref="P15">_xlfn.IFS(K15="Rob","Robusta",K15="Exc","Excelsa",K15="Ara","Arabica",K15="Lib","Liberica")</f>
        <v>Liberica</v>
      </c>
      <c r="Q15" t="str" cm="1">
        <f t="array" ref="Q15">_xlfn.IFS(L15="M","Medium",L15="L","Light",L15="D","Dark")</f>
        <v>Medium</v>
      </c>
      <c r="R15" t="str">
        <f>_xlfn.XLOOKUP(Orders[[#This Row],[Customer ID]],customers!$A$1:$A$1001,customers!$I$1:$I$1001)</f>
        <v>No</v>
      </c>
    </row>
    <row r="16" spans="1:18" x14ac:dyDescent="0.35">
      <c r="A16" s="2" t="s">
        <v>661</v>
      </c>
      <c r="B16" s="4">
        <v>44464</v>
      </c>
      <c r="C16" s="23">
        <f>Orders[[#This Row],[Order Date]]</f>
        <v>44464</v>
      </c>
      <c r="D16" s="2">
        <f>YEAR(Orders[[#This Row],[Order Date]])</f>
        <v>2021</v>
      </c>
      <c r="E16" s="2" t="s">
        <v>662</v>
      </c>
      <c r="F16" t="s">
        <v>6158</v>
      </c>
      <c r="G16" s="20">
        <v>6</v>
      </c>
      <c r="H16" s="2" t="str">
        <f>INDEX(customers!$A$1:$I$1001,MATCH($E16,customers!$A$1:$A$1001,),MATCH($H$1,customers!$A$1:$I$1,0))</f>
        <v>Adrian Swaine</v>
      </c>
      <c r="I16" s="2" t="str">
        <f>IF(INDEX(customers!$A$1:$I$1001,MATCH($E16,customers!$A$1:$A$1001,0),3)=0,"",INDEX(customers!$A$1:$I$1001,MATCH($E16,customers!$A$1:$A$1001,0),3))</f>
        <v/>
      </c>
      <c r="J16" s="2" t="str">
        <f>_xlfn.XLOOKUP(E16,customers!$A$1:$A$1001,customers!$G$1:$G$1001)</f>
        <v>United States</v>
      </c>
      <c r="K16" t="str">
        <f>INDEX(products!$A$1:$G$49,MATCH($F16,products!$A$1:$A$49,0),MATCH(K$1,products!$A$1:$G$1,0))</f>
        <v>Ara</v>
      </c>
      <c r="L16" t="str">
        <f>INDEX(products!$A$1:$G$49,MATCH($F16,products!$A$1:$A$49,0),MATCH(L$1,products!$A$1:$G$1,0))</f>
        <v>D</v>
      </c>
      <c r="M16" s="5">
        <f>INDEX(products!$A$1:$G$49,MATCH($F16,products!$A$1:$A$49,0),MATCH(M$1,products!$A$1:$G$1,0))</f>
        <v>0.5</v>
      </c>
      <c r="N16" s="7">
        <f>INDEX(products!$A$1:$G$49,MATCH($F16,products!$A$1:$A$49,0),MATCH(N$1,products!$A$1:$G$1,0))</f>
        <v>5.97</v>
      </c>
      <c r="O16" s="7">
        <f t="shared" si="0"/>
        <v>35.82</v>
      </c>
      <c r="P16" t="str" cm="1">
        <f t="array" ref="P16">_xlfn.IFS(K16="Rob","Robusta",K16="Exc","Excelsa",K16="Ara","Arabica",K16="Lib","Liberica")</f>
        <v>Arabica</v>
      </c>
      <c r="Q16" t="str" cm="1">
        <f t="array" ref="Q16">_xlfn.IFS(L16="M","Medium",L16="L","Light",L16="D","Dark")</f>
        <v>Dark</v>
      </c>
      <c r="R16" t="str">
        <f>_xlfn.XLOOKUP(Orders[[#This Row],[Customer ID]],customers!$A$1:$A$1001,customers!$I$1:$I$1001)</f>
        <v>No</v>
      </c>
    </row>
    <row r="17" spans="1:18" x14ac:dyDescent="0.35">
      <c r="A17" s="2" t="s">
        <v>661</v>
      </c>
      <c r="B17" s="4">
        <v>44464</v>
      </c>
      <c r="C17" s="23">
        <f>Orders[[#This Row],[Order Date]]</f>
        <v>44464</v>
      </c>
      <c r="D17" s="2">
        <f>YEAR(Orders[[#This Row],[Order Date]])</f>
        <v>2021</v>
      </c>
      <c r="E17" s="2" t="s">
        <v>662</v>
      </c>
      <c r="F17" t="s">
        <v>6160</v>
      </c>
      <c r="G17" s="20">
        <v>6</v>
      </c>
      <c r="H17" s="2" t="str">
        <f>INDEX(customers!$A$1:$I$1001,MATCH($E17,customers!$A$1:$A$1001,),MATCH($H$1,customers!$A$1:$I$1,0))</f>
        <v>Adrian Swaine</v>
      </c>
      <c r="I17" s="2" t="str">
        <f>IF(INDEX(customers!$A$1:$I$1001,MATCH($E17,customers!$A$1:$A$1001,0),3)=0,"",INDEX(customers!$A$1:$I$1001,MATCH($E17,customers!$A$1:$A$1001,0),3))</f>
        <v/>
      </c>
      <c r="J17" s="2" t="str">
        <f>_xlfn.XLOOKUP(E17,customers!$A$1:$A$1001,customers!$G$1:$G$1001)</f>
        <v>United States</v>
      </c>
      <c r="K17" t="str">
        <f>INDEX(products!$A$1:$G$49,MATCH($F17,products!$A$1:$A$49,0),MATCH(K$1,products!$A$1:$G$1,0))</f>
        <v>Lib</v>
      </c>
      <c r="L17" t="str">
        <f>INDEX(products!$A$1:$G$49,MATCH($F17,products!$A$1:$A$49,0),MATCH(L$1,products!$A$1:$G$1,0))</f>
        <v>M</v>
      </c>
      <c r="M17" s="5">
        <f>INDEX(products!$A$1:$G$49,MATCH($F17,products!$A$1:$A$49,0),MATCH(M$1,products!$A$1:$G$1,0))</f>
        <v>0.5</v>
      </c>
      <c r="N17" s="7">
        <f>INDEX(products!$A$1:$G$49,MATCH($F17,products!$A$1:$A$49,0),MATCH(N$1,products!$A$1:$G$1,0))</f>
        <v>8.73</v>
      </c>
      <c r="O17" s="7">
        <f t="shared" si="0"/>
        <v>52.38</v>
      </c>
      <c r="P17" t="str" cm="1">
        <f t="array" ref="P17">_xlfn.IFS(K17="Rob","Robusta",K17="Exc","Excelsa",K17="Ara","Arabica",K17="Lib","Liberica")</f>
        <v>Liberica</v>
      </c>
      <c r="Q17" t="str" cm="1">
        <f t="array" ref="Q17">_xlfn.IFS(L17="M","Medium",L17="L","Light",L17="D","Dark")</f>
        <v>Medium</v>
      </c>
      <c r="R17" t="str">
        <f>_xlfn.XLOOKUP(Orders[[#This Row],[Customer ID]],customers!$A$1:$A$1001,customers!$I$1:$I$1001)</f>
        <v>No</v>
      </c>
    </row>
    <row r="18" spans="1:18" x14ac:dyDescent="0.35">
      <c r="A18" s="2" t="s">
        <v>1621</v>
      </c>
      <c r="B18" s="4">
        <v>44294</v>
      </c>
      <c r="C18" s="23">
        <f>Orders[[#This Row],[Order Date]]</f>
        <v>44294</v>
      </c>
      <c r="D18" s="2">
        <f>YEAR(Orders[[#This Row],[Order Date]])</f>
        <v>2021</v>
      </c>
      <c r="E18" s="2" t="s">
        <v>1622</v>
      </c>
      <c r="F18" t="s">
        <v>6161</v>
      </c>
      <c r="G18" s="20">
        <v>6</v>
      </c>
      <c r="H18" s="2" t="str">
        <f>INDEX(customers!$A$1:$I$1001,MATCH($E18,customers!$A$1:$A$1001,),MATCH($H$1,customers!$A$1:$I$1,0))</f>
        <v>Adriana Lazarus</v>
      </c>
      <c r="I18" s="2" t="str">
        <f>IF(INDEX(customers!$A$1:$I$1001,MATCH($E18,customers!$A$1:$A$1001,0),3)=0,"",INDEX(customers!$A$1:$I$1001,MATCH($E18,customers!$A$1:$A$1001,0),3))</f>
        <v/>
      </c>
      <c r="J18" s="2" t="str">
        <f>_xlfn.XLOOKUP(E18,customers!$A$1:$A$1001,customers!$G$1:$G$1001)</f>
        <v>United States</v>
      </c>
      <c r="K18" t="str">
        <f>INDEX(products!$A$1:$G$49,MATCH($F18,products!$A$1:$A$49,0),MATCH(K$1,products!$A$1:$G$1,0))</f>
        <v>Lib</v>
      </c>
      <c r="L18" t="str">
        <f>INDEX(products!$A$1:$G$49,MATCH($F18,products!$A$1:$A$49,0),MATCH(L$1,products!$A$1:$G$1,0))</f>
        <v>L</v>
      </c>
      <c r="M18" s="5">
        <f>INDEX(products!$A$1:$G$49,MATCH($F18,products!$A$1:$A$49,0),MATCH(M$1,products!$A$1:$G$1,0))</f>
        <v>0.5</v>
      </c>
      <c r="N18" s="7">
        <f>INDEX(products!$A$1:$G$49,MATCH($F18,products!$A$1:$A$49,0),MATCH(N$1,products!$A$1:$G$1,0))</f>
        <v>9.51</v>
      </c>
      <c r="O18" s="7">
        <f t="shared" si="0"/>
        <v>57.06</v>
      </c>
      <c r="P18" t="str" cm="1">
        <f t="array" ref="P18">_xlfn.IFS(K18="Rob","Robusta",K18="Exc","Excelsa",K18="Ara","Arabica",K18="Lib","Liberica")</f>
        <v>Liberica</v>
      </c>
      <c r="Q18" t="str" cm="1">
        <f t="array" ref="Q18">_xlfn.IFS(L18="M","Medium",L18="L","Light",L18="D","Dark")</f>
        <v>Light</v>
      </c>
      <c r="R18" t="str">
        <f>_xlfn.XLOOKUP(Orders[[#This Row],[Customer ID]],customers!$A$1:$A$1001,customers!$I$1:$I$1001)</f>
        <v>No</v>
      </c>
    </row>
    <row r="19" spans="1:18" x14ac:dyDescent="0.35">
      <c r="A19" s="2" t="s">
        <v>4325</v>
      </c>
      <c r="B19" s="4">
        <v>44645</v>
      </c>
      <c r="C19" s="23">
        <f>Orders[[#This Row],[Order Date]]</f>
        <v>44645</v>
      </c>
      <c r="D19" s="2">
        <f>YEAR(Orders[[#This Row],[Order Date]])</f>
        <v>2022</v>
      </c>
      <c r="E19" s="2" t="s">
        <v>4326</v>
      </c>
      <c r="F19" t="s">
        <v>6142</v>
      </c>
      <c r="G19" s="20">
        <v>1</v>
      </c>
      <c r="H19" s="2" t="str">
        <f>INDEX(customers!$A$1:$I$1001,MATCH($E19,customers!$A$1:$A$1001,),MATCH($H$1,customers!$A$1:$I$1,0))</f>
        <v>Adrianne Vairow</v>
      </c>
      <c r="I19" s="2" t="str">
        <f>IF(INDEX(customers!$A$1:$I$1001,MATCH($E19,customers!$A$1:$A$1001,0),3)=0,"",INDEX(customers!$A$1:$I$1001,MATCH($E19,customers!$A$1:$A$1001,0),3))</f>
        <v>avairowiv@studiopress.com</v>
      </c>
      <c r="J19" s="2" t="str">
        <f>_xlfn.XLOOKUP(E19,customers!$A$1:$A$1001,customers!$G$1:$G$1001)</f>
        <v>United Kingdom</v>
      </c>
      <c r="K19" t="str">
        <f>INDEX(products!$A$1:$G$49,MATCH($F19,products!$A$1:$A$49,0),MATCH(K$1,products!$A$1:$G$1,0))</f>
        <v>Rob</v>
      </c>
      <c r="L19" t="str">
        <f>INDEX(products!$A$1:$G$49,MATCH($F19,products!$A$1:$A$49,0),MATCH(L$1,products!$A$1:$G$1,0))</f>
        <v>L</v>
      </c>
      <c r="M19" s="5">
        <f>INDEX(products!$A$1:$G$49,MATCH($F19,products!$A$1:$A$49,0),MATCH(M$1,products!$A$1:$G$1,0))</f>
        <v>2.5</v>
      </c>
      <c r="N19" s="7">
        <f>INDEX(products!$A$1:$G$49,MATCH($F19,products!$A$1:$A$49,0),MATCH(N$1,products!$A$1:$G$1,0))</f>
        <v>27.484999999999996</v>
      </c>
      <c r="O19" s="7">
        <f t="shared" si="0"/>
        <v>27.484999999999996</v>
      </c>
      <c r="P19" t="str" cm="1">
        <f t="array" ref="P19">_xlfn.IFS(K19="Rob","Robusta",K19="Exc","Excelsa",K19="Ara","Arabica",K19="Lib","Liberica")</f>
        <v>Robusta</v>
      </c>
      <c r="Q19" t="str" cm="1">
        <f t="array" ref="Q19">_xlfn.IFS(L19="M","Medium",L19="L","Light",L19="D","Dark")</f>
        <v>Light</v>
      </c>
      <c r="R19" t="str">
        <f>_xlfn.XLOOKUP(Orders[[#This Row],[Customer ID]],customers!$A$1:$A$1001,customers!$I$1:$I$1001)</f>
        <v>No</v>
      </c>
    </row>
    <row r="20" spans="1:18" x14ac:dyDescent="0.35">
      <c r="A20" s="2" t="s">
        <v>3064</v>
      </c>
      <c r="B20" s="4">
        <v>44017</v>
      </c>
      <c r="C20" s="23">
        <f>Orders[[#This Row],[Order Date]]</f>
        <v>44017</v>
      </c>
      <c r="D20" s="2">
        <f>YEAR(Orders[[#This Row],[Order Date]])</f>
        <v>2020</v>
      </c>
      <c r="E20" s="2" t="s">
        <v>3065</v>
      </c>
      <c r="F20" t="s">
        <v>6149</v>
      </c>
      <c r="G20" s="20">
        <v>2</v>
      </c>
      <c r="H20" s="2" t="str">
        <f>INDEX(customers!$A$1:$I$1001,MATCH($E20,customers!$A$1:$A$1001,),MATCH($H$1,customers!$A$1:$I$1,0))</f>
        <v>Agnes Adamides</v>
      </c>
      <c r="I20" s="2" t="str">
        <f>IF(INDEX(customers!$A$1:$I$1001,MATCH($E20,customers!$A$1:$A$1001,0),3)=0,"",INDEX(customers!$A$1:$I$1001,MATCH($E20,customers!$A$1:$A$1001,0),3))</f>
        <v>aadamidesco@bizjournals.com</v>
      </c>
      <c r="J20" s="2" t="str">
        <f>_xlfn.XLOOKUP(E20,customers!$A$1:$A$1001,customers!$G$1:$G$1001)</f>
        <v>United Kingdom</v>
      </c>
      <c r="K20" t="str">
        <f>INDEX(products!$A$1:$G$49,MATCH($F20,products!$A$1:$A$49,0),MATCH(K$1,products!$A$1:$G$1,0))</f>
        <v>Rob</v>
      </c>
      <c r="L20" t="str">
        <f>INDEX(products!$A$1:$G$49,MATCH($F20,products!$A$1:$A$49,0),MATCH(L$1,products!$A$1:$G$1,0))</f>
        <v>D</v>
      </c>
      <c r="M20" s="5">
        <f>INDEX(products!$A$1:$G$49,MATCH($F20,products!$A$1:$A$49,0),MATCH(M$1,products!$A$1:$G$1,0))</f>
        <v>2.5</v>
      </c>
      <c r="N20" s="7">
        <f>INDEX(products!$A$1:$G$49,MATCH($F20,products!$A$1:$A$49,0),MATCH(N$1,products!$A$1:$G$1,0))</f>
        <v>20.584999999999997</v>
      </c>
      <c r="O20" s="7">
        <f t="shared" si="0"/>
        <v>41.169999999999995</v>
      </c>
      <c r="P20" t="str" cm="1">
        <f t="array" ref="P20">_xlfn.IFS(K20="Rob","Robusta",K20="Exc","Excelsa",K20="Ara","Arabica",K20="Lib","Liberica")</f>
        <v>Robusta</v>
      </c>
      <c r="Q20" t="str" cm="1">
        <f t="array" ref="Q20">_xlfn.IFS(L20="M","Medium",L20="L","Light",L20="D","Dark")</f>
        <v>Dark</v>
      </c>
      <c r="R20" t="str">
        <f>_xlfn.XLOOKUP(Orders[[#This Row],[Customer ID]],customers!$A$1:$A$1001,customers!$I$1:$I$1001)</f>
        <v>No</v>
      </c>
    </row>
    <row r="21" spans="1:18" x14ac:dyDescent="0.35">
      <c r="A21" s="2" t="s">
        <v>2256</v>
      </c>
      <c r="B21" s="4">
        <v>44497</v>
      </c>
      <c r="C21" s="23">
        <f>Orders[[#This Row],[Order Date]]</f>
        <v>44497</v>
      </c>
      <c r="D21" s="2">
        <f>YEAR(Orders[[#This Row],[Order Date]])</f>
        <v>2021</v>
      </c>
      <c r="E21" s="2" t="s">
        <v>2257</v>
      </c>
      <c r="F21" t="s">
        <v>6138</v>
      </c>
      <c r="G21" s="20">
        <v>3</v>
      </c>
      <c r="H21" s="2" t="str">
        <f>INDEX(customers!$A$1:$I$1001,MATCH($E21,customers!$A$1:$A$1001,),MATCH($H$1,customers!$A$1:$I$1,0))</f>
        <v>Ailene Nesfield</v>
      </c>
      <c r="I21" s="2" t="str">
        <f>IF(INDEX(customers!$A$1:$I$1001,MATCH($E21,customers!$A$1:$A$1001,0),3)=0,"",INDEX(customers!$A$1:$I$1001,MATCH($E21,customers!$A$1:$A$1001,0),3))</f>
        <v>anesfield8p@people.com.cn</v>
      </c>
      <c r="J21" s="2" t="str">
        <f>_xlfn.XLOOKUP(E21,customers!$A$1:$A$1001,customers!$G$1:$G$1001)</f>
        <v>United Kingdom</v>
      </c>
      <c r="K21" t="str">
        <f>INDEX(products!$A$1:$G$49,MATCH($F21,products!$A$1:$A$49,0),MATCH(K$1,products!$A$1:$G$1,0))</f>
        <v>Rob</v>
      </c>
      <c r="L21" t="str">
        <f>INDEX(products!$A$1:$G$49,MATCH($F21,products!$A$1:$A$49,0),MATCH(L$1,products!$A$1:$G$1,0))</f>
        <v>M</v>
      </c>
      <c r="M21" s="5">
        <f>INDEX(products!$A$1:$G$49,MATCH($F21,products!$A$1:$A$49,0),MATCH(M$1,products!$A$1:$G$1,0))</f>
        <v>1</v>
      </c>
      <c r="N21" s="7">
        <f>INDEX(products!$A$1:$G$49,MATCH($F21,products!$A$1:$A$49,0),MATCH(N$1,products!$A$1:$G$1,0))</f>
        <v>9.9499999999999993</v>
      </c>
      <c r="O21" s="7">
        <f t="shared" si="0"/>
        <v>29.849999999999998</v>
      </c>
      <c r="P21" t="str" cm="1">
        <f t="array" ref="P21">_xlfn.IFS(K21="Rob","Robusta",K21="Exc","Excelsa",K21="Ara","Arabica",K21="Lib","Liberica")</f>
        <v>Robusta</v>
      </c>
      <c r="Q21" t="str" cm="1">
        <f t="array" ref="Q21">_xlfn.IFS(L21="M","Medium",L21="L","Light",L21="D","Dark")</f>
        <v>Medium</v>
      </c>
      <c r="R21" t="str">
        <f>_xlfn.XLOOKUP(Orders[[#This Row],[Customer ID]],customers!$A$1:$A$1001,customers!$I$1:$I$1001)</f>
        <v>Yes</v>
      </c>
    </row>
    <row r="22" spans="1:18" x14ac:dyDescent="0.35">
      <c r="A22" s="2" t="s">
        <v>3141</v>
      </c>
      <c r="B22" s="4">
        <v>44375</v>
      </c>
      <c r="C22" s="23">
        <f>Orders[[#This Row],[Order Date]]</f>
        <v>44375</v>
      </c>
      <c r="D22" s="2">
        <f>YEAR(Orders[[#This Row],[Order Date]])</f>
        <v>2021</v>
      </c>
      <c r="E22" s="2" t="s">
        <v>3194</v>
      </c>
      <c r="F22" t="s">
        <v>6184</v>
      </c>
      <c r="G22" s="20">
        <v>5</v>
      </c>
      <c r="H22" s="2" t="str">
        <f>INDEX(customers!$A$1:$I$1001,MATCH($E22,customers!$A$1:$A$1001,),MATCH($H$1,customers!$A$1:$I$1,0))</f>
        <v>Ailey Brash</v>
      </c>
      <c r="I22" s="2" t="str">
        <f>IF(INDEX(customers!$A$1:$I$1001,MATCH($E22,customers!$A$1:$A$1001,0),3)=0,"",INDEX(customers!$A$1:$I$1001,MATCH($E22,customers!$A$1:$A$1001,0),3))</f>
        <v>abrashda@plala.or.jp</v>
      </c>
      <c r="J22" s="2" t="str">
        <f>_xlfn.XLOOKUP(E22,customers!$A$1:$A$1001,customers!$G$1:$G$1001)</f>
        <v>United States</v>
      </c>
      <c r="K22" t="str">
        <f>INDEX(products!$A$1:$G$49,MATCH($F22,products!$A$1:$A$49,0),MATCH(K$1,products!$A$1:$G$1,0))</f>
        <v>Exc</v>
      </c>
      <c r="L22" t="str">
        <f>INDEX(products!$A$1:$G$49,MATCH($F22,products!$A$1:$A$49,0),MATCH(L$1,products!$A$1:$G$1,0))</f>
        <v>L</v>
      </c>
      <c r="M22" s="5">
        <f>INDEX(products!$A$1:$G$49,MATCH($F22,products!$A$1:$A$49,0),MATCH(M$1,products!$A$1:$G$1,0))</f>
        <v>0.2</v>
      </c>
      <c r="N22" s="7">
        <f>INDEX(products!$A$1:$G$49,MATCH($F22,products!$A$1:$A$49,0),MATCH(N$1,products!$A$1:$G$1,0))</f>
        <v>4.4550000000000001</v>
      </c>
      <c r="O22" s="7">
        <f t="shared" si="0"/>
        <v>22.274999999999999</v>
      </c>
      <c r="P22" t="str" cm="1">
        <f t="array" ref="P22">_xlfn.IFS(K22="Rob","Robusta",K22="Exc","Excelsa",K22="Ara","Arabica",K22="Lib","Liberica")</f>
        <v>Excelsa</v>
      </c>
      <c r="Q22" t="str" cm="1">
        <f t="array" ref="Q22">_xlfn.IFS(L22="M","Medium",L22="L","Light",L22="D","Dark")</f>
        <v>Light</v>
      </c>
      <c r="R22" t="str">
        <f>_xlfn.XLOOKUP(Orders[[#This Row],[Customer ID]],customers!$A$1:$A$1001,customers!$I$1:$I$1001)</f>
        <v>Yes</v>
      </c>
    </row>
    <row r="23" spans="1:18" x14ac:dyDescent="0.35">
      <c r="A23" s="2" t="s">
        <v>3193</v>
      </c>
      <c r="B23" s="4">
        <v>43624</v>
      </c>
      <c r="C23" s="23">
        <f>Orders[[#This Row],[Order Date]]</f>
        <v>43624</v>
      </c>
      <c r="D23" s="2">
        <f>YEAR(Orders[[#This Row],[Order Date]])</f>
        <v>2019</v>
      </c>
      <c r="E23" s="2" t="s">
        <v>3194</v>
      </c>
      <c r="F23" t="s">
        <v>6177</v>
      </c>
      <c r="G23" s="20">
        <v>6</v>
      </c>
      <c r="H23" s="2" t="str">
        <f>INDEX(customers!$A$1:$I$1001,MATCH($E23,customers!$A$1:$A$1001,),MATCH($H$1,customers!$A$1:$I$1,0))</f>
        <v>Ailey Brash</v>
      </c>
      <c r="I23" s="2" t="str">
        <f>IF(INDEX(customers!$A$1:$I$1001,MATCH($E23,customers!$A$1:$A$1001,0),3)=0,"",INDEX(customers!$A$1:$I$1001,MATCH($E23,customers!$A$1:$A$1001,0),3))</f>
        <v>abrashda@plala.or.jp</v>
      </c>
      <c r="J23" s="2" t="str">
        <f>_xlfn.XLOOKUP(E23,customers!$A$1:$A$1001,customers!$G$1:$G$1001)</f>
        <v>United States</v>
      </c>
      <c r="K23" t="str">
        <f>INDEX(products!$A$1:$G$49,MATCH($F23,products!$A$1:$A$49,0),MATCH(K$1,products!$A$1:$G$1,0))</f>
        <v>Rob</v>
      </c>
      <c r="L23" t="str">
        <f>INDEX(products!$A$1:$G$49,MATCH($F23,products!$A$1:$A$49,0),MATCH(L$1,products!$A$1:$G$1,0))</f>
        <v>D</v>
      </c>
      <c r="M23" s="5">
        <f>INDEX(products!$A$1:$G$49,MATCH($F23,products!$A$1:$A$49,0),MATCH(M$1,products!$A$1:$G$1,0))</f>
        <v>1</v>
      </c>
      <c r="N23" s="7">
        <f>INDEX(products!$A$1:$G$49,MATCH($F23,products!$A$1:$A$49,0),MATCH(N$1,products!$A$1:$G$1,0))</f>
        <v>8.9499999999999993</v>
      </c>
      <c r="O23" s="7">
        <f t="shared" si="0"/>
        <v>53.699999999999996</v>
      </c>
      <c r="P23" t="str" cm="1">
        <f t="array" ref="P23">_xlfn.IFS(K23="Rob","Robusta",K23="Exc","Excelsa",K23="Ara","Arabica",K23="Lib","Liberica")</f>
        <v>Robusta</v>
      </c>
      <c r="Q23" t="str" cm="1">
        <f t="array" ref="Q23">_xlfn.IFS(L23="M","Medium",L23="L","Light",L23="D","Dark")</f>
        <v>Dark</v>
      </c>
      <c r="R23" t="str">
        <f>_xlfn.XLOOKUP(Orders[[#This Row],[Customer ID]],customers!$A$1:$A$1001,customers!$I$1:$I$1001)</f>
        <v>Yes</v>
      </c>
    </row>
    <row r="24" spans="1:18" x14ac:dyDescent="0.35">
      <c r="A24" s="2" t="s">
        <v>3193</v>
      </c>
      <c r="B24" s="4">
        <v>43624</v>
      </c>
      <c r="C24" s="23">
        <f>Orders[[#This Row],[Order Date]]</f>
        <v>43624</v>
      </c>
      <c r="D24" s="2">
        <f>YEAR(Orders[[#This Row],[Order Date]])</f>
        <v>2019</v>
      </c>
      <c r="E24" s="2" t="s">
        <v>3194</v>
      </c>
      <c r="F24" t="s">
        <v>6166</v>
      </c>
      <c r="G24" s="20">
        <v>4</v>
      </c>
      <c r="H24" s="2" t="str">
        <f>INDEX(customers!$A$1:$I$1001,MATCH($E24,customers!$A$1:$A$1001,),MATCH($H$1,customers!$A$1:$I$1,0))</f>
        <v>Ailey Brash</v>
      </c>
      <c r="I24" s="2" t="str">
        <f>IF(INDEX(customers!$A$1:$I$1001,MATCH($E24,customers!$A$1:$A$1001,0),3)=0,"",INDEX(customers!$A$1:$I$1001,MATCH($E24,customers!$A$1:$A$1001,0),3))</f>
        <v>abrashda@plala.or.jp</v>
      </c>
      <c r="J24" s="2" t="str">
        <f>_xlfn.XLOOKUP(E24,customers!$A$1:$A$1001,customers!$G$1:$G$1001)</f>
        <v>United States</v>
      </c>
      <c r="K24" t="str">
        <f>INDEX(products!$A$1:$G$49,MATCH($F24,products!$A$1:$A$49,0),MATCH(K$1,products!$A$1:$G$1,0))</f>
        <v>Exc</v>
      </c>
      <c r="L24" t="str">
        <f>INDEX(products!$A$1:$G$49,MATCH($F24,products!$A$1:$A$49,0),MATCH(L$1,products!$A$1:$G$1,0))</f>
        <v>M</v>
      </c>
      <c r="M24" s="5">
        <f>INDEX(products!$A$1:$G$49,MATCH($F24,products!$A$1:$A$49,0),MATCH(M$1,products!$A$1:$G$1,0))</f>
        <v>2.5</v>
      </c>
      <c r="N24" s="7">
        <f>INDEX(products!$A$1:$G$49,MATCH($F24,products!$A$1:$A$49,0),MATCH(N$1,products!$A$1:$G$1,0))</f>
        <v>31.624999999999996</v>
      </c>
      <c r="O24" s="7">
        <f t="shared" si="0"/>
        <v>126.49999999999999</v>
      </c>
      <c r="P24" t="str" cm="1">
        <f t="array" ref="P24">_xlfn.IFS(K24="Rob","Robusta",K24="Exc","Excelsa",K24="Ara","Arabica",K24="Lib","Liberica")</f>
        <v>Excelsa</v>
      </c>
      <c r="Q24" t="str" cm="1">
        <f t="array" ref="Q24">_xlfn.IFS(L24="M","Medium",L24="L","Light",L24="D","Dark")</f>
        <v>Medium</v>
      </c>
      <c r="R24" t="str">
        <f>_xlfn.XLOOKUP(Orders[[#This Row],[Customer ID]],customers!$A$1:$A$1001,customers!$I$1:$I$1001)</f>
        <v>Yes</v>
      </c>
    </row>
    <row r="25" spans="1:18" x14ac:dyDescent="0.35">
      <c r="A25" s="2" t="s">
        <v>3193</v>
      </c>
      <c r="B25" s="4">
        <v>43624</v>
      </c>
      <c r="C25" s="23">
        <f>Orders[[#This Row],[Order Date]]</f>
        <v>43624</v>
      </c>
      <c r="D25" s="2">
        <f>YEAR(Orders[[#This Row],[Order Date]])</f>
        <v>2019</v>
      </c>
      <c r="E25" s="2" t="s">
        <v>3194</v>
      </c>
      <c r="F25" t="s">
        <v>6156</v>
      </c>
      <c r="G25" s="20">
        <v>1</v>
      </c>
      <c r="H25" s="2" t="str">
        <f>INDEX(customers!$A$1:$I$1001,MATCH($E25,customers!$A$1:$A$1001,),MATCH($H$1,customers!$A$1:$I$1,0))</f>
        <v>Ailey Brash</v>
      </c>
      <c r="I25" s="2" t="str">
        <f>IF(INDEX(customers!$A$1:$I$1001,MATCH($E25,customers!$A$1:$A$1001,0),3)=0,"",INDEX(customers!$A$1:$I$1001,MATCH($E25,customers!$A$1:$A$1001,0),3))</f>
        <v>abrashda@plala.or.jp</v>
      </c>
      <c r="J25" s="2" t="str">
        <f>_xlfn.XLOOKUP(E25,customers!$A$1:$A$1001,customers!$G$1:$G$1001)</f>
        <v>United States</v>
      </c>
      <c r="K25" t="str">
        <f>INDEX(products!$A$1:$G$49,MATCH($F25,products!$A$1:$A$49,0),MATCH(K$1,products!$A$1:$G$1,0))</f>
        <v>Exc</v>
      </c>
      <c r="L25" t="str">
        <f>INDEX(products!$A$1:$G$49,MATCH($F25,products!$A$1:$A$49,0),MATCH(L$1,products!$A$1:$G$1,0))</f>
        <v>M</v>
      </c>
      <c r="M25" s="5">
        <f>INDEX(products!$A$1:$G$49,MATCH($F25,products!$A$1:$A$49,0),MATCH(M$1,products!$A$1:$G$1,0))</f>
        <v>0.2</v>
      </c>
      <c r="N25" s="7">
        <f>INDEX(products!$A$1:$G$49,MATCH($F25,products!$A$1:$A$49,0),MATCH(N$1,products!$A$1:$G$1,0))</f>
        <v>4.125</v>
      </c>
      <c r="O25" s="7">
        <f t="shared" si="0"/>
        <v>4.125</v>
      </c>
      <c r="P25" t="str" cm="1">
        <f t="array" ref="P25">_xlfn.IFS(K25="Rob","Robusta",K25="Exc","Excelsa",K25="Ara","Arabica",K25="Lib","Liberica")</f>
        <v>Excelsa</v>
      </c>
      <c r="Q25" t="str" cm="1">
        <f t="array" ref="Q25">_xlfn.IFS(L25="M","Medium",L25="L","Light",L25="D","Dark")</f>
        <v>Medium</v>
      </c>
      <c r="R25" t="str">
        <f>_xlfn.XLOOKUP(Orders[[#This Row],[Customer ID]],customers!$A$1:$A$1001,customers!$I$1:$I$1001)</f>
        <v>Yes</v>
      </c>
    </row>
    <row r="26" spans="1:18" x14ac:dyDescent="0.35">
      <c r="A26" s="2" t="s">
        <v>5067</v>
      </c>
      <c r="B26" s="4">
        <v>44054</v>
      </c>
      <c r="C26" s="23">
        <f>Orders[[#This Row],[Order Date]]</f>
        <v>44054</v>
      </c>
      <c r="D26" s="2">
        <f>YEAR(Orders[[#This Row],[Order Date]])</f>
        <v>2020</v>
      </c>
      <c r="E26" s="2" t="s">
        <v>5068</v>
      </c>
      <c r="F26" t="s">
        <v>6161</v>
      </c>
      <c r="G26" s="20">
        <v>3</v>
      </c>
      <c r="H26" s="2" t="str">
        <f>INDEX(customers!$A$1:$I$1001,MATCH($E26,customers!$A$1:$A$1001,),MATCH($H$1,customers!$A$1:$I$1,0))</f>
        <v>Alberta Balsdone</v>
      </c>
      <c r="I26" s="2" t="str">
        <f>IF(INDEX(customers!$A$1:$I$1001,MATCH($E26,customers!$A$1:$A$1001,0),3)=0,"",INDEX(customers!$A$1:$I$1001,MATCH($E26,customers!$A$1:$A$1001,0),3))</f>
        <v>abalsdonemi@toplist.cz</v>
      </c>
      <c r="J26" s="2" t="str">
        <f>_xlfn.XLOOKUP(E26,customers!$A$1:$A$1001,customers!$G$1:$G$1001)</f>
        <v>United States</v>
      </c>
      <c r="K26" t="str">
        <f>INDEX(products!$A$1:$G$49,MATCH($F26,products!$A$1:$A$49,0),MATCH(K$1,products!$A$1:$G$1,0))</f>
        <v>Lib</v>
      </c>
      <c r="L26" t="str">
        <f>INDEX(products!$A$1:$G$49,MATCH($F26,products!$A$1:$A$49,0),MATCH(L$1,products!$A$1:$G$1,0))</f>
        <v>L</v>
      </c>
      <c r="M26" s="5">
        <f>INDEX(products!$A$1:$G$49,MATCH($F26,products!$A$1:$A$49,0),MATCH(M$1,products!$A$1:$G$1,0))</f>
        <v>0.5</v>
      </c>
      <c r="N26" s="7">
        <f>INDEX(products!$A$1:$G$49,MATCH($F26,products!$A$1:$A$49,0),MATCH(N$1,products!$A$1:$G$1,0))</f>
        <v>9.51</v>
      </c>
      <c r="O26" s="7">
        <f t="shared" si="0"/>
        <v>28.53</v>
      </c>
      <c r="P26" t="str" cm="1">
        <f t="array" ref="P26">_xlfn.IFS(K26="Rob","Robusta",K26="Exc","Excelsa",K26="Ara","Arabica",K26="Lib","Liberica")</f>
        <v>Liberica</v>
      </c>
      <c r="Q26" t="str" cm="1">
        <f t="array" ref="Q26">_xlfn.IFS(L26="M","Medium",L26="L","Light",L26="D","Dark")</f>
        <v>Light</v>
      </c>
      <c r="R26" t="str">
        <f>_xlfn.XLOOKUP(Orders[[#This Row],[Customer ID]],customers!$A$1:$A$1001,customers!$I$1:$I$1001)</f>
        <v>No</v>
      </c>
    </row>
    <row r="27" spans="1:18" x14ac:dyDescent="0.35">
      <c r="A27" s="2" t="s">
        <v>3147</v>
      </c>
      <c r="B27" s="4">
        <v>44656</v>
      </c>
      <c r="C27" s="23">
        <f>Orders[[#This Row],[Order Date]]</f>
        <v>44656</v>
      </c>
      <c r="D27" s="2">
        <f>YEAR(Orders[[#This Row],[Order Date]])</f>
        <v>2022</v>
      </c>
      <c r="E27" s="2" t="s">
        <v>3148</v>
      </c>
      <c r="F27" t="s">
        <v>6157</v>
      </c>
      <c r="G27" s="20">
        <v>1</v>
      </c>
      <c r="H27" s="2" t="str">
        <f>INDEX(customers!$A$1:$I$1001,MATCH($E27,customers!$A$1:$A$1001,),MATCH($H$1,customers!$A$1:$I$1,0))</f>
        <v>Alberto Hutchinson</v>
      </c>
      <c r="I27" s="2" t="str">
        <f>IF(INDEX(customers!$A$1:$I$1001,MATCH($E27,customers!$A$1:$A$1001,0),3)=0,"",INDEX(customers!$A$1:$I$1001,MATCH($E27,customers!$A$1:$A$1001,0),3))</f>
        <v>ahutchinsond2@imgur.com</v>
      </c>
      <c r="J27" s="2" t="str">
        <f>_xlfn.XLOOKUP(E27,customers!$A$1:$A$1001,customers!$G$1:$G$1001)</f>
        <v>United States</v>
      </c>
      <c r="K27" t="str">
        <f>INDEX(products!$A$1:$G$49,MATCH($F27,products!$A$1:$A$49,0),MATCH(K$1,products!$A$1:$G$1,0))</f>
        <v>Ara</v>
      </c>
      <c r="L27" t="str">
        <f>INDEX(products!$A$1:$G$49,MATCH($F27,products!$A$1:$A$49,0),MATCH(L$1,products!$A$1:$G$1,0))</f>
        <v>M</v>
      </c>
      <c r="M27" s="5">
        <f>INDEX(products!$A$1:$G$49,MATCH($F27,products!$A$1:$A$49,0),MATCH(M$1,products!$A$1:$G$1,0))</f>
        <v>0.5</v>
      </c>
      <c r="N27" s="7">
        <f>INDEX(products!$A$1:$G$49,MATCH($F27,products!$A$1:$A$49,0),MATCH(N$1,products!$A$1:$G$1,0))</f>
        <v>6.75</v>
      </c>
      <c r="O27" s="7">
        <f t="shared" si="0"/>
        <v>6.75</v>
      </c>
      <c r="P27" t="str" cm="1">
        <f t="array" ref="P27">_xlfn.IFS(K27="Rob","Robusta",K27="Exc","Excelsa",K27="Ara","Arabica",K27="Lib","Liberica")</f>
        <v>Arabica</v>
      </c>
      <c r="Q27" t="str" cm="1">
        <f t="array" ref="Q27">_xlfn.IFS(L27="M","Medium",L27="L","Light",L27="D","Dark")</f>
        <v>Medium</v>
      </c>
      <c r="R27" t="str">
        <f>_xlfn.XLOOKUP(Orders[[#This Row],[Customer ID]],customers!$A$1:$A$1001,customers!$I$1:$I$1001)</f>
        <v>Yes</v>
      </c>
    </row>
    <row r="28" spans="1:18" x14ac:dyDescent="0.35">
      <c r="A28" s="2" t="s">
        <v>1384</v>
      </c>
      <c r="B28" s="4">
        <v>44316</v>
      </c>
      <c r="C28" s="23">
        <f>Orders[[#This Row],[Order Date]]</f>
        <v>44316</v>
      </c>
      <c r="D28" s="2">
        <f>YEAR(Orders[[#This Row],[Order Date]])</f>
        <v>2021</v>
      </c>
      <c r="E28" s="2" t="s">
        <v>1385</v>
      </c>
      <c r="F28" t="s">
        <v>6164</v>
      </c>
      <c r="G28" s="20">
        <v>6</v>
      </c>
      <c r="H28" s="2" t="str">
        <f>INDEX(customers!$A$1:$I$1001,MATCH($E28,customers!$A$1:$A$1001,),MATCH($H$1,customers!$A$1:$I$1,0))</f>
        <v>Alexa Sizey</v>
      </c>
      <c r="I28" s="2" t="str">
        <f>IF(INDEX(customers!$A$1:$I$1001,MATCH($E28,customers!$A$1:$A$1001,0),3)=0,"",INDEX(customers!$A$1:$I$1001,MATCH($E28,customers!$A$1:$A$1001,0),3))</f>
        <v/>
      </c>
      <c r="J28" s="2" t="str">
        <f>_xlfn.XLOOKUP(E28,customers!$A$1:$A$1001,customers!$G$1:$G$1001)</f>
        <v>United States</v>
      </c>
      <c r="K28" t="str">
        <f>INDEX(products!$A$1:$G$49,MATCH($F28,products!$A$1:$A$49,0),MATCH(K$1,products!$A$1:$G$1,0))</f>
        <v>Lib</v>
      </c>
      <c r="L28" t="str">
        <f>INDEX(products!$A$1:$G$49,MATCH($F28,products!$A$1:$A$49,0),MATCH(L$1,products!$A$1:$G$1,0))</f>
        <v>L</v>
      </c>
      <c r="M28" s="5">
        <f>INDEX(products!$A$1:$G$49,MATCH($F28,products!$A$1:$A$49,0),MATCH(M$1,products!$A$1:$G$1,0))</f>
        <v>2.5</v>
      </c>
      <c r="N28" s="7">
        <f>INDEX(products!$A$1:$G$49,MATCH($F28,products!$A$1:$A$49,0),MATCH(N$1,products!$A$1:$G$1,0))</f>
        <v>36.454999999999998</v>
      </c>
      <c r="O28" s="7">
        <f t="shared" si="0"/>
        <v>218.73</v>
      </c>
      <c r="P28" t="str" cm="1">
        <f t="array" ref="P28">_xlfn.IFS(K28="Rob","Robusta",K28="Exc","Excelsa",K28="Ara","Arabica",K28="Lib","Liberica")</f>
        <v>Liberica</v>
      </c>
      <c r="Q28" t="str" cm="1">
        <f t="array" ref="Q28">_xlfn.IFS(L28="M","Medium",L28="L","Light",L28="D","Dark")</f>
        <v>Light</v>
      </c>
      <c r="R28" t="str">
        <f>_xlfn.XLOOKUP(Orders[[#This Row],[Customer ID]],customers!$A$1:$A$1001,customers!$I$1:$I$1001)</f>
        <v>No</v>
      </c>
    </row>
    <row r="29" spans="1:18" x14ac:dyDescent="0.35">
      <c r="A29" s="2" t="s">
        <v>5402</v>
      </c>
      <c r="B29" s="4">
        <v>43851</v>
      </c>
      <c r="C29" s="23">
        <f>Orders[[#This Row],[Order Date]]</f>
        <v>43851</v>
      </c>
      <c r="D29" s="2">
        <f>YEAR(Orders[[#This Row],[Order Date]])</f>
        <v>2020</v>
      </c>
      <c r="E29" s="2" t="s">
        <v>5403</v>
      </c>
      <c r="F29" t="s">
        <v>6146</v>
      </c>
      <c r="G29" s="20">
        <v>3</v>
      </c>
      <c r="H29" s="2" t="str">
        <f>INDEX(customers!$A$1:$I$1001,MATCH($E29,customers!$A$1:$A$1001,),MATCH($H$1,customers!$A$1:$I$1,0))</f>
        <v>Alexina Randals</v>
      </c>
      <c r="I29" s="2" t="str">
        <f>IF(INDEX(customers!$A$1:$I$1001,MATCH($E29,customers!$A$1:$A$1001,0),3)=0,"",INDEX(customers!$A$1:$I$1001,MATCH($E29,customers!$A$1:$A$1001,0),3))</f>
        <v/>
      </c>
      <c r="J29" s="2" t="str">
        <f>_xlfn.XLOOKUP(E29,customers!$A$1:$A$1001,customers!$G$1:$G$1001)</f>
        <v>United States</v>
      </c>
      <c r="K29" t="str">
        <f>INDEX(products!$A$1:$G$49,MATCH($F29,products!$A$1:$A$49,0),MATCH(K$1,products!$A$1:$G$1,0))</f>
        <v>Rob</v>
      </c>
      <c r="L29" t="str">
        <f>INDEX(products!$A$1:$G$49,MATCH($F29,products!$A$1:$A$49,0),MATCH(L$1,products!$A$1:$G$1,0))</f>
        <v>M</v>
      </c>
      <c r="M29" s="5">
        <f>INDEX(products!$A$1:$G$49,MATCH($F29,products!$A$1:$A$49,0),MATCH(M$1,products!$A$1:$G$1,0))</f>
        <v>0.5</v>
      </c>
      <c r="N29" s="7">
        <f>INDEX(products!$A$1:$G$49,MATCH($F29,products!$A$1:$A$49,0),MATCH(N$1,products!$A$1:$G$1,0))</f>
        <v>5.97</v>
      </c>
      <c r="O29" s="7">
        <f t="shared" si="0"/>
        <v>17.91</v>
      </c>
      <c r="P29" t="str" cm="1">
        <f t="array" ref="P29">_xlfn.IFS(K29="Rob","Robusta",K29="Exc","Excelsa",K29="Ara","Arabica",K29="Lib","Liberica")</f>
        <v>Robusta</v>
      </c>
      <c r="Q29" t="str" cm="1">
        <f t="array" ref="Q29">_xlfn.IFS(L29="M","Medium",L29="L","Light",L29="D","Dark")</f>
        <v>Medium</v>
      </c>
      <c r="R29" t="str">
        <f>_xlfn.XLOOKUP(Orders[[#This Row],[Customer ID]],customers!$A$1:$A$1001,customers!$I$1:$I$1001)</f>
        <v>Yes</v>
      </c>
    </row>
    <row r="30" spans="1:18" x14ac:dyDescent="0.35">
      <c r="A30" s="2" t="s">
        <v>3318</v>
      </c>
      <c r="B30" s="4">
        <v>44025</v>
      </c>
      <c r="C30" s="23">
        <f>Orders[[#This Row],[Order Date]]</f>
        <v>44025</v>
      </c>
      <c r="D30" s="2">
        <f>YEAR(Orders[[#This Row],[Order Date]])</f>
        <v>2020</v>
      </c>
      <c r="E30" s="2" t="s">
        <v>3319</v>
      </c>
      <c r="F30" t="s">
        <v>6179</v>
      </c>
      <c r="G30" s="20">
        <v>4</v>
      </c>
      <c r="H30" s="2" t="str">
        <f>INDEX(customers!$A$1:$I$1001,MATCH($E30,customers!$A$1:$A$1001,),MATCH($H$1,customers!$A$1:$I$1,0))</f>
        <v>Alf Housaman</v>
      </c>
      <c r="I30" s="2" t="str">
        <f>IF(INDEX(customers!$A$1:$I$1001,MATCH($E30,customers!$A$1:$A$1001,0),3)=0,"",INDEX(customers!$A$1:$I$1001,MATCH($E30,customers!$A$1:$A$1001,0),3))</f>
        <v/>
      </c>
      <c r="J30" s="2" t="str">
        <f>_xlfn.XLOOKUP(E30,customers!$A$1:$A$1001,customers!$G$1:$G$1001)</f>
        <v>United States</v>
      </c>
      <c r="K30" t="str">
        <f>INDEX(products!$A$1:$G$49,MATCH($F30,products!$A$1:$A$49,0),MATCH(K$1,products!$A$1:$G$1,0))</f>
        <v>Rob</v>
      </c>
      <c r="L30" t="str">
        <f>INDEX(products!$A$1:$G$49,MATCH($F30,products!$A$1:$A$49,0),MATCH(L$1,products!$A$1:$G$1,0))</f>
        <v>L</v>
      </c>
      <c r="M30" s="5">
        <f>INDEX(products!$A$1:$G$49,MATCH($F30,products!$A$1:$A$49,0),MATCH(M$1,products!$A$1:$G$1,0))</f>
        <v>1</v>
      </c>
      <c r="N30" s="7">
        <f>INDEX(products!$A$1:$G$49,MATCH($F30,products!$A$1:$A$49,0),MATCH(N$1,products!$A$1:$G$1,0))</f>
        <v>11.95</v>
      </c>
      <c r="O30" s="7">
        <f t="shared" si="0"/>
        <v>47.8</v>
      </c>
      <c r="P30" t="str" cm="1">
        <f t="array" ref="P30">_xlfn.IFS(K30="Rob","Robusta",K30="Exc","Excelsa",K30="Ara","Arabica",K30="Lib","Liberica")</f>
        <v>Robusta</v>
      </c>
      <c r="Q30" t="str" cm="1">
        <f t="array" ref="Q30">_xlfn.IFS(L30="M","Medium",L30="L","Light",L30="D","Dark")</f>
        <v>Light</v>
      </c>
      <c r="R30" t="str">
        <f>_xlfn.XLOOKUP(Orders[[#This Row],[Customer ID]],customers!$A$1:$A$1001,customers!$I$1:$I$1001)</f>
        <v>No</v>
      </c>
    </row>
    <row r="31" spans="1:18" x14ac:dyDescent="0.35">
      <c r="A31" s="2" t="s">
        <v>1707</v>
      </c>
      <c r="B31" s="4">
        <v>44470</v>
      </c>
      <c r="C31" s="23">
        <f>Orders[[#This Row],[Order Date]]</f>
        <v>44470</v>
      </c>
      <c r="D31" s="2">
        <f>YEAR(Orders[[#This Row],[Order Date]])</f>
        <v>2021</v>
      </c>
      <c r="E31" s="2" t="s">
        <v>1708</v>
      </c>
      <c r="F31" t="s">
        <v>6162</v>
      </c>
      <c r="G31" s="20">
        <v>4</v>
      </c>
      <c r="H31" s="2" t="str">
        <f>INDEX(customers!$A$1:$I$1001,MATCH($E31,customers!$A$1:$A$1001,),MATCH($H$1,customers!$A$1:$I$1,0))</f>
        <v>Alfy Snowding</v>
      </c>
      <c r="I31" s="2" t="str">
        <f>IF(INDEX(customers!$A$1:$I$1001,MATCH($E31,customers!$A$1:$A$1001,0),3)=0,"",INDEX(customers!$A$1:$I$1001,MATCH($E31,customers!$A$1:$A$1001,0),3))</f>
        <v>asnowding60@comsenz.com</v>
      </c>
      <c r="J31" s="2" t="str">
        <f>_xlfn.XLOOKUP(E31,customers!$A$1:$A$1001,customers!$G$1:$G$1001)</f>
        <v>United States</v>
      </c>
      <c r="K31" t="str">
        <f>INDEX(products!$A$1:$G$49,MATCH($F31,products!$A$1:$A$49,0),MATCH(K$1,products!$A$1:$G$1,0))</f>
        <v>Lib</v>
      </c>
      <c r="L31" t="str">
        <f>INDEX(products!$A$1:$G$49,MATCH($F31,products!$A$1:$A$49,0),MATCH(L$1,products!$A$1:$G$1,0))</f>
        <v>M</v>
      </c>
      <c r="M31" s="5">
        <f>INDEX(products!$A$1:$G$49,MATCH($F31,products!$A$1:$A$49,0),MATCH(M$1,products!$A$1:$G$1,0))</f>
        <v>1</v>
      </c>
      <c r="N31" s="7">
        <f>INDEX(products!$A$1:$G$49,MATCH($F31,products!$A$1:$A$49,0),MATCH(N$1,products!$A$1:$G$1,0))</f>
        <v>14.55</v>
      </c>
      <c r="O31" s="7">
        <f t="shared" si="0"/>
        <v>58.2</v>
      </c>
      <c r="P31" t="str" cm="1">
        <f t="array" ref="P31">_xlfn.IFS(K31="Rob","Robusta",K31="Exc","Excelsa",K31="Ara","Arabica",K31="Lib","Liberica")</f>
        <v>Liberica</v>
      </c>
      <c r="Q31" t="str" cm="1">
        <f t="array" ref="Q31">_xlfn.IFS(L31="M","Medium",L31="L","Light",L31="D","Dark")</f>
        <v>Medium</v>
      </c>
      <c r="R31" t="str">
        <f>_xlfn.XLOOKUP(Orders[[#This Row],[Customer ID]],customers!$A$1:$A$1001,customers!$I$1:$I$1001)</f>
        <v>Yes</v>
      </c>
    </row>
    <row r="32" spans="1:18" x14ac:dyDescent="0.35">
      <c r="A32" s="2" t="s">
        <v>4637</v>
      </c>
      <c r="B32" s="4">
        <v>43697</v>
      </c>
      <c r="C32" s="23">
        <f>Orders[[#This Row],[Order Date]]</f>
        <v>43697</v>
      </c>
      <c r="D32" s="2">
        <f>YEAR(Orders[[#This Row],[Order Date]])</f>
        <v>2019</v>
      </c>
      <c r="E32" s="2" t="s">
        <v>4638</v>
      </c>
      <c r="F32" t="s">
        <v>6163</v>
      </c>
      <c r="G32" s="20">
        <v>5</v>
      </c>
      <c r="H32" s="2" t="str">
        <f>INDEX(customers!$A$1:$I$1001,MATCH($E32,customers!$A$1:$A$1001,),MATCH($H$1,customers!$A$1:$I$1,0))</f>
        <v>Alica Kift</v>
      </c>
      <c r="I32" s="2" t="str">
        <f>IF(INDEX(customers!$A$1:$I$1001,MATCH($E32,customers!$A$1:$A$1001,0),3)=0,"",INDEX(customers!$A$1:$I$1001,MATCH($E32,customers!$A$1:$A$1001,0),3))</f>
        <v/>
      </c>
      <c r="J32" s="2" t="str">
        <f>_xlfn.XLOOKUP(E32,customers!$A$1:$A$1001,customers!$G$1:$G$1001)</f>
        <v>United States</v>
      </c>
      <c r="K32" t="str">
        <f>INDEX(products!$A$1:$G$49,MATCH($F32,products!$A$1:$A$49,0),MATCH(K$1,products!$A$1:$G$1,0))</f>
        <v>Rob</v>
      </c>
      <c r="L32" t="str">
        <f>INDEX(products!$A$1:$G$49,MATCH($F32,products!$A$1:$A$49,0),MATCH(L$1,products!$A$1:$G$1,0))</f>
        <v>D</v>
      </c>
      <c r="M32" s="5">
        <f>INDEX(products!$A$1:$G$49,MATCH($F32,products!$A$1:$A$49,0),MATCH(M$1,products!$A$1:$G$1,0))</f>
        <v>0.2</v>
      </c>
      <c r="N32" s="7">
        <f>INDEX(products!$A$1:$G$49,MATCH($F32,products!$A$1:$A$49,0),MATCH(N$1,products!$A$1:$G$1,0))</f>
        <v>2.6849999999999996</v>
      </c>
      <c r="O32" s="7">
        <f t="shared" si="0"/>
        <v>13.424999999999997</v>
      </c>
      <c r="P32" t="str" cm="1">
        <f t="array" ref="P32">_xlfn.IFS(K32="Rob","Robusta",K32="Exc","Excelsa",K32="Ara","Arabica",K32="Lib","Liberica")</f>
        <v>Robusta</v>
      </c>
      <c r="Q32" t="str" cm="1">
        <f t="array" ref="Q32">_xlfn.IFS(L32="M","Medium",L32="L","Light",L32="D","Dark")</f>
        <v>Dark</v>
      </c>
      <c r="R32" t="str">
        <f>_xlfn.XLOOKUP(Orders[[#This Row],[Customer ID]],customers!$A$1:$A$1001,customers!$I$1:$I$1001)</f>
        <v>No</v>
      </c>
    </row>
    <row r="33" spans="1:18" x14ac:dyDescent="0.35">
      <c r="A33" s="2" t="s">
        <v>902</v>
      </c>
      <c r="B33" s="4">
        <v>44362</v>
      </c>
      <c r="C33" s="23">
        <f>Orders[[#This Row],[Order Date]]</f>
        <v>44362</v>
      </c>
      <c r="D33" s="2">
        <f>YEAR(Orders[[#This Row],[Order Date]])</f>
        <v>2021</v>
      </c>
      <c r="E33" s="2" t="s">
        <v>903</v>
      </c>
      <c r="F33" t="s">
        <v>6159</v>
      </c>
      <c r="G33" s="20">
        <v>5</v>
      </c>
      <c r="H33" s="2" t="str">
        <f>INDEX(customers!$A$1:$I$1001,MATCH($E33,customers!$A$1:$A$1001,),MATCH($H$1,customers!$A$1:$I$1,0))</f>
        <v>Alikee Carryer</v>
      </c>
      <c r="I33" s="2" t="str">
        <f>IF(INDEX(customers!$A$1:$I$1001,MATCH($E33,customers!$A$1:$A$1001,0),3)=0,"",INDEX(customers!$A$1:$I$1001,MATCH($E33,customers!$A$1:$A$1001,0),3))</f>
        <v/>
      </c>
      <c r="J33" s="2" t="str">
        <f>_xlfn.XLOOKUP(E33,customers!$A$1:$A$1001,customers!$G$1:$G$1001)</f>
        <v>United States</v>
      </c>
      <c r="K33" t="str">
        <f>INDEX(products!$A$1:$G$49,MATCH($F33,products!$A$1:$A$49,0),MATCH(K$1,products!$A$1:$G$1,0))</f>
        <v>Lib</v>
      </c>
      <c r="L33" t="str">
        <f>INDEX(products!$A$1:$G$49,MATCH($F33,products!$A$1:$A$49,0),MATCH(L$1,products!$A$1:$G$1,0))</f>
        <v>M</v>
      </c>
      <c r="M33" s="5">
        <f>INDEX(products!$A$1:$G$49,MATCH($F33,products!$A$1:$A$49,0),MATCH(M$1,products!$A$1:$G$1,0))</f>
        <v>0.2</v>
      </c>
      <c r="N33" s="7">
        <f>INDEX(products!$A$1:$G$49,MATCH($F33,products!$A$1:$A$49,0),MATCH(N$1,products!$A$1:$G$1,0))</f>
        <v>4.3650000000000002</v>
      </c>
      <c r="O33" s="7">
        <f t="shared" si="0"/>
        <v>21.825000000000003</v>
      </c>
      <c r="P33" t="str" cm="1">
        <f t="array" ref="P33">_xlfn.IFS(K33="Rob","Robusta",K33="Exc","Excelsa",K33="Ara","Arabica",K33="Lib","Liberica")</f>
        <v>Liberica</v>
      </c>
      <c r="Q33" t="str" cm="1">
        <f t="array" ref="Q33">_xlfn.IFS(L33="M","Medium",L33="L","Light",L33="D","Dark")</f>
        <v>Medium</v>
      </c>
      <c r="R33" t="str">
        <f>_xlfn.XLOOKUP(Orders[[#This Row],[Customer ID]],customers!$A$1:$A$1001,customers!$I$1:$I$1001)</f>
        <v>Yes</v>
      </c>
    </row>
    <row r="34" spans="1:18" x14ac:dyDescent="0.35">
      <c r="A34" s="2" t="s">
        <v>3872</v>
      </c>
      <c r="B34" s="4">
        <v>44321</v>
      </c>
      <c r="C34" s="23">
        <f>Orders[[#This Row],[Order Date]]</f>
        <v>44321</v>
      </c>
      <c r="D34" s="2">
        <f>YEAR(Orders[[#This Row],[Order Date]])</f>
        <v>2021</v>
      </c>
      <c r="E34" s="2" t="s">
        <v>3873</v>
      </c>
      <c r="F34" t="s">
        <v>6154</v>
      </c>
      <c r="G34" s="20">
        <v>4</v>
      </c>
      <c r="H34" s="2" t="str">
        <f>INDEX(customers!$A$1:$I$1001,MATCH($E34,customers!$A$1:$A$1001,),MATCH($H$1,customers!$A$1:$I$1,0))</f>
        <v>Alisha Hulburt</v>
      </c>
      <c r="I34" s="2" t="str">
        <f>IF(INDEX(customers!$A$1:$I$1001,MATCH($E34,customers!$A$1:$A$1001,0),3)=0,"",INDEX(customers!$A$1:$I$1001,MATCH($E34,customers!$A$1:$A$1001,0),3))</f>
        <v>ahulburtgn@fda.gov</v>
      </c>
      <c r="J34" s="2" t="str">
        <f>_xlfn.XLOOKUP(E34,customers!$A$1:$A$1001,customers!$G$1:$G$1001)</f>
        <v>United States</v>
      </c>
      <c r="K34" t="str">
        <f>INDEX(products!$A$1:$G$49,MATCH($F34,products!$A$1:$A$49,0),MATCH(K$1,products!$A$1:$G$1,0))</f>
        <v>Ara</v>
      </c>
      <c r="L34" t="str">
        <f>INDEX(products!$A$1:$G$49,MATCH($F34,products!$A$1:$A$49,0),MATCH(L$1,products!$A$1:$G$1,0))</f>
        <v>D</v>
      </c>
      <c r="M34" s="5">
        <f>INDEX(products!$A$1:$G$49,MATCH($F34,products!$A$1:$A$49,0),MATCH(M$1,products!$A$1:$G$1,0))</f>
        <v>0.2</v>
      </c>
      <c r="N34" s="7">
        <f>INDEX(products!$A$1:$G$49,MATCH($F34,products!$A$1:$A$49,0),MATCH(N$1,products!$A$1:$G$1,0))</f>
        <v>2.9849999999999999</v>
      </c>
      <c r="O34" s="7">
        <f t="shared" si="0"/>
        <v>11.94</v>
      </c>
      <c r="P34" t="str" cm="1">
        <f t="array" ref="P34">_xlfn.IFS(K34="Rob","Robusta",K34="Exc","Excelsa",K34="Ara","Arabica",K34="Lib","Liberica")</f>
        <v>Arabica</v>
      </c>
      <c r="Q34" t="str" cm="1">
        <f t="array" ref="Q34">_xlfn.IFS(L34="M","Medium",L34="L","Light",L34="D","Dark")</f>
        <v>Dark</v>
      </c>
      <c r="R34" t="str">
        <f>_xlfn.XLOOKUP(Orders[[#This Row],[Customer ID]],customers!$A$1:$A$1001,customers!$I$1:$I$1001)</f>
        <v>Yes</v>
      </c>
    </row>
    <row r="35" spans="1:18" x14ac:dyDescent="0.35">
      <c r="A35" s="2" t="s">
        <v>1567</v>
      </c>
      <c r="B35" s="4">
        <v>43567</v>
      </c>
      <c r="C35" s="23">
        <f>Orders[[#This Row],[Order Date]]</f>
        <v>43567</v>
      </c>
      <c r="D35" s="2">
        <f>YEAR(Orders[[#This Row],[Order Date]])</f>
        <v>2019</v>
      </c>
      <c r="E35" s="2" t="s">
        <v>1568</v>
      </c>
      <c r="F35" t="s">
        <v>6150</v>
      </c>
      <c r="G35" s="20">
        <v>5</v>
      </c>
      <c r="H35" s="2" t="str">
        <f>INDEX(customers!$A$1:$I$1001,MATCH($E35,customers!$A$1:$A$1001,),MATCH($H$1,customers!$A$1:$I$1,0))</f>
        <v>Alisun Baudino</v>
      </c>
      <c r="I35" s="2" t="str">
        <f>IF(INDEX(customers!$A$1:$I$1001,MATCH($E35,customers!$A$1:$A$1001,0),3)=0,"",INDEX(customers!$A$1:$I$1001,MATCH($E35,customers!$A$1:$A$1001,0),3))</f>
        <v>abaudino5b@netvibes.com</v>
      </c>
      <c r="J35" s="2" t="str">
        <f>_xlfn.XLOOKUP(E35,customers!$A$1:$A$1001,customers!$G$1:$G$1001)</f>
        <v>United States</v>
      </c>
      <c r="K35" t="str">
        <f>INDEX(products!$A$1:$G$49,MATCH($F35,products!$A$1:$A$49,0),MATCH(K$1,products!$A$1:$G$1,0))</f>
        <v>Lib</v>
      </c>
      <c r="L35" t="str">
        <f>INDEX(products!$A$1:$G$49,MATCH($F35,products!$A$1:$A$49,0),MATCH(L$1,products!$A$1:$G$1,0))</f>
        <v>D</v>
      </c>
      <c r="M35" s="5">
        <f>INDEX(products!$A$1:$G$49,MATCH($F35,products!$A$1:$A$49,0),MATCH(M$1,products!$A$1:$G$1,0))</f>
        <v>0.2</v>
      </c>
      <c r="N35" s="7">
        <f>INDEX(products!$A$1:$G$49,MATCH($F35,products!$A$1:$A$49,0),MATCH(N$1,products!$A$1:$G$1,0))</f>
        <v>3.8849999999999998</v>
      </c>
      <c r="O35" s="7">
        <f t="shared" si="0"/>
        <v>19.424999999999997</v>
      </c>
      <c r="P35" t="str" cm="1">
        <f t="array" ref="P35">_xlfn.IFS(K35="Rob","Robusta",K35="Exc","Excelsa",K35="Ara","Arabica",K35="Lib","Liberica")</f>
        <v>Liberica</v>
      </c>
      <c r="Q35" t="str" cm="1">
        <f t="array" ref="Q35">_xlfn.IFS(L35="M","Medium",L35="L","Light",L35="D","Dark")</f>
        <v>Dark</v>
      </c>
      <c r="R35" t="str">
        <f>_xlfn.XLOOKUP(Orders[[#This Row],[Customer ID]],customers!$A$1:$A$1001,customers!$I$1:$I$1001)</f>
        <v>Yes</v>
      </c>
    </row>
    <row r="36" spans="1:18" x14ac:dyDescent="0.35">
      <c r="A36" s="2" t="s">
        <v>5112</v>
      </c>
      <c r="B36" s="4">
        <v>44761</v>
      </c>
      <c r="C36" s="23">
        <f>Orders[[#This Row],[Order Date]]</f>
        <v>44761</v>
      </c>
      <c r="D36" s="2">
        <f>YEAR(Orders[[#This Row],[Order Date]])</f>
        <v>2022</v>
      </c>
      <c r="E36" s="2" t="s">
        <v>5113</v>
      </c>
      <c r="F36" t="s">
        <v>6170</v>
      </c>
      <c r="G36" s="20">
        <v>5</v>
      </c>
      <c r="H36" s="2" t="str">
        <f>INDEX(customers!$A$1:$I$1001,MATCH($E36,customers!$A$1:$A$1001,),MATCH($H$1,customers!$A$1:$I$1,0))</f>
        <v>Allis Wilmore</v>
      </c>
      <c r="I36" s="2" t="str">
        <f>IF(INDEX(customers!$A$1:$I$1001,MATCH($E36,customers!$A$1:$A$1001,0),3)=0,"",INDEX(customers!$A$1:$I$1001,MATCH($E36,customers!$A$1:$A$1001,0),3))</f>
        <v/>
      </c>
      <c r="J36" s="2" t="str">
        <f>_xlfn.XLOOKUP(E36,customers!$A$1:$A$1001,customers!$G$1:$G$1001)</f>
        <v>United States</v>
      </c>
      <c r="K36" t="str">
        <f>INDEX(products!$A$1:$G$49,MATCH($F36,products!$A$1:$A$49,0),MATCH(K$1,products!$A$1:$G$1,0))</f>
        <v>Lib</v>
      </c>
      <c r="L36" t="str">
        <f>INDEX(products!$A$1:$G$49,MATCH($F36,products!$A$1:$A$49,0),MATCH(L$1,products!$A$1:$G$1,0))</f>
        <v>L</v>
      </c>
      <c r="M36" s="5">
        <f>INDEX(products!$A$1:$G$49,MATCH($F36,products!$A$1:$A$49,0),MATCH(M$1,products!$A$1:$G$1,0))</f>
        <v>1</v>
      </c>
      <c r="N36" s="7">
        <f>INDEX(products!$A$1:$G$49,MATCH($F36,products!$A$1:$A$49,0),MATCH(N$1,products!$A$1:$G$1,0))</f>
        <v>15.85</v>
      </c>
      <c r="O36" s="7">
        <f t="shared" si="0"/>
        <v>79.25</v>
      </c>
      <c r="P36" t="str" cm="1">
        <f t="array" ref="P36">_xlfn.IFS(K36="Rob","Robusta",K36="Exc","Excelsa",K36="Ara","Arabica",K36="Lib","Liberica")</f>
        <v>Liberica</v>
      </c>
      <c r="Q36" t="str" cm="1">
        <f t="array" ref="Q36">_xlfn.IFS(L36="M","Medium",L36="L","Light",L36="D","Dark")</f>
        <v>Light</v>
      </c>
      <c r="R36" t="str">
        <f>_xlfn.XLOOKUP(Orders[[#This Row],[Customer ID]],customers!$A$1:$A$1001,customers!$I$1:$I$1001)</f>
        <v>No</v>
      </c>
    </row>
    <row r="37" spans="1:18" x14ac:dyDescent="0.35">
      <c r="A37" s="2" t="s">
        <v>5056</v>
      </c>
      <c r="B37" s="4">
        <v>43868</v>
      </c>
      <c r="C37" s="23">
        <f>Orders[[#This Row],[Order Date]]</f>
        <v>43868</v>
      </c>
      <c r="D37" s="2">
        <f>YEAR(Orders[[#This Row],[Order Date]])</f>
        <v>2020</v>
      </c>
      <c r="E37" s="2" t="s">
        <v>5113</v>
      </c>
      <c r="F37" t="s">
        <v>6142</v>
      </c>
      <c r="G37" s="20">
        <v>5</v>
      </c>
      <c r="H37" s="2" t="str">
        <f>INDEX(customers!$A$1:$I$1001,MATCH($E37,customers!$A$1:$A$1001,),MATCH($H$1,customers!$A$1:$I$1,0))</f>
        <v>Allis Wilmore</v>
      </c>
      <c r="I37" s="2" t="str">
        <f>IF(INDEX(customers!$A$1:$I$1001,MATCH($E37,customers!$A$1:$A$1001,0),3)=0,"",INDEX(customers!$A$1:$I$1001,MATCH($E37,customers!$A$1:$A$1001,0),3))</f>
        <v/>
      </c>
      <c r="J37" s="2" t="str">
        <f>_xlfn.XLOOKUP(E37,customers!$A$1:$A$1001,customers!$G$1:$G$1001)</f>
        <v>United States</v>
      </c>
      <c r="K37" t="str">
        <f>INDEX(products!$A$1:$G$49,MATCH($F37,products!$A$1:$A$49,0),MATCH(K$1,products!$A$1:$G$1,0))</f>
        <v>Rob</v>
      </c>
      <c r="L37" t="str">
        <f>INDEX(products!$A$1:$G$49,MATCH($F37,products!$A$1:$A$49,0),MATCH(L$1,products!$A$1:$G$1,0))</f>
        <v>L</v>
      </c>
      <c r="M37" s="5">
        <f>INDEX(products!$A$1:$G$49,MATCH($F37,products!$A$1:$A$49,0),MATCH(M$1,products!$A$1:$G$1,0))</f>
        <v>2.5</v>
      </c>
      <c r="N37" s="7">
        <f>INDEX(products!$A$1:$G$49,MATCH($F37,products!$A$1:$A$49,0),MATCH(N$1,products!$A$1:$G$1,0))</f>
        <v>27.484999999999996</v>
      </c>
      <c r="O37" s="7">
        <f t="shared" si="0"/>
        <v>137.42499999999998</v>
      </c>
      <c r="P37" t="str" cm="1">
        <f t="array" ref="P37">_xlfn.IFS(K37="Rob","Robusta",K37="Exc","Excelsa",K37="Ara","Arabica",K37="Lib","Liberica")</f>
        <v>Robusta</v>
      </c>
      <c r="Q37" t="str" cm="1">
        <f t="array" ref="Q37">_xlfn.IFS(L37="M","Medium",L37="L","Light",L37="D","Dark")</f>
        <v>Light</v>
      </c>
      <c r="R37" t="str">
        <f>_xlfn.XLOOKUP(Orders[[#This Row],[Customer ID]],customers!$A$1:$A$1001,customers!$I$1:$I$1001)</f>
        <v>No</v>
      </c>
    </row>
    <row r="38" spans="1:18" x14ac:dyDescent="0.35">
      <c r="A38" s="2" t="s">
        <v>5222</v>
      </c>
      <c r="B38" s="4">
        <v>43715</v>
      </c>
      <c r="C38" s="23">
        <f>Orders[[#This Row],[Order Date]]</f>
        <v>43715</v>
      </c>
      <c r="D38" s="2">
        <f>YEAR(Orders[[#This Row],[Order Date]])</f>
        <v>2019</v>
      </c>
      <c r="E38" s="2" t="s">
        <v>5113</v>
      </c>
      <c r="F38" t="s">
        <v>6181</v>
      </c>
      <c r="G38" s="20">
        <v>3</v>
      </c>
      <c r="H38" s="2" t="str">
        <f>INDEX(customers!$A$1:$I$1001,MATCH($E38,customers!$A$1:$A$1001,),MATCH($H$1,customers!$A$1:$I$1,0))</f>
        <v>Allis Wilmore</v>
      </c>
      <c r="I38" s="2" t="str">
        <f>IF(INDEX(customers!$A$1:$I$1001,MATCH($E38,customers!$A$1:$A$1001,0),3)=0,"",INDEX(customers!$A$1:$I$1001,MATCH($E38,customers!$A$1:$A$1001,0),3))</f>
        <v/>
      </c>
      <c r="J38" s="2" t="str">
        <f>_xlfn.XLOOKUP(E38,customers!$A$1:$A$1001,customers!$G$1:$G$1001)</f>
        <v>United States</v>
      </c>
      <c r="K38" t="str">
        <f>INDEX(products!$A$1:$G$49,MATCH($F38,products!$A$1:$A$49,0),MATCH(K$1,products!$A$1:$G$1,0))</f>
        <v>Lib</v>
      </c>
      <c r="L38" t="str">
        <f>INDEX(products!$A$1:$G$49,MATCH($F38,products!$A$1:$A$49,0),MATCH(L$1,products!$A$1:$G$1,0))</f>
        <v>M</v>
      </c>
      <c r="M38" s="5">
        <f>INDEX(products!$A$1:$G$49,MATCH($F38,products!$A$1:$A$49,0),MATCH(M$1,products!$A$1:$G$1,0))</f>
        <v>2.5</v>
      </c>
      <c r="N38" s="7">
        <f>INDEX(products!$A$1:$G$49,MATCH($F38,products!$A$1:$A$49,0),MATCH(N$1,products!$A$1:$G$1,0))</f>
        <v>33.464999999999996</v>
      </c>
      <c r="O38" s="7">
        <f t="shared" si="0"/>
        <v>100.39499999999998</v>
      </c>
      <c r="P38" t="str" cm="1">
        <f t="array" ref="P38">_xlfn.IFS(K38="Rob","Robusta",K38="Exc","Excelsa",K38="Ara","Arabica",K38="Lib","Liberica")</f>
        <v>Liberica</v>
      </c>
      <c r="Q38" t="str" cm="1">
        <f t="array" ref="Q38">_xlfn.IFS(L38="M","Medium",L38="L","Light",L38="D","Dark")</f>
        <v>Medium</v>
      </c>
      <c r="R38" t="str">
        <f>_xlfn.XLOOKUP(Orders[[#This Row],[Customer ID]],customers!$A$1:$A$1001,customers!$I$1:$I$1001)</f>
        <v>No</v>
      </c>
    </row>
    <row r="39" spans="1:18" x14ac:dyDescent="0.35">
      <c r="A39" s="2" t="s">
        <v>4179</v>
      </c>
      <c r="B39" s="4">
        <v>44375</v>
      </c>
      <c r="C39" s="23">
        <f>Orders[[#This Row],[Order Date]]</f>
        <v>44375</v>
      </c>
      <c r="D39" s="2">
        <f>YEAR(Orders[[#This Row],[Order Date]])</f>
        <v>2021</v>
      </c>
      <c r="E39" s="2" t="s">
        <v>4180</v>
      </c>
      <c r="F39" t="s">
        <v>6175</v>
      </c>
      <c r="G39" s="20">
        <v>4</v>
      </c>
      <c r="H39" s="2" t="str">
        <f>INDEX(customers!$A$1:$I$1001,MATCH($E39,customers!$A$1:$A$1001,),MATCH($H$1,customers!$A$1:$I$1,0))</f>
        <v>Almeria Burgett</v>
      </c>
      <c r="I39" s="2" t="str">
        <f>IF(INDEX(customers!$A$1:$I$1001,MATCH($E39,customers!$A$1:$A$1001,0),3)=0,"",INDEX(customers!$A$1:$I$1001,MATCH($E39,customers!$A$1:$A$1001,0),3))</f>
        <v>aburgetti5@moonfruit.com</v>
      </c>
      <c r="J39" s="2" t="str">
        <f>_xlfn.XLOOKUP(E39,customers!$A$1:$A$1001,customers!$G$1:$G$1001)</f>
        <v>United States</v>
      </c>
      <c r="K39" t="str">
        <f>INDEX(products!$A$1:$G$49,MATCH($F39,products!$A$1:$A$49,0),MATCH(K$1,products!$A$1:$G$1,0))</f>
        <v>Ara</v>
      </c>
      <c r="L39" t="str">
        <f>INDEX(products!$A$1:$G$49,MATCH($F39,products!$A$1:$A$49,0),MATCH(L$1,products!$A$1:$G$1,0))</f>
        <v>M</v>
      </c>
      <c r="M39" s="5">
        <f>INDEX(products!$A$1:$G$49,MATCH($F39,products!$A$1:$A$49,0),MATCH(M$1,products!$A$1:$G$1,0))</f>
        <v>2.5</v>
      </c>
      <c r="N39" s="7">
        <f>INDEX(products!$A$1:$G$49,MATCH($F39,products!$A$1:$A$49,0),MATCH(N$1,products!$A$1:$G$1,0))</f>
        <v>25.874999999999996</v>
      </c>
      <c r="O39" s="7">
        <f t="shared" si="0"/>
        <v>103.49999999999999</v>
      </c>
      <c r="P39" t="str" cm="1">
        <f t="array" ref="P39">_xlfn.IFS(K39="Rob","Robusta",K39="Exc","Excelsa",K39="Ara","Arabica",K39="Lib","Liberica")</f>
        <v>Arabica</v>
      </c>
      <c r="Q39" t="str" cm="1">
        <f t="array" ref="Q39">_xlfn.IFS(L39="M","Medium",L39="L","Light",L39="D","Dark")</f>
        <v>Medium</v>
      </c>
      <c r="R39" t="str">
        <f>_xlfn.XLOOKUP(Orders[[#This Row],[Customer ID]],customers!$A$1:$A$1001,customers!$I$1:$I$1001)</f>
        <v>No</v>
      </c>
    </row>
    <row r="40" spans="1:18" x14ac:dyDescent="0.35">
      <c r="A40" s="2" t="s">
        <v>490</v>
      </c>
      <c r="B40" s="4">
        <v>43713</v>
      </c>
      <c r="C40" s="23">
        <f>Orders[[#This Row],[Order Date]]</f>
        <v>43713</v>
      </c>
      <c r="D40" s="2">
        <f>YEAR(Orders[[#This Row],[Order Date]])</f>
        <v>2019</v>
      </c>
      <c r="E40" s="2" t="s">
        <v>491</v>
      </c>
      <c r="F40" t="s">
        <v>6138</v>
      </c>
      <c r="G40" s="20">
        <v>2</v>
      </c>
      <c r="H40" s="2" t="str">
        <f>INDEX(customers!$A$1:$I$1001,MATCH($E40,customers!$A$1:$A$1001,),MATCH($H$1,customers!$A$1:$I$1,0))</f>
        <v>Aloisia Allner</v>
      </c>
      <c r="I40" s="2" t="str">
        <f>IF(INDEX(customers!$A$1:$I$1001,MATCH($E40,customers!$A$1:$A$1001,0),3)=0,"",INDEX(customers!$A$1:$I$1001,MATCH($E40,customers!$A$1:$A$1001,0),3))</f>
        <v>aallner0@lulu.com</v>
      </c>
      <c r="J40" s="2" t="str">
        <f>_xlfn.XLOOKUP(E40,customers!$A$1:$A$1001,customers!$G$1:$G$1001)</f>
        <v>United States</v>
      </c>
      <c r="K40" t="str">
        <f>INDEX(products!$A$1:$G$49,MATCH($F40,products!$A$1:$A$49,0),MATCH(K$1,products!$A$1:$G$1,0))</f>
        <v>Rob</v>
      </c>
      <c r="L40" t="str">
        <f>INDEX(products!$A$1:$G$49,MATCH($F40,products!$A$1:$A$49,0),MATCH(L$1,products!$A$1:$G$1,0))</f>
        <v>M</v>
      </c>
      <c r="M40" s="5">
        <f>INDEX(products!$A$1:$G$49,MATCH($F40,products!$A$1:$A$49,0),MATCH(M$1,products!$A$1:$G$1,0))</f>
        <v>1</v>
      </c>
      <c r="N40" s="7">
        <f>INDEX(products!$A$1:$G$49,MATCH($F40,products!$A$1:$A$49,0),MATCH(N$1,products!$A$1:$G$1,0))</f>
        <v>9.9499999999999993</v>
      </c>
      <c r="O40" s="7">
        <f t="shared" si="0"/>
        <v>19.899999999999999</v>
      </c>
      <c r="P40" t="str" cm="1">
        <f t="array" ref="P40">_xlfn.IFS(K40="Rob","Robusta",K40="Exc","Excelsa",K40="Ara","Arabica",K40="Lib","Liberica")</f>
        <v>Robusta</v>
      </c>
      <c r="Q40" t="str" cm="1">
        <f t="array" ref="Q40">_xlfn.IFS(L40="M","Medium",L40="L","Light",L40="D","Dark")</f>
        <v>Medium</v>
      </c>
      <c r="R40" t="str">
        <f>_xlfn.XLOOKUP(Orders[[#This Row],[Customer ID]],customers!$A$1:$A$1001,customers!$I$1:$I$1001)</f>
        <v>Yes</v>
      </c>
    </row>
    <row r="41" spans="1:18" x14ac:dyDescent="0.35">
      <c r="A41" s="2" t="s">
        <v>490</v>
      </c>
      <c r="B41" s="4">
        <v>43713</v>
      </c>
      <c r="C41" s="23">
        <f>Orders[[#This Row],[Order Date]]</f>
        <v>43713</v>
      </c>
      <c r="D41" s="2">
        <f>YEAR(Orders[[#This Row],[Order Date]])</f>
        <v>2019</v>
      </c>
      <c r="E41" s="2" t="s">
        <v>491</v>
      </c>
      <c r="F41" t="s">
        <v>6139</v>
      </c>
      <c r="G41" s="20">
        <v>5</v>
      </c>
      <c r="H41" s="2" t="str">
        <f>INDEX(customers!$A$1:$I$1001,MATCH($E41,customers!$A$1:$A$1001,),MATCH($H$1,customers!$A$1:$I$1,0))</f>
        <v>Aloisia Allner</v>
      </c>
      <c r="I41" s="2" t="str">
        <f>IF(INDEX(customers!$A$1:$I$1001,MATCH($E41,customers!$A$1:$A$1001,0),3)=0,"",INDEX(customers!$A$1:$I$1001,MATCH($E41,customers!$A$1:$A$1001,0),3))</f>
        <v>aallner0@lulu.com</v>
      </c>
      <c r="J41" s="2" t="str">
        <f>_xlfn.XLOOKUP(E41,customers!$A$1:$A$1001,customers!$G$1:$G$1001)</f>
        <v>United States</v>
      </c>
      <c r="K41" t="str">
        <f>INDEX(products!$A$1:$G$49,MATCH($F41,products!$A$1:$A$49,0),MATCH(K$1,products!$A$1:$G$1,0))</f>
        <v>Exc</v>
      </c>
      <c r="L41" t="str">
        <f>INDEX(products!$A$1:$G$49,MATCH($F41,products!$A$1:$A$49,0),MATCH(L$1,products!$A$1:$G$1,0))</f>
        <v>M</v>
      </c>
      <c r="M41" s="5">
        <f>INDEX(products!$A$1:$G$49,MATCH($F41,products!$A$1:$A$49,0),MATCH(M$1,products!$A$1:$G$1,0))</f>
        <v>0.5</v>
      </c>
      <c r="N41" s="7">
        <f>INDEX(products!$A$1:$G$49,MATCH($F41,products!$A$1:$A$49,0),MATCH(N$1,products!$A$1:$G$1,0))</f>
        <v>8.25</v>
      </c>
      <c r="O41" s="7">
        <f t="shared" si="0"/>
        <v>41.25</v>
      </c>
      <c r="P41" t="str" cm="1">
        <f t="array" ref="P41">_xlfn.IFS(K41="Rob","Robusta",K41="Exc","Excelsa",K41="Ara","Arabica",K41="Lib","Liberica")</f>
        <v>Excelsa</v>
      </c>
      <c r="Q41" t="str" cm="1">
        <f t="array" ref="Q41">_xlfn.IFS(L41="M","Medium",L41="L","Light",L41="D","Dark")</f>
        <v>Medium</v>
      </c>
      <c r="R41" t="str">
        <f>_xlfn.XLOOKUP(Orders[[#This Row],[Customer ID]],customers!$A$1:$A$1001,customers!$I$1:$I$1001)</f>
        <v>Yes</v>
      </c>
    </row>
    <row r="42" spans="1:18" x14ac:dyDescent="0.35">
      <c r="A42" s="2" t="s">
        <v>4522</v>
      </c>
      <c r="B42" s="4">
        <v>44358</v>
      </c>
      <c r="C42" s="23">
        <f>Orders[[#This Row],[Order Date]]</f>
        <v>44358</v>
      </c>
      <c r="D42" s="2">
        <f>YEAR(Orders[[#This Row],[Order Date]])</f>
        <v>2021</v>
      </c>
      <c r="E42" s="2" t="s">
        <v>4523</v>
      </c>
      <c r="F42" t="s">
        <v>6153</v>
      </c>
      <c r="G42" s="20">
        <v>4</v>
      </c>
      <c r="H42" s="2" t="str">
        <f>INDEX(customers!$A$1:$I$1001,MATCH($E42,customers!$A$1:$A$1001,),MATCH($H$1,customers!$A$1:$I$1,0))</f>
        <v>Alon Pllu</v>
      </c>
      <c r="I42" s="2" t="str">
        <f>IF(INDEX(customers!$A$1:$I$1001,MATCH($E42,customers!$A$1:$A$1001,0),3)=0,"",INDEX(customers!$A$1:$I$1001,MATCH($E42,customers!$A$1:$A$1001,0),3))</f>
        <v>aplluju@dagondesign.com</v>
      </c>
      <c r="J42" s="2" t="str">
        <f>_xlfn.XLOOKUP(E42,customers!$A$1:$A$1001,customers!$G$1:$G$1001)</f>
        <v>Ireland</v>
      </c>
      <c r="K42" t="str">
        <f>INDEX(products!$A$1:$G$49,MATCH($F42,products!$A$1:$A$49,0),MATCH(K$1,products!$A$1:$G$1,0))</f>
        <v>Exc</v>
      </c>
      <c r="L42" t="str">
        <f>INDEX(products!$A$1:$G$49,MATCH($F42,products!$A$1:$A$49,0),MATCH(L$1,products!$A$1:$G$1,0))</f>
        <v>D</v>
      </c>
      <c r="M42" s="5">
        <f>INDEX(products!$A$1:$G$49,MATCH($F42,products!$A$1:$A$49,0),MATCH(M$1,products!$A$1:$G$1,0))</f>
        <v>0.2</v>
      </c>
      <c r="N42" s="7">
        <f>INDEX(products!$A$1:$G$49,MATCH($F42,products!$A$1:$A$49,0),MATCH(N$1,products!$A$1:$G$1,0))</f>
        <v>3.645</v>
      </c>
      <c r="O42" s="7">
        <f t="shared" si="0"/>
        <v>14.58</v>
      </c>
      <c r="P42" t="str" cm="1">
        <f t="array" ref="P42">_xlfn.IFS(K42="Rob","Robusta",K42="Exc","Excelsa",K42="Ara","Arabica",K42="Lib","Liberica")</f>
        <v>Excelsa</v>
      </c>
      <c r="Q42" t="str" cm="1">
        <f t="array" ref="Q42">_xlfn.IFS(L42="M","Medium",L42="L","Light",L42="D","Dark")</f>
        <v>Dark</v>
      </c>
      <c r="R42" t="str">
        <f>_xlfn.XLOOKUP(Orders[[#This Row],[Customer ID]],customers!$A$1:$A$1001,customers!$I$1:$I$1001)</f>
        <v>Yes</v>
      </c>
    </row>
    <row r="43" spans="1:18" x14ac:dyDescent="0.35">
      <c r="A43" s="2" t="s">
        <v>2882</v>
      </c>
      <c r="B43" s="4">
        <v>44428</v>
      </c>
      <c r="C43" s="23">
        <f>Orders[[#This Row],[Order Date]]</f>
        <v>44428</v>
      </c>
      <c r="D43" s="2">
        <f>YEAR(Orders[[#This Row],[Order Date]])</f>
        <v>2021</v>
      </c>
      <c r="E43" s="2" t="s">
        <v>2883</v>
      </c>
      <c r="F43" t="s">
        <v>6177</v>
      </c>
      <c r="G43" s="20">
        <v>2</v>
      </c>
      <c r="H43" s="2" t="str">
        <f>INDEX(customers!$A$1:$I$1001,MATCH($E43,customers!$A$1:$A$1001,),MATCH($H$1,customers!$A$1:$I$1,0))</f>
        <v>Alric Darth</v>
      </c>
      <c r="I43" s="2" t="str">
        <f>IF(INDEX(customers!$A$1:$I$1001,MATCH($E43,customers!$A$1:$A$1001,0),3)=0,"",INDEX(customers!$A$1:$I$1001,MATCH($E43,customers!$A$1:$A$1001,0),3))</f>
        <v>adarthbt@t.co</v>
      </c>
      <c r="J43" s="2" t="str">
        <f>_xlfn.XLOOKUP(E43,customers!$A$1:$A$1001,customers!$G$1:$G$1001)</f>
        <v>United States</v>
      </c>
      <c r="K43" t="str">
        <f>INDEX(products!$A$1:$G$49,MATCH($F43,products!$A$1:$A$49,0),MATCH(K$1,products!$A$1:$G$1,0))</f>
        <v>Rob</v>
      </c>
      <c r="L43" t="str">
        <f>INDEX(products!$A$1:$G$49,MATCH($F43,products!$A$1:$A$49,0),MATCH(L$1,products!$A$1:$G$1,0))</f>
        <v>D</v>
      </c>
      <c r="M43" s="5">
        <f>INDEX(products!$A$1:$G$49,MATCH($F43,products!$A$1:$A$49,0),MATCH(M$1,products!$A$1:$G$1,0))</f>
        <v>1</v>
      </c>
      <c r="N43" s="7">
        <f>INDEX(products!$A$1:$G$49,MATCH($F43,products!$A$1:$A$49,0),MATCH(N$1,products!$A$1:$G$1,0))</f>
        <v>8.9499999999999993</v>
      </c>
      <c r="O43" s="7">
        <f t="shared" si="0"/>
        <v>17.899999999999999</v>
      </c>
      <c r="P43" t="str" cm="1">
        <f t="array" ref="P43">_xlfn.IFS(K43="Rob","Robusta",K43="Exc","Excelsa",K43="Ara","Arabica",K43="Lib","Liberica")</f>
        <v>Robusta</v>
      </c>
      <c r="Q43" t="str" cm="1">
        <f t="array" ref="Q43">_xlfn.IFS(L43="M","Medium",L43="L","Light",L43="D","Dark")</f>
        <v>Dark</v>
      </c>
      <c r="R43" t="str">
        <f>_xlfn.XLOOKUP(Orders[[#This Row],[Customer ID]],customers!$A$1:$A$1001,customers!$I$1:$I$1001)</f>
        <v>No</v>
      </c>
    </row>
    <row r="44" spans="1:18" x14ac:dyDescent="0.35">
      <c r="A44" s="2" t="s">
        <v>4858</v>
      </c>
      <c r="B44" s="4">
        <v>44488</v>
      </c>
      <c r="C44" s="23">
        <f>Orders[[#This Row],[Order Date]]</f>
        <v>44488</v>
      </c>
      <c r="D44" s="2">
        <f>YEAR(Orders[[#This Row],[Order Date]])</f>
        <v>2021</v>
      </c>
      <c r="E44" s="2" t="s">
        <v>4859</v>
      </c>
      <c r="F44" t="s">
        <v>6159</v>
      </c>
      <c r="G44" s="20">
        <v>2</v>
      </c>
      <c r="H44" s="2" t="str">
        <f>INDEX(customers!$A$1:$I$1001,MATCH($E44,customers!$A$1:$A$1001,),MATCH($H$1,customers!$A$1:$I$1,0))</f>
        <v>Alva Filipczak</v>
      </c>
      <c r="I44" s="2" t="str">
        <f>IF(INDEX(customers!$A$1:$I$1001,MATCH($E44,customers!$A$1:$A$1001,0),3)=0,"",INDEX(customers!$A$1:$I$1001,MATCH($E44,customers!$A$1:$A$1001,0),3))</f>
        <v>afilipczaklh@ning.com</v>
      </c>
      <c r="J44" s="2" t="str">
        <f>_xlfn.XLOOKUP(E44,customers!$A$1:$A$1001,customers!$G$1:$G$1001)</f>
        <v>Ireland</v>
      </c>
      <c r="K44" t="str">
        <f>INDEX(products!$A$1:$G$49,MATCH($F44,products!$A$1:$A$49,0),MATCH(K$1,products!$A$1:$G$1,0))</f>
        <v>Lib</v>
      </c>
      <c r="L44" t="str">
        <f>INDEX(products!$A$1:$G$49,MATCH($F44,products!$A$1:$A$49,0),MATCH(L$1,products!$A$1:$G$1,0))</f>
        <v>M</v>
      </c>
      <c r="M44" s="5">
        <f>INDEX(products!$A$1:$G$49,MATCH($F44,products!$A$1:$A$49,0),MATCH(M$1,products!$A$1:$G$1,0))</f>
        <v>0.2</v>
      </c>
      <c r="N44" s="7">
        <f>INDEX(products!$A$1:$G$49,MATCH($F44,products!$A$1:$A$49,0),MATCH(N$1,products!$A$1:$G$1,0))</f>
        <v>4.3650000000000002</v>
      </c>
      <c r="O44" s="7">
        <f t="shared" si="0"/>
        <v>8.73</v>
      </c>
      <c r="P44" t="str" cm="1">
        <f t="array" ref="P44">_xlfn.IFS(K44="Rob","Robusta",K44="Exc","Excelsa",K44="Ara","Arabica",K44="Lib","Liberica")</f>
        <v>Liberica</v>
      </c>
      <c r="Q44" t="str" cm="1">
        <f t="array" ref="Q44">_xlfn.IFS(L44="M","Medium",L44="L","Light",L44="D","Dark")</f>
        <v>Medium</v>
      </c>
      <c r="R44" t="str">
        <f>_xlfn.XLOOKUP(Orders[[#This Row],[Customer ID]],customers!$A$1:$A$1001,customers!$I$1:$I$1001)</f>
        <v>No</v>
      </c>
    </row>
    <row r="45" spans="1:18" x14ac:dyDescent="0.35">
      <c r="A45" s="2" t="s">
        <v>3082</v>
      </c>
      <c r="B45" s="4">
        <v>43840</v>
      </c>
      <c r="C45" s="23">
        <f>Orders[[#This Row],[Order Date]]</f>
        <v>43840</v>
      </c>
      <c r="D45" s="2">
        <f>YEAR(Orders[[#This Row],[Order Date]])</f>
        <v>2020</v>
      </c>
      <c r="E45" s="2" t="s">
        <v>3083</v>
      </c>
      <c r="F45" t="s">
        <v>6145</v>
      </c>
      <c r="G45" s="20">
        <v>5</v>
      </c>
      <c r="H45" s="2" t="str">
        <f>INDEX(customers!$A$1:$I$1001,MATCH($E45,customers!$A$1:$A$1001,),MATCH($H$1,customers!$A$1:$I$1,0))</f>
        <v>Alvis Elwin</v>
      </c>
      <c r="I45" s="2" t="str">
        <f>IF(INDEX(customers!$A$1:$I$1001,MATCH($E45,customers!$A$1:$A$1001,0),3)=0,"",INDEX(customers!$A$1:$I$1001,MATCH($E45,customers!$A$1:$A$1001,0),3))</f>
        <v>aelwincr@privacy.gov.au</v>
      </c>
      <c r="J45" s="2" t="str">
        <f>_xlfn.XLOOKUP(E45,customers!$A$1:$A$1001,customers!$G$1:$G$1001)</f>
        <v>United States</v>
      </c>
      <c r="K45" t="str">
        <f>INDEX(products!$A$1:$G$49,MATCH($F45,products!$A$1:$A$49,0),MATCH(K$1,products!$A$1:$G$1,0))</f>
        <v>Lib</v>
      </c>
      <c r="L45" t="str">
        <f>INDEX(products!$A$1:$G$49,MATCH($F45,products!$A$1:$A$49,0),MATCH(L$1,products!$A$1:$G$1,0))</f>
        <v>L</v>
      </c>
      <c r="M45" s="5">
        <f>INDEX(products!$A$1:$G$49,MATCH($F45,products!$A$1:$A$49,0),MATCH(M$1,products!$A$1:$G$1,0))</f>
        <v>0.2</v>
      </c>
      <c r="N45" s="7">
        <f>INDEX(products!$A$1:$G$49,MATCH($F45,products!$A$1:$A$49,0),MATCH(N$1,products!$A$1:$G$1,0))</f>
        <v>4.7549999999999999</v>
      </c>
      <c r="O45" s="7">
        <f t="shared" si="0"/>
        <v>23.774999999999999</v>
      </c>
      <c r="P45" t="str" cm="1">
        <f t="array" ref="P45">_xlfn.IFS(K45="Rob","Robusta",K45="Exc","Excelsa",K45="Ara","Arabica",K45="Lib","Liberica")</f>
        <v>Liberica</v>
      </c>
      <c r="Q45" t="str" cm="1">
        <f t="array" ref="Q45">_xlfn.IFS(L45="M","Medium",L45="L","Light",L45="D","Dark")</f>
        <v>Light</v>
      </c>
      <c r="R45" t="str">
        <f>_xlfn.XLOOKUP(Orders[[#This Row],[Customer ID]],customers!$A$1:$A$1001,customers!$I$1:$I$1001)</f>
        <v>No</v>
      </c>
    </row>
    <row r="46" spans="1:18" x14ac:dyDescent="0.35">
      <c r="A46" s="2" t="s">
        <v>4399</v>
      </c>
      <c r="B46" s="4">
        <v>43720</v>
      </c>
      <c r="C46" s="23">
        <f>Orders[[#This Row],[Order Date]]</f>
        <v>43720</v>
      </c>
      <c r="D46" s="2">
        <f>YEAR(Orders[[#This Row],[Order Date]])</f>
        <v>2019</v>
      </c>
      <c r="E46" s="2" t="s">
        <v>4400</v>
      </c>
      <c r="F46" t="s">
        <v>6143</v>
      </c>
      <c r="G46" s="20">
        <v>1</v>
      </c>
      <c r="H46" s="2" t="str">
        <f>INDEX(customers!$A$1:$I$1001,MATCH($E46,customers!$A$1:$A$1001,),MATCH($H$1,customers!$A$1:$I$1,0))</f>
        <v>Ambrosio Weinmann</v>
      </c>
      <c r="I46" s="2" t="str">
        <f>IF(INDEX(customers!$A$1:$I$1001,MATCH($E46,customers!$A$1:$A$1001,0),3)=0,"",INDEX(customers!$A$1:$I$1001,MATCH($E46,customers!$A$1:$A$1001,0),3))</f>
        <v>aweinmannj8@shinystat.com</v>
      </c>
      <c r="J46" s="2" t="str">
        <f>_xlfn.XLOOKUP(E46,customers!$A$1:$A$1001,customers!$G$1:$G$1001)</f>
        <v>United States</v>
      </c>
      <c r="K46" t="str">
        <f>INDEX(products!$A$1:$G$49,MATCH($F46,products!$A$1:$A$49,0),MATCH(K$1,products!$A$1:$G$1,0))</f>
        <v>Lib</v>
      </c>
      <c r="L46" t="str">
        <f>INDEX(products!$A$1:$G$49,MATCH($F46,products!$A$1:$A$49,0),MATCH(L$1,products!$A$1:$G$1,0))</f>
        <v>D</v>
      </c>
      <c r="M46" s="5">
        <f>INDEX(products!$A$1:$G$49,MATCH($F46,products!$A$1:$A$49,0),MATCH(M$1,products!$A$1:$G$1,0))</f>
        <v>1</v>
      </c>
      <c r="N46" s="7">
        <f>INDEX(products!$A$1:$G$49,MATCH($F46,products!$A$1:$A$49,0),MATCH(N$1,products!$A$1:$G$1,0))</f>
        <v>12.95</v>
      </c>
      <c r="O46" s="7">
        <f t="shared" si="0"/>
        <v>12.95</v>
      </c>
      <c r="P46" t="str" cm="1">
        <f t="array" ref="P46">_xlfn.IFS(K46="Rob","Robusta",K46="Exc","Excelsa",K46="Ara","Arabica",K46="Lib","Liberica")</f>
        <v>Liberica</v>
      </c>
      <c r="Q46" t="str" cm="1">
        <f t="array" ref="Q46">_xlfn.IFS(L46="M","Medium",L46="L","Light",L46="D","Dark")</f>
        <v>Dark</v>
      </c>
      <c r="R46" t="str">
        <f>_xlfn.XLOOKUP(Orders[[#This Row],[Customer ID]],customers!$A$1:$A$1001,customers!$I$1:$I$1001)</f>
        <v>No</v>
      </c>
    </row>
    <row r="47" spans="1:18" x14ac:dyDescent="0.35">
      <c r="A47" s="2" t="s">
        <v>2434</v>
      </c>
      <c r="B47" s="4">
        <v>43849</v>
      </c>
      <c r="C47" s="23">
        <f>Orders[[#This Row],[Order Date]]</f>
        <v>43849</v>
      </c>
      <c r="D47" s="2">
        <f>YEAR(Orders[[#This Row],[Order Date]])</f>
        <v>2020</v>
      </c>
      <c r="E47" s="2" t="s">
        <v>2435</v>
      </c>
      <c r="F47" t="s">
        <v>6179</v>
      </c>
      <c r="G47" s="20">
        <v>5</v>
      </c>
      <c r="H47" s="2" t="str">
        <f>INDEX(customers!$A$1:$I$1001,MATCH($E47,customers!$A$1:$A$1001,),MATCH($H$1,customers!$A$1:$I$1,0))</f>
        <v>Ameline Snazle</v>
      </c>
      <c r="I47" s="2" t="str">
        <f>IF(INDEX(customers!$A$1:$I$1001,MATCH($E47,customers!$A$1:$A$1001,0),3)=0,"",INDEX(customers!$A$1:$I$1001,MATCH($E47,customers!$A$1:$A$1001,0),3))</f>
        <v>asnazle9l@oracle.com</v>
      </c>
      <c r="J47" s="2" t="str">
        <f>_xlfn.XLOOKUP(E47,customers!$A$1:$A$1001,customers!$G$1:$G$1001)</f>
        <v>United States</v>
      </c>
      <c r="K47" t="str">
        <f>INDEX(products!$A$1:$G$49,MATCH($F47,products!$A$1:$A$49,0),MATCH(K$1,products!$A$1:$G$1,0))</f>
        <v>Rob</v>
      </c>
      <c r="L47" t="str">
        <f>INDEX(products!$A$1:$G$49,MATCH($F47,products!$A$1:$A$49,0),MATCH(L$1,products!$A$1:$G$1,0))</f>
        <v>L</v>
      </c>
      <c r="M47" s="5">
        <f>INDEX(products!$A$1:$G$49,MATCH($F47,products!$A$1:$A$49,0),MATCH(M$1,products!$A$1:$G$1,0))</f>
        <v>1</v>
      </c>
      <c r="N47" s="7">
        <f>INDEX(products!$A$1:$G$49,MATCH($F47,products!$A$1:$A$49,0),MATCH(N$1,products!$A$1:$G$1,0))</f>
        <v>11.95</v>
      </c>
      <c r="O47" s="7">
        <f t="shared" si="0"/>
        <v>59.75</v>
      </c>
      <c r="P47" t="str" cm="1">
        <f t="array" ref="P47">_xlfn.IFS(K47="Rob","Robusta",K47="Exc","Excelsa",K47="Ara","Arabica",K47="Lib","Liberica")</f>
        <v>Robusta</v>
      </c>
      <c r="Q47" t="str" cm="1">
        <f t="array" ref="Q47">_xlfn.IFS(L47="M","Medium",L47="L","Light",L47="D","Dark")</f>
        <v>Light</v>
      </c>
      <c r="R47" t="str">
        <f>_xlfn.XLOOKUP(Orders[[#This Row],[Customer ID]],customers!$A$1:$A$1001,customers!$I$1:$I$1001)</f>
        <v>No</v>
      </c>
    </row>
    <row r="48" spans="1:18" x14ac:dyDescent="0.35">
      <c r="A48" s="2" t="s">
        <v>942</v>
      </c>
      <c r="B48" s="4">
        <v>43572</v>
      </c>
      <c r="C48" s="23">
        <f>Orders[[#This Row],[Order Date]]</f>
        <v>43572</v>
      </c>
      <c r="D48" s="2">
        <f>YEAR(Orders[[#This Row],[Order Date]])</f>
        <v>2019</v>
      </c>
      <c r="E48" s="2" t="s">
        <v>943</v>
      </c>
      <c r="F48" t="s">
        <v>6180</v>
      </c>
      <c r="G48" s="20">
        <v>5</v>
      </c>
      <c r="H48" s="2" t="str">
        <f>INDEX(customers!$A$1:$I$1001,MATCH($E48,customers!$A$1:$A$1001,),MATCH($H$1,customers!$A$1:$I$1,0))</f>
        <v>Ami Arnow</v>
      </c>
      <c r="I48" s="2" t="str">
        <f>IF(INDEX(customers!$A$1:$I$1001,MATCH($E48,customers!$A$1:$A$1001,0),3)=0,"",INDEX(customers!$A$1:$I$1001,MATCH($E48,customers!$A$1:$A$1001,0),3))</f>
        <v>aarnow28@arizona.edu</v>
      </c>
      <c r="J48" s="2" t="str">
        <f>_xlfn.XLOOKUP(E48,customers!$A$1:$A$1001,customers!$G$1:$G$1001)</f>
        <v>United States</v>
      </c>
      <c r="K48" t="str">
        <f>INDEX(products!$A$1:$G$49,MATCH($F48,products!$A$1:$A$49,0),MATCH(K$1,products!$A$1:$G$1,0))</f>
        <v>Ara</v>
      </c>
      <c r="L48" t="str">
        <f>INDEX(products!$A$1:$G$49,MATCH($F48,products!$A$1:$A$49,0),MATCH(L$1,products!$A$1:$G$1,0))</f>
        <v>L</v>
      </c>
      <c r="M48" s="5">
        <f>INDEX(products!$A$1:$G$49,MATCH($F48,products!$A$1:$A$49,0),MATCH(M$1,products!$A$1:$G$1,0))</f>
        <v>0.5</v>
      </c>
      <c r="N48" s="7">
        <f>INDEX(products!$A$1:$G$49,MATCH($F48,products!$A$1:$A$49,0),MATCH(N$1,products!$A$1:$G$1,0))</f>
        <v>7.77</v>
      </c>
      <c r="O48" s="7">
        <f t="shared" si="0"/>
        <v>38.849999999999994</v>
      </c>
      <c r="P48" t="str" cm="1">
        <f t="array" ref="P48">_xlfn.IFS(K48="Rob","Robusta",K48="Exc","Excelsa",K48="Ara","Arabica",K48="Lib","Liberica")</f>
        <v>Arabica</v>
      </c>
      <c r="Q48" t="str" cm="1">
        <f t="array" ref="Q48">_xlfn.IFS(L48="M","Medium",L48="L","Light",L48="D","Dark")</f>
        <v>Light</v>
      </c>
      <c r="R48" t="str">
        <f>_xlfn.XLOOKUP(Orders[[#This Row],[Customer ID]],customers!$A$1:$A$1001,customers!$I$1:$I$1001)</f>
        <v>Yes</v>
      </c>
    </row>
    <row r="49" spans="1:18" x14ac:dyDescent="0.35">
      <c r="A49" s="2" t="s">
        <v>3532</v>
      </c>
      <c r="B49" s="4">
        <v>44482</v>
      </c>
      <c r="C49" s="23">
        <f>Orders[[#This Row],[Order Date]]</f>
        <v>44482</v>
      </c>
      <c r="D49" s="2">
        <f>YEAR(Orders[[#This Row],[Order Date]])</f>
        <v>2021</v>
      </c>
      <c r="E49" s="2" t="s">
        <v>3533</v>
      </c>
      <c r="F49" t="s">
        <v>6163</v>
      </c>
      <c r="G49" s="20">
        <v>4</v>
      </c>
      <c r="H49" s="2" t="str">
        <f>INDEX(customers!$A$1:$I$1001,MATCH($E49,customers!$A$1:$A$1001,),MATCH($H$1,customers!$A$1:$I$1,0))</f>
        <v>Amii Gallyon</v>
      </c>
      <c r="I49" s="2" t="str">
        <f>IF(INDEX(customers!$A$1:$I$1001,MATCH($E49,customers!$A$1:$A$1001,0),3)=0,"",INDEX(customers!$A$1:$I$1001,MATCH($E49,customers!$A$1:$A$1001,0),3))</f>
        <v>agallyoney@engadget.com</v>
      </c>
      <c r="J49" s="2" t="str">
        <f>_xlfn.XLOOKUP(E49,customers!$A$1:$A$1001,customers!$G$1:$G$1001)</f>
        <v>United States</v>
      </c>
      <c r="K49" t="str">
        <f>INDEX(products!$A$1:$G$49,MATCH($F49,products!$A$1:$A$49,0),MATCH(K$1,products!$A$1:$G$1,0))</f>
        <v>Rob</v>
      </c>
      <c r="L49" t="str">
        <f>INDEX(products!$A$1:$G$49,MATCH($F49,products!$A$1:$A$49,0),MATCH(L$1,products!$A$1:$G$1,0))</f>
        <v>D</v>
      </c>
      <c r="M49" s="5">
        <f>INDEX(products!$A$1:$G$49,MATCH($F49,products!$A$1:$A$49,0),MATCH(M$1,products!$A$1:$G$1,0))</f>
        <v>0.2</v>
      </c>
      <c r="N49" s="7">
        <f>INDEX(products!$A$1:$G$49,MATCH($F49,products!$A$1:$A$49,0),MATCH(N$1,products!$A$1:$G$1,0))</f>
        <v>2.6849999999999996</v>
      </c>
      <c r="O49" s="7">
        <f t="shared" si="0"/>
        <v>10.739999999999998</v>
      </c>
      <c r="P49" t="str" cm="1">
        <f t="array" ref="P49">_xlfn.IFS(K49="Rob","Robusta",K49="Exc","Excelsa",K49="Ara","Arabica",K49="Lib","Liberica")</f>
        <v>Robusta</v>
      </c>
      <c r="Q49" t="str" cm="1">
        <f t="array" ref="Q49">_xlfn.IFS(L49="M","Medium",L49="L","Light",L49="D","Dark")</f>
        <v>Dark</v>
      </c>
      <c r="R49" t="str">
        <f>_xlfn.XLOOKUP(Orders[[#This Row],[Customer ID]],customers!$A$1:$A$1001,customers!$I$1:$I$1001)</f>
        <v>Yes</v>
      </c>
    </row>
    <row r="50" spans="1:18" x14ac:dyDescent="0.35">
      <c r="A50" s="2" t="s">
        <v>2091</v>
      </c>
      <c r="B50" s="4">
        <v>43639</v>
      </c>
      <c r="C50" s="23">
        <f>Orders[[#This Row],[Order Date]]</f>
        <v>43639</v>
      </c>
      <c r="D50" s="2">
        <f>YEAR(Orders[[#This Row],[Order Date]])</f>
        <v>2019</v>
      </c>
      <c r="E50" s="2" t="s">
        <v>2092</v>
      </c>
      <c r="F50" t="s">
        <v>6172</v>
      </c>
      <c r="G50" s="20">
        <v>1</v>
      </c>
      <c r="H50" s="2" t="str">
        <f>INDEX(customers!$A$1:$I$1001,MATCH($E50,customers!$A$1:$A$1001,),MATCH($H$1,customers!$A$1:$I$1,0))</f>
        <v>Amity Chatto</v>
      </c>
      <c r="I50" s="2" t="str">
        <f>IF(INDEX(customers!$A$1:$I$1001,MATCH($E50,customers!$A$1:$A$1001,0),3)=0,"",INDEX(customers!$A$1:$I$1001,MATCH($E50,customers!$A$1:$A$1001,0),3))</f>
        <v>achatto7v@sakura.ne.jp</v>
      </c>
      <c r="J50" s="2" t="str">
        <f>_xlfn.XLOOKUP(E50,customers!$A$1:$A$1001,customers!$G$1:$G$1001)</f>
        <v>United Kingdom</v>
      </c>
      <c r="K50" t="str">
        <f>INDEX(products!$A$1:$G$49,MATCH($F50,products!$A$1:$A$49,0),MATCH(K$1,products!$A$1:$G$1,0))</f>
        <v>Rob</v>
      </c>
      <c r="L50" t="str">
        <f>INDEX(products!$A$1:$G$49,MATCH($F50,products!$A$1:$A$49,0),MATCH(L$1,products!$A$1:$G$1,0))</f>
        <v>D</v>
      </c>
      <c r="M50" s="5">
        <f>INDEX(products!$A$1:$G$49,MATCH($F50,products!$A$1:$A$49,0),MATCH(M$1,products!$A$1:$G$1,0))</f>
        <v>0.5</v>
      </c>
      <c r="N50" s="7">
        <f>INDEX(products!$A$1:$G$49,MATCH($F50,products!$A$1:$A$49,0),MATCH(N$1,products!$A$1:$G$1,0))</f>
        <v>5.3699999999999992</v>
      </c>
      <c r="O50" s="7">
        <f t="shared" si="0"/>
        <v>5.3699999999999992</v>
      </c>
      <c r="P50" t="str" cm="1">
        <f t="array" ref="P50">_xlfn.IFS(K50="Rob","Robusta",K50="Exc","Excelsa",K50="Ara","Arabica",K50="Lib","Liberica")</f>
        <v>Robusta</v>
      </c>
      <c r="Q50" t="str" cm="1">
        <f t="array" ref="Q50">_xlfn.IFS(L50="M","Medium",L50="L","Light",L50="D","Dark")</f>
        <v>Dark</v>
      </c>
      <c r="R50" t="str">
        <f>_xlfn.XLOOKUP(Orders[[#This Row],[Customer ID]],customers!$A$1:$A$1001,customers!$I$1:$I$1001)</f>
        <v>Yes</v>
      </c>
    </row>
    <row r="51" spans="1:18" x14ac:dyDescent="0.35">
      <c r="A51" s="2" t="s">
        <v>1765</v>
      </c>
      <c r="B51" s="4">
        <v>43887</v>
      </c>
      <c r="C51" s="23">
        <f>Orders[[#This Row],[Order Date]]</f>
        <v>43887</v>
      </c>
      <c r="D51" s="2">
        <f>YEAR(Orders[[#This Row],[Order Date]])</f>
        <v>2020</v>
      </c>
      <c r="E51" s="2" t="s">
        <v>1766</v>
      </c>
      <c r="F51" t="s">
        <v>6175</v>
      </c>
      <c r="G51" s="20">
        <v>5</v>
      </c>
      <c r="H51" s="2" t="str">
        <f>INDEX(customers!$A$1:$I$1001,MATCH($E51,customers!$A$1:$A$1001,),MATCH($H$1,customers!$A$1:$I$1,0))</f>
        <v>Anabelle Hutchens</v>
      </c>
      <c r="I51" s="2" t="str">
        <f>IF(INDEX(customers!$A$1:$I$1001,MATCH($E51,customers!$A$1:$A$1001,0),3)=0,"",INDEX(customers!$A$1:$I$1001,MATCH($E51,customers!$A$1:$A$1001,0),3))</f>
        <v>ahutchens6a@amazonaws.com</v>
      </c>
      <c r="J51" s="2" t="str">
        <f>_xlfn.XLOOKUP(E51,customers!$A$1:$A$1001,customers!$G$1:$G$1001)</f>
        <v>United States</v>
      </c>
      <c r="K51" t="str">
        <f>INDEX(products!$A$1:$G$49,MATCH($F51,products!$A$1:$A$49,0),MATCH(K$1,products!$A$1:$G$1,0))</f>
        <v>Ara</v>
      </c>
      <c r="L51" t="str">
        <f>INDEX(products!$A$1:$G$49,MATCH($F51,products!$A$1:$A$49,0),MATCH(L$1,products!$A$1:$G$1,0))</f>
        <v>M</v>
      </c>
      <c r="M51" s="5">
        <f>INDEX(products!$A$1:$G$49,MATCH($F51,products!$A$1:$A$49,0),MATCH(M$1,products!$A$1:$G$1,0))</f>
        <v>2.5</v>
      </c>
      <c r="N51" s="7">
        <f>INDEX(products!$A$1:$G$49,MATCH($F51,products!$A$1:$A$49,0),MATCH(N$1,products!$A$1:$G$1,0))</f>
        <v>25.874999999999996</v>
      </c>
      <c r="O51" s="7">
        <f t="shared" si="0"/>
        <v>129.37499999999997</v>
      </c>
      <c r="P51" t="str" cm="1">
        <f t="array" ref="P51">_xlfn.IFS(K51="Rob","Robusta",K51="Exc","Excelsa",K51="Ara","Arabica",K51="Lib","Liberica")</f>
        <v>Arabica</v>
      </c>
      <c r="Q51" t="str" cm="1">
        <f t="array" ref="Q51">_xlfn.IFS(L51="M","Medium",L51="L","Light",L51="D","Dark")</f>
        <v>Medium</v>
      </c>
      <c r="R51" t="str">
        <f>_xlfn.XLOOKUP(Orders[[#This Row],[Customer ID]],customers!$A$1:$A$1001,customers!$I$1:$I$1001)</f>
        <v>No</v>
      </c>
    </row>
    <row r="52" spans="1:18" x14ac:dyDescent="0.35">
      <c r="A52" s="2" t="s">
        <v>3927</v>
      </c>
      <c r="B52" s="4">
        <v>44147</v>
      </c>
      <c r="C52" s="23">
        <f>Orders[[#This Row],[Order Date]]</f>
        <v>44147</v>
      </c>
      <c r="D52" s="2">
        <f>YEAR(Orders[[#This Row],[Order Date]])</f>
        <v>2020</v>
      </c>
      <c r="E52" s="2" t="s">
        <v>3928</v>
      </c>
      <c r="F52" t="s">
        <v>6159</v>
      </c>
      <c r="G52" s="20">
        <v>6</v>
      </c>
      <c r="H52" s="2" t="str">
        <f>INDEX(customers!$A$1:$I$1001,MATCH($E52,customers!$A$1:$A$1001,),MATCH($H$1,customers!$A$1:$I$1,0))</f>
        <v>Ancell Fendt</v>
      </c>
      <c r="I52" s="2" t="str">
        <f>IF(INDEX(customers!$A$1:$I$1001,MATCH($E52,customers!$A$1:$A$1001,0),3)=0,"",INDEX(customers!$A$1:$I$1001,MATCH($E52,customers!$A$1:$A$1001,0),3))</f>
        <v>afendtgx@forbes.com</v>
      </c>
      <c r="J52" s="2" t="str">
        <f>_xlfn.XLOOKUP(E52,customers!$A$1:$A$1001,customers!$G$1:$G$1001)</f>
        <v>United States</v>
      </c>
      <c r="K52" t="str">
        <f>INDEX(products!$A$1:$G$49,MATCH($F52,products!$A$1:$A$49,0),MATCH(K$1,products!$A$1:$G$1,0))</f>
        <v>Lib</v>
      </c>
      <c r="L52" t="str">
        <f>INDEX(products!$A$1:$G$49,MATCH($F52,products!$A$1:$A$49,0),MATCH(L$1,products!$A$1:$G$1,0))</f>
        <v>M</v>
      </c>
      <c r="M52" s="5">
        <f>INDEX(products!$A$1:$G$49,MATCH($F52,products!$A$1:$A$49,0),MATCH(M$1,products!$A$1:$G$1,0))</f>
        <v>0.2</v>
      </c>
      <c r="N52" s="7">
        <f>INDEX(products!$A$1:$G$49,MATCH($F52,products!$A$1:$A$49,0),MATCH(N$1,products!$A$1:$G$1,0))</f>
        <v>4.3650000000000002</v>
      </c>
      <c r="O52" s="7">
        <f t="shared" si="0"/>
        <v>26.19</v>
      </c>
      <c r="P52" t="str" cm="1">
        <f t="array" ref="P52">_xlfn.IFS(K52="Rob","Robusta",K52="Exc","Excelsa",K52="Ara","Arabica",K52="Lib","Liberica")</f>
        <v>Liberica</v>
      </c>
      <c r="Q52" t="str" cm="1">
        <f t="array" ref="Q52">_xlfn.IFS(L52="M","Medium",L52="L","Light",L52="D","Dark")</f>
        <v>Medium</v>
      </c>
      <c r="R52" t="str">
        <f>_xlfn.XLOOKUP(Orders[[#This Row],[Customer ID]],customers!$A$1:$A$1001,customers!$I$1:$I$1001)</f>
        <v>Yes</v>
      </c>
    </row>
    <row r="53" spans="1:18" x14ac:dyDescent="0.35">
      <c r="A53" s="2" t="s">
        <v>4614</v>
      </c>
      <c r="B53" s="4">
        <v>43475</v>
      </c>
      <c r="C53" s="23">
        <f>Orders[[#This Row],[Order Date]]</f>
        <v>43475</v>
      </c>
      <c r="D53" s="2">
        <f>YEAR(Orders[[#This Row],[Order Date]])</f>
        <v>2019</v>
      </c>
      <c r="E53" s="2" t="s">
        <v>4615</v>
      </c>
      <c r="F53" t="s">
        <v>6164</v>
      </c>
      <c r="G53" s="20">
        <v>1</v>
      </c>
      <c r="H53" s="2" t="str">
        <f>INDEX(customers!$A$1:$I$1001,MATCH($E53,customers!$A$1:$A$1001,),MATCH($H$1,customers!$A$1:$I$1,0))</f>
        <v>Andie Rudram</v>
      </c>
      <c r="I53" s="2" t="str">
        <f>IF(INDEX(customers!$A$1:$I$1001,MATCH($E53,customers!$A$1:$A$1001,0),3)=0,"",INDEX(customers!$A$1:$I$1001,MATCH($E53,customers!$A$1:$A$1001,0),3))</f>
        <v>arudramka@prnewswire.com</v>
      </c>
      <c r="J53" s="2" t="str">
        <f>_xlfn.XLOOKUP(E53,customers!$A$1:$A$1001,customers!$G$1:$G$1001)</f>
        <v>United States</v>
      </c>
      <c r="K53" t="str">
        <f>INDEX(products!$A$1:$G$49,MATCH($F53,products!$A$1:$A$49,0),MATCH(K$1,products!$A$1:$G$1,0))</f>
        <v>Lib</v>
      </c>
      <c r="L53" t="str">
        <f>INDEX(products!$A$1:$G$49,MATCH($F53,products!$A$1:$A$49,0),MATCH(L$1,products!$A$1:$G$1,0))</f>
        <v>L</v>
      </c>
      <c r="M53" s="5">
        <f>INDEX(products!$A$1:$G$49,MATCH($F53,products!$A$1:$A$49,0),MATCH(M$1,products!$A$1:$G$1,0))</f>
        <v>2.5</v>
      </c>
      <c r="N53" s="7">
        <f>INDEX(products!$A$1:$G$49,MATCH($F53,products!$A$1:$A$49,0),MATCH(N$1,products!$A$1:$G$1,0))</f>
        <v>36.454999999999998</v>
      </c>
      <c r="O53" s="7">
        <f t="shared" si="0"/>
        <v>36.454999999999998</v>
      </c>
      <c r="P53" t="str" cm="1">
        <f t="array" ref="P53">_xlfn.IFS(K53="Rob","Robusta",K53="Exc","Excelsa",K53="Ara","Arabica",K53="Lib","Liberica")</f>
        <v>Liberica</v>
      </c>
      <c r="Q53" t="str" cm="1">
        <f t="array" ref="Q53">_xlfn.IFS(L53="M","Medium",L53="L","Light",L53="D","Dark")</f>
        <v>Light</v>
      </c>
      <c r="R53" t="str">
        <f>_xlfn.XLOOKUP(Orders[[#This Row],[Customer ID]],customers!$A$1:$A$1001,customers!$I$1:$I$1001)</f>
        <v>No</v>
      </c>
    </row>
    <row r="54" spans="1:18" x14ac:dyDescent="0.35">
      <c r="A54" s="2" t="s">
        <v>2683</v>
      </c>
      <c r="B54" s="4">
        <v>43536</v>
      </c>
      <c r="C54" s="23">
        <f>Orders[[#This Row],[Order Date]]</f>
        <v>43536</v>
      </c>
      <c r="D54" s="2">
        <f>YEAR(Orders[[#This Row],[Order Date]])</f>
        <v>2019</v>
      </c>
      <c r="E54" s="2" t="s">
        <v>2684</v>
      </c>
      <c r="F54" t="s">
        <v>6169</v>
      </c>
      <c r="G54" s="20">
        <v>3</v>
      </c>
      <c r="H54" s="2" t="str">
        <f>INDEX(customers!$A$1:$I$1001,MATCH($E54,customers!$A$1:$A$1001,),MATCH($H$1,customers!$A$1:$I$1,0))</f>
        <v>Andrej Havick</v>
      </c>
      <c r="I54" s="2" t="str">
        <f>IF(INDEX(customers!$A$1:$I$1001,MATCH($E54,customers!$A$1:$A$1001,0),3)=0,"",INDEX(customers!$A$1:$I$1001,MATCH($E54,customers!$A$1:$A$1001,0),3))</f>
        <v>ahavickat@nsw.gov.au</v>
      </c>
      <c r="J54" s="2" t="str">
        <f>_xlfn.XLOOKUP(E54,customers!$A$1:$A$1001,customers!$G$1:$G$1001)</f>
        <v>United States</v>
      </c>
      <c r="K54" t="str">
        <f>INDEX(products!$A$1:$G$49,MATCH($F54,products!$A$1:$A$49,0),MATCH(K$1,products!$A$1:$G$1,0))</f>
        <v>Lib</v>
      </c>
      <c r="L54" t="str">
        <f>INDEX(products!$A$1:$G$49,MATCH($F54,products!$A$1:$A$49,0),MATCH(L$1,products!$A$1:$G$1,0))</f>
        <v>D</v>
      </c>
      <c r="M54" s="5">
        <f>INDEX(products!$A$1:$G$49,MATCH($F54,products!$A$1:$A$49,0),MATCH(M$1,products!$A$1:$G$1,0))</f>
        <v>0.5</v>
      </c>
      <c r="N54" s="7">
        <f>INDEX(products!$A$1:$G$49,MATCH($F54,products!$A$1:$A$49,0),MATCH(N$1,products!$A$1:$G$1,0))</f>
        <v>7.77</v>
      </c>
      <c r="O54" s="7">
        <f t="shared" si="0"/>
        <v>23.31</v>
      </c>
      <c r="P54" t="str" cm="1">
        <f t="array" ref="P54">_xlfn.IFS(K54="Rob","Robusta",K54="Exc","Excelsa",K54="Ara","Arabica",K54="Lib","Liberica")</f>
        <v>Liberica</v>
      </c>
      <c r="Q54" t="str" cm="1">
        <f t="array" ref="Q54">_xlfn.IFS(L54="M","Medium",L54="L","Light",L54="D","Dark")</f>
        <v>Dark</v>
      </c>
      <c r="R54" t="str">
        <f>_xlfn.XLOOKUP(Orders[[#This Row],[Customer ID]],customers!$A$1:$A$1001,customers!$I$1:$I$1001)</f>
        <v>Yes</v>
      </c>
    </row>
    <row r="55" spans="1:18" x14ac:dyDescent="0.35">
      <c r="A55" s="2" t="s">
        <v>3933</v>
      </c>
      <c r="B55" s="4">
        <v>43743</v>
      </c>
      <c r="C55" s="23">
        <f>Orders[[#This Row],[Order Date]]</f>
        <v>43743</v>
      </c>
      <c r="D55" s="2">
        <f>YEAR(Orders[[#This Row],[Order Date]])</f>
        <v>2019</v>
      </c>
      <c r="E55" s="2" t="s">
        <v>3934</v>
      </c>
      <c r="F55" t="s">
        <v>6138</v>
      </c>
      <c r="G55" s="20">
        <v>4</v>
      </c>
      <c r="H55" s="2" t="str">
        <f>INDEX(customers!$A$1:$I$1001,MATCH($E55,customers!$A$1:$A$1001,),MATCH($H$1,customers!$A$1:$I$1,0))</f>
        <v>Angelia Cleyburn</v>
      </c>
      <c r="I55" s="2" t="str">
        <f>IF(INDEX(customers!$A$1:$I$1001,MATCH($E55,customers!$A$1:$A$1001,0),3)=0,"",INDEX(customers!$A$1:$I$1001,MATCH($E55,customers!$A$1:$A$1001,0),3))</f>
        <v>acleyburngy@lycos.com</v>
      </c>
      <c r="J55" s="2" t="str">
        <f>_xlfn.XLOOKUP(E55,customers!$A$1:$A$1001,customers!$G$1:$G$1001)</f>
        <v>United States</v>
      </c>
      <c r="K55" t="str">
        <f>INDEX(products!$A$1:$G$49,MATCH($F55,products!$A$1:$A$49,0),MATCH(K$1,products!$A$1:$G$1,0))</f>
        <v>Rob</v>
      </c>
      <c r="L55" t="str">
        <f>INDEX(products!$A$1:$G$49,MATCH($F55,products!$A$1:$A$49,0),MATCH(L$1,products!$A$1:$G$1,0))</f>
        <v>M</v>
      </c>
      <c r="M55" s="5">
        <f>INDEX(products!$A$1:$G$49,MATCH($F55,products!$A$1:$A$49,0),MATCH(M$1,products!$A$1:$G$1,0))</f>
        <v>1</v>
      </c>
      <c r="N55" s="7">
        <f>INDEX(products!$A$1:$G$49,MATCH($F55,products!$A$1:$A$49,0),MATCH(N$1,products!$A$1:$G$1,0))</f>
        <v>9.9499999999999993</v>
      </c>
      <c r="O55" s="7">
        <f t="shared" si="0"/>
        <v>39.799999999999997</v>
      </c>
      <c r="P55" t="str" cm="1">
        <f t="array" ref="P55">_xlfn.IFS(K55="Rob","Robusta",K55="Exc","Excelsa",K55="Ara","Arabica",K55="Lib","Liberica")</f>
        <v>Robusta</v>
      </c>
      <c r="Q55" t="str" cm="1">
        <f t="array" ref="Q55">_xlfn.IFS(L55="M","Medium",L55="L","Light",L55="D","Dark")</f>
        <v>Medium</v>
      </c>
      <c r="R55" t="str">
        <f>_xlfn.XLOOKUP(Orders[[#This Row],[Customer ID]],customers!$A$1:$A$1001,customers!$I$1:$I$1001)</f>
        <v>No</v>
      </c>
    </row>
    <row r="56" spans="1:18" x14ac:dyDescent="0.35">
      <c r="A56" s="2" t="s">
        <v>854</v>
      </c>
      <c r="B56" s="4">
        <v>44626</v>
      </c>
      <c r="C56" s="23">
        <f>Orders[[#This Row],[Order Date]]</f>
        <v>44626</v>
      </c>
      <c r="D56" s="2">
        <f>YEAR(Orders[[#This Row],[Order Date]])</f>
        <v>2022</v>
      </c>
      <c r="E56" s="2" t="s">
        <v>855</v>
      </c>
      <c r="F56" t="s">
        <v>6149</v>
      </c>
      <c r="G56" s="20">
        <v>4</v>
      </c>
      <c r="H56" s="2" t="str">
        <f>INDEX(customers!$A$1:$I$1001,MATCH($E56,customers!$A$1:$A$1001,),MATCH($H$1,customers!$A$1:$I$1,0))</f>
        <v>Angelia Cockrem</v>
      </c>
      <c r="I56" s="2" t="str">
        <f>IF(INDEX(customers!$A$1:$I$1001,MATCH($E56,customers!$A$1:$A$1001,0),3)=0,"",INDEX(customers!$A$1:$I$1001,MATCH($E56,customers!$A$1:$A$1001,0),3))</f>
        <v>acockrem1t@engadget.com</v>
      </c>
      <c r="J56" s="2" t="str">
        <f>_xlfn.XLOOKUP(E56,customers!$A$1:$A$1001,customers!$G$1:$G$1001)</f>
        <v>United States</v>
      </c>
      <c r="K56" t="str">
        <f>INDEX(products!$A$1:$G$49,MATCH($F56,products!$A$1:$A$49,0),MATCH(K$1,products!$A$1:$G$1,0))</f>
        <v>Rob</v>
      </c>
      <c r="L56" t="str">
        <f>INDEX(products!$A$1:$G$49,MATCH($F56,products!$A$1:$A$49,0),MATCH(L$1,products!$A$1:$G$1,0))</f>
        <v>D</v>
      </c>
      <c r="M56" s="5">
        <f>INDEX(products!$A$1:$G$49,MATCH($F56,products!$A$1:$A$49,0),MATCH(M$1,products!$A$1:$G$1,0))</f>
        <v>2.5</v>
      </c>
      <c r="N56" s="7">
        <f>INDEX(products!$A$1:$G$49,MATCH($F56,products!$A$1:$A$49,0),MATCH(N$1,products!$A$1:$G$1,0))</f>
        <v>20.584999999999997</v>
      </c>
      <c r="O56" s="7">
        <f t="shared" si="0"/>
        <v>82.339999999999989</v>
      </c>
      <c r="P56" t="str" cm="1">
        <f t="array" ref="P56">_xlfn.IFS(K56="Rob","Robusta",K56="Exc","Excelsa",K56="Ara","Arabica",K56="Lib","Liberica")</f>
        <v>Robusta</v>
      </c>
      <c r="Q56" t="str" cm="1">
        <f t="array" ref="Q56">_xlfn.IFS(L56="M","Medium",L56="L","Light",L56="D","Dark")</f>
        <v>Dark</v>
      </c>
      <c r="R56" t="str">
        <f>_xlfn.XLOOKUP(Orders[[#This Row],[Customer ID]],customers!$A$1:$A$1001,customers!$I$1:$I$1001)</f>
        <v>Yes</v>
      </c>
    </row>
    <row r="57" spans="1:18" x14ac:dyDescent="0.35">
      <c r="A57" s="2" t="s">
        <v>1532</v>
      </c>
      <c r="B57" s="4">
        <v>43483</v>
      </c>
      <c r="C57" s="23">
        <f>Orders[[#This Row],[Order Date]]</f>
        <v>43483</v>
      </c>
      <c r="D57" s="2">
        <f>YEAR(Orders[[#This Row],[Order Date]])</f>
        <v>2019</v>
      </c>
      <c r="E57" s="2" t="s">
        <v>1533</v>
      </c>
      <c r="F57" t="s">
        <v>6144</v>
      </c>
      <c r="G57" s="20">
        <v>5</v>
      </c>
      <c r="H57" s="2" t="str">
        <f>INDEX(customers!$A$1:$I$1001,MATCH($E57,customers!$A$1:$A$1001,),MATCH($H$1,customers!$A$1:$I$1,0))</f>
        <v>Angie Rizzetti</v>
      </c>
      <c r="I57" s="2" t="str">
        <f>IF(INDEX(customers!$A$1:$I$1001,MATCH($E57,customers!$A$1:$A$1001,0),3)=0,"",INDEX(customers!$A$1:$I$1001,MATCH($E57,customers!$A$1:$A$1001,0),3))</f>
        <v>arizzetti55@naver.com</v>
      </c>
      <c r="J57" s="2" t="str">
        <f>_xlfn.XLOOKUP(E57,customers!$A$1:$A$1001,customers!$G$1:$G$1001)</f>
        <v>United States</v>
      </c>
      <c r="K57" t="str">
        <f>INDEX(products!$A$1:$G$49,MATCH($F57,products!$A$1:$A$49,0),MATCH(K$1,products!$A$1:$G$1,0))</f>
        <v>Exc</v>
      </c>
      <c r="L57" t="str">
        <f>INDEX(products!$A$1:$G$49,MATCH($F57,products!$A$1:$A$49,0),MATCH(L$1,products!$A$1:$G$1,0))</f>
        <v>D</v>
      </c>
      <c r="M57" s="5">
        <f>INDEX(products!$A$1:$G$49,MATCH($F57,products!$A$1:$A$49,0),MATCH(M$1,products!$A$1:$G$1,0))</f>
        <v>0.5</v>
      </c>
      <c r="N57" s="7">
        <f>INDEX(products!$A$1:$G$49,MATCH($F57,products!$A$1:$A$49,0),MATCH(N$1,products!$A$1:$G$1,0))</f>
        <v>7.29</v>
      </c>
      <c r="O57" s="7">
        <f t="shared" si="0"/>
        <v>36.450000000000003</v>
      </c>
      <c r="P57" t="str" cm="1">
        <f t="array" ref="P57">_xlfn.IFS(K57="Rob","Robusta",K57="Exc","Excelsa",K57="Ara","Arabica",K57="Lib","Liberica")</f>
        <v>Excelsa</v>
      </c>
      <c r="Q57" t="str" cm="1">
        <f t="array" ref="Q57">_xlfn.IFS(L57="M","Medium",L57="L","Light",L57="D","Dark")</f>
        <v>Dark</v>
      </c>
      <c r="R57" t="str">
        <f>_xlfn.XLOOKUP(Orders[[#This Row],[Customer ID]],customers!$A$1:$A$1001,customers!$I$1:$I$1001)</f>
        <v>Yes</v>
      </c>
    </row>
    <row r="58" spans="1:18" x14ac:dyDescent="0.35">
      <c r="A58" s="2" t="s">
        <v>4331</v>
      </c>
      <c r="B58" s="4">
        <v>44399</v>
      </c>
      <c r="C58" s="23">
        <f>Orders[[#This Row],[Order Date]]</f>
        <v>44399</v>
      </c>
      <c r="D58" s="2">
        <f>YEAR(Orders[[#This Row],[Order Date]])</f>
        <v>2021</v>
      </c>
      <c r="E58" s="2" t="s">
        <v>4332</v>
      </c>
      <c r="F58" t="s">
        <v>6155</v>
      </c>
      <c r="G58" s="20">
        <v>5</v>
      </c>
      <c r="H58" s="2" t="str">
        <f>INDEX(customers!$A$1:$I$1001,MATCH($E58,customers!$A$1:$A$1001,),MATCH($H$1,customers!$A$1:$I$1,0))</f>
        <v>Anjanette Goldie</v>
      </c>
      <c r="I58" s="2" t="str">
        <f>IF(INDEX(customers!$A$1:$I$1001,MATCH($E58,customers!$A$1:$A$1001,0),3)=0,"",INDEX(customers!$A$1:$I$1001,MATCH($E58,customers!$A$1:$A$1001,0),3))</f>
        <v>agoldieiw@goo.gl</v>
      </c>
      <c r="J58" s="2" t="str">
        <f>_xlfn.XLOOKUP(E58,customers!$A$1:$A$1001,customers!$G$1:$G$1001)</f>
        <v>United States</v>
      </c>
      <c r="K58" t="str">
        <f>INDEX(products!$A$1:$G$49,MATCH($F58,products!$A$1:$A$49,0),MATCH(K$1,products!$A$1:$G$1,0))</f>
        <v>Ara</v>
      </c>
      <c r="L58" t="str">
        <f>INDEX(products!$A$1:$G$49,MATCH($F58,products!$A$1:$A$49,0),MATCH(L$1,products!$A$1:$G$1,0))</f>
        <v>M</v>
      </c>
      <c r="M58" s="5">
        <f>INDEX(products!$A$1:$G$49,MATCH($F58,products!$A$1:$A$49,0),MATCH(M$1,products!$A$1:$G$1,0))</f>
        <v>1</v>
      </c>
      <c r="N58" s="7">
        <f>INDEX(products!$A$1:$G$49,MATCH($F58,products!$A$1:$A$49,0),MATCH(N$1,products!$A$1:$G$1,0))</f>
        <v>11.25</v>
      </c>
      <c r="O58" s="7">
        <f t="shared" si="0"/>
        <v>56.25</v>
      </c>
      <c r="P58" t="str" cm="1">
        <f t="array" ref="P58">_xlfn.IFS(K58="Rob","Robusta",K58="Exc","Excelsa",K58="Ara","Arabica",K58="Lib","Liberica")</f>
        <v>Arabica</v>
      </c>
      <c r="Q58" t="str" cm="1">
        <f t="array" ref="Q58">_xlfn.IFS(L58="M","Medium",L58="L","Light",L58="D","Dark")</f>
        <v>Medium</v>
      </c>
      <c r="R58" t="str">
        <f>_xlfn.XLOOKUP(Orders[[#This Row],[Customer ID]],customers!$A$1:$A$1001,customers!$I$1:$I$1001)</f>
        <v>No</v>
      </c>
    </row>
    <row r="59" spans="1:18" x14ac:dyDescent="0.35">
      <c r="A59" s="2" t="s">
        <v>614</v>
      </c>
      <c r="B59" s="4">
        <v>44218</v>
      </c>
      <c r="C59" s="23">
        <f>Orders[[#This Row],[Order Date]]</f>
        <v>44218</v>
      </c>
      <c r="D59" s="2">
        <f>YEAR(Orders[[#This Row],[Order Date]])</f>
        <v>2021</v>
      </c>
      <c r="E59" s="2" t="s">
        <v>615</v>
      </c>
      <c r="F59" t="s">
        <v>6151</v>
      </c>
      <c r="G59" s="20">
        <v>4</v>
      </c>
      <c r="H59" s="2" t="str">
        <f>INDEX(customers!$A$1:$I$1001,MATCH($E59,customers!$A$1:$A$1001,),MATCH($H$1,customers!$A$1:$I$1,0))</f>
        <v>Annabel Antuk</v>
      </c>
      <c r="I59" s="2" t="str">
        <f>IF(INDEX(customers!$A$1:$I$1001,MATCH($E59,customers!$A$1:$A$1001,0),3)=0,"",INDEX(customers!$A$1:$I$1001,MATCH($E59,customers!$A$1:$A$1001,0),3))</f>
        <v>aantukm@kickstarter.com</v>
      </c>
      <c r="J59" s="2" t="str">
        <f>_xlfn.XLOOKUP(E59,customers!$A$1:$A$1001,customers!$G$1:$G$1001)</f>
        <v>United States</v>
      </c>
      <c r="K59" t="str">
        <f>INDEX(products!$A$1:$G$49,MATCH($F59,products!$A$1:$A$49,0),MATCH(K$1,products!$A$1:$G$1,0))</f>
        <v>Rob</v>
      </c>
      <c r="L59" t="str">
        <f>INDEX(products!$A$1:$G$49,MATCH($F59,products!$A$1:$A$49,0),MATCH(L$1,products!$A$1:$G$1,0))</f>
        <v>M</v>
      </c>
      <c r="M59" s="5">
        <f>INDEX(products!$A$1:$G$49,MATCH($F59,products!$A$1:$A$49,0),MATCH(M$1,products!$A$1:$G$1,0))</f>
        <v>2.5</v>
      </c>
      <c r="N59" s="7">
        <f>INDEX(products!$A$1:$G$49,MATCH($F59,products!$A$1:$A$49,0),MATCH(N$1,products!$A$1:$G$1,0))</f>
        <v>22.884999999999998</v>
      </c>
      <c r="O59" s="7">
        <f t="shared" si="0"/>
        <v>91.539999999999992</v>
      </c>
      <c r="P59" t="str" cm="1">
        <f t="array" ref="P59">_xlfn.IFS(K59="Rob","Robusta",K59="Exc","Excelsa",K59="Ara","Arabica",K59="Lib","Liberica")</f>
        <v>Robusta</v>
      </c>
      <c r="Q59" t="str" cm="1">
        <f t="array" ref="Q59">_xlfn.IFS(L59="M","Medium",L59="L","Light",L59="D","Dark")</f>
        <v>Medium</v>
      </c>
      <c r="R59" t="str">
        <f>_xlfn.XLOOKUP(Orders[[#This Row],[Customer ID]],customers!$A$1:$A$1001,customers!$I$1:$I$1001)</f>
        <v>Yes</v>
      </c>
    </row>
    <row r="60" spans="1:18" x14ac:dyDescent="0.35">
      <c r="A60" s="2" t="s">
        <v>2849</v>
      </c>
      <c r="B60" s="4">
        <v>44739</v>
      </c>
      <c r="C60" s="23">
        <f>Orders[[#This Row],[Order Date]]</f>
        <v>44739</v>
      </c>
      <c r="D60" s="2">
        <f>YEAR(Orders[[#This Row],[Order Date]])</f>
        <v>2022</v>
      </c>
      <c r="E60" s="2" t="s">
        <v>2850</v>
      </c>
      <c r="F60" t="s">
        <v>6160</v>
      </c>
      <c r="G60" s="20">
        <v>1</v>
      </c>
      <c r="H60" s="2" t="str">
        <f>INDEX(customers!$A$1:$I$1001,MATCH($E60,customers!$A$1:$A$1001,),MATCH($H$1,customers!$A$1:$I$1,0))</f>
        <v>Annabella Danzey</v>
      </c>
      <c r="I60" s="2" t="str">
        <f>IF(INDEX(customers!$A$1:$I$1001,MATCH($E60,customers!$A$1:$A$1001,0),3)=0,"",INDEX(customers!$A$1:$I$1001,MATCH($E60,customers!$A$1:$A$1001,0),3))</f>
        <v>adanzeybn@github.com</v>
      </c>
      <c r="J60" s="2" t="str">
        <f>_xlfn.XLOOKUP(E60,customers!$A$1:$A$1001,customers!$G$1:$G$1001)</f>
        <v>United States</v>
      </c>
      <c r="K60" t="str">
        <f>INDEX(products!$A$1:$G$49,MATCH($F60,products!$A$1:$A$49,0),MATCH(K$1,products!$A$1:$G$1,0))</f>
        <v>Lib</v>
      </c>
      <c r="L60" t="str">
        <f>INDEX(products!$A$1:$G$49,MATCH($F60,products!$A$1:$A$49,0),MATCH(L$1,products!$A$1:$G$1,0))</f>
        <v>M</v>
      </c>
      <c r="M60" s="5">
        <f>INDEX(products!$A$1:$G$49,MATCH($F60,products!$A$1:$A$49,0),MATCH(M$1,products!$A$1:$G$1,0))</f>
        <v>0.5</v>
      </c>
      <c r="N60" s="7">
        <f>INDEX(products!$A$1:$G$49,MATCH($F60,products!$A$1:$A$49,0),MATCH(N$1,products!$A$1:$G$1,0))</f>
        <v>8.73</v>
      </c>
      <c r="O60" s="7">
        <f t="shared" si="0"/>
        <v>8.73</v>
      </c>
      <c r="P60" t="str" cm="1">
        <f t="array" ref="P60">_xlfn.IFS(K60="Rob","Robusta",K60="Exc","Excelsa",K60="Ara","Arabica",K60="Lib","Liberica")</f>
        <v>Liberica</v>
      </c>
      <c r="Q60" t="str" cm="1">
        <f t="array" ref="Q60">_xlfn.IFS(L60="M","Medium",L60="L","Light",L60="D","Dark")</f>
        <v>Medium</v>
      </c>
      <c r="R60" t="str">
        <f>_xlfn.XLOOKUP(Orders[[#This Row],[Customer ID]],customers!$A$1:$A$1001,customers!$I$1:$I$1001)</f>
        <v>Yes</v>
      </c>
    </row>
    <row r="61" spans="1:18" x14ac:dyDescent="0.35">
      <c r="A61" s="2" t="s">
        <v>843</v>
      </c>
      <c r="B61" s="4">
        <v>43868</v>
      </c>
      <c r="C61" s="23">
        <f>Orders[[#This Row],[Order Date]]</f>
        <v>43868</v>
      </c>
      <c r="D61" s="2">
        <f>YEAR(Orders[[#This Row],[Order Date]])</f>
        <v>2020</v>
      </c>
      <c r="E61" s="2" t="s">
        <v>844</v>
      </c>
      <c r="F61" t="s">
        <v>6157</v>
      </c>
      <c r="G61" s="20">
        <v>1</v>
      </c>
      <c r="H61" s="2" t="str">
        <f>INDEX(customers!$A$1:$I$1001,MATCH($E61,customers!$A$1:$A$1001,),MATCH($H$1,customers!$A$1:$I$1,0))</f>
        <v>Annadiane Dykes</v>
      </c>
      <c r="I61" s="2" t="str">
        <f>IF(INDEX(customers!$A$1:$I$1001,MATCH($E61,customers!$A$1:$A$1001,0),3)=0,"",INDEX(customers!$A$1:$I$1001,MATCH($E61,customers!$A$1:$A$1001,0),3))</f>
        <v>adykes1r@eventbrite.com</v>
      </c>
      <c r="J61" s="2" t="str">
        <f>_xlfn.XLOOKUP(E61,customers!$A$1:$A$1001,customers!$G$1:$G$1001)</f>
        <v>United States</v>
      </c>
      <c r="K61" t="str">
        <f>INDEX(products!$A$1:$G$49,MATCH($F61,products!$A$1:$A$49,0),MATCH(K$1,products!$A$1:$G$1,0))</f>
        <v>Ara</v>
      </c>
      <c r="L61" t="str">
        <f>INDEX(products!$A$1:$G$49,MATCH($F61,products!$A$1:$A$49,0),MATCH(L$1,products!$A$1:$G$1,0))</f>
        <v>M</v>
      </c>
      <c r="M61" s="5">
        <f>INDEX(products!$A$1:$G$49,MATCH($F61,products!$A$1:$A$49,0),MATCH(M$1,products!$A$1:$G$1,0))</f>
        <v>0.5</v>
      </c>
      <c r="N61" s="7">
        <f>INDEX(products!$A$1:$G$49,MATCH($F61,products!$A$1:$A$49,0),MATCH(N$1,products!$A$1:$G$1,0))</f>
        <v>6.75</v>
      </c>
      <c r="O61" s="7">
        <f t="shared" si="0"/>
        <v>6.75</v>
      </c>
      <c r="P61" t="str" cm="1">
        <f t="array" ref="P61">_xlfn.IFS(K61="Rob","Robusta",K61="Exc","Excelsa",K61="Ara","Arabica",K61="Lib","Liberica")</f>
        <v>Arabica</v>
      </c>
      <c r="Q61" t="str" cm="1">
        <f t="array" ref="Q61">_xlfn.IFS(L61="M","Medium",L61="L","Light",L61="D","Dark")</f>
        <v>Medium</v>
      </c>
      <c r="R61" t="str">
        <f>_xlfn.XLOOKUP(Orders[[#This Row],[Customer ID]],customers!$A$1:$A$1001,customers!$I$1:$I$1001)</f>
        <v>No</v>
      </c>
    </row>
    <row r="62" spans="1:18" x14ac:dyDescent="0.35">
      <c r="A62" s="2" t="s">
        <v>3112</v>
      </c>
      <c r="B62" s="4">
        <v>43989</v>
      </c>
      <c r="C62" s="23">
        <f>Orders[[#This Row],[Order Date]]</f>
        <v>43989</v>
      </c>
      <c r="D62" s="2">
        <f>YEAR(Orders[[#This Row],[Order Date]])</f>
        <v>2020</v>
      </c>
      <c r="E62" s="2" t="s">
        <v>3113</v>
      </c>
      <c r="F62" t="s">
        <v>6165</v>
      </c>
      <c r="G62" s="20">
        <v>4</v>
      </c>
      <c r="H62" s="2" t="str">
        <f>INDEX(customers!$A$1:$I$1001,MATCH($E62,customers!$A$1:$A$1001,),MATCH($H$1,customers!$A$1:$I$1,0))</f>
        <v>Annetta Brentnall</v>
      </c>
      <c r="I62" s="2" t="str">
        <f>IF(INDEX(customers!$A$1:$I$1001,MATCH($E62,customers!$A$1:$A$1001,0),3)=0,"",INDEX(customers!$A$1:$I$1001,MATCH($E62,customers!$A$1:$A$1001,0),3))</f>
        <v>abrentnallcw@biglobe.ne.jp</v>
      </c>
      <c r="J62" s="2" t="str">
        <f>_xlfn.XLOOKUP(E62,customers!$A$1:$A$1001,customers!$G$1:$G$1001)</f>
        <v>United Kingdom</v>
      </c>
      <c r="K62" t="str">
        <f>INDEX(products!$A$1:$G$49,MATCH($F62,products!$A$1:$A$49,0),MATCH(K$1,products!$A$1:$G$1,0))</f>
        <v>Lib</v>
      </c>
      <c r="L62" t="str">
        <f>INDEX(products!$A$1:$G$49,MATCH($F62,products!$A$1:$A$49,0),MATCH(L$1,products!$A$1:$G$1,0))</f>
        <v>D</v>
      </c>
      <c r="M62" s="5">
        <f>INDEX(products!$A$1:$G$49,MATCH($F62,products!$A$1:$A$49,0),MATCH(M$1,products!$A$1:$G$1,0))</f>
        <v>2.5</v>
      </c>
      <c r="N62" s="7">
        <f>INDEX(products!$A$1:$G$49,MATCH($F62,products!$A$1:$A$49,0),MATCH(N$1,products!$A$1:$G$1,0))</f>
        <v>29.784999999999997</v>
      </c>
      <c r="O62" s="7">
        <f t="shared" si="0"/>
        <v>119.13999999999999</v>
      </c>
      <c r="P62" t="str" cm="1">
        <f t="array" ref="P62">_xlfn.IFS(K62="Rob","Robusta",K62="Exc","Excelsa",K62="Ara","Arabica",K62="Lib","Liberica")</f>
        <v>Liberica</v>
      </c>
      <c r="Q62" t="str" cm="1">
        <f t="array" ref="Q62">_xlfn.IFS(L62="M","Medium",L62="L","Light",L62="D","Dark")</f>
        <v>Dark</v>
      </c>
      <c r="R62" t="str">
        <f>_xlfn.XLOOKUP(Orders[[#This Row],[Customer ID]],customers!$A$1:$A$1001,customers!$I$1:$I$1001)</f>
        <v>No</v>
      </c>
    </row>
    <row r="63" spans="1:18" x14ac:dyDescent="0.35">
      <c r="A63" s="2" t="s">
        <v>4223</v>
      </c>
      <c r="B63" s="4">
        <v>44485</v>
      </c>
      <c r="C63" s="23">
        <f>Orders[[#This Row],[Order Date]]</f>
        <v>44485</v>
      </c>
      <c r="D63" s="2">
        <f>YEAR(Orders[[#This Row],[Order Date]])</f>
        <v>2021</v>
      </c>
      <c r="E63" s="2" t="s">
        <v>4224</v>
      </c>
      <c r="F63" t="s">
        <v>6152</v>
      </c>
      <c r="G63" s="20">
        <v>6</v>
      </c>
      <c r="H63" s="2" t="str">
        <f>INDEX(customers!$A$1:$I$1001,MATCH($E63,customers!$A$1:$A$1001,),MATCH($H$1,customers!$A$1:$I$1,0))</f>
        <v>Annie Campsall</v>
      </c>
      <c r="I63" s="2" t="str">
        <f>IF(INDEX(customers!$A$1:$I$1001,MATCH($E63,customers!$A$1:$A$1001,0),3)=0,"",INDEX(customers!$A$1:$I$1001,MATCH($E63,customers!$A$1:$A$1001,0),3))</f>
        <v>acampsallid@zimbio.com</v>
      </c>
      <c r="J63" s="2" t="str">
        <f>_xlfn.XLOOKUP(E63,customers!$A$1:$A$1001,customers!$G$1:$G$1001)</f>
        <v>United States</v>
      </c>
      <c r="K63" t="str">
        <f>INDEX(products!$A$1:$G$49,MATCH($F63,products!$A$1:$A$49,0),MATCH(K$1,products!$A$1:$G$1,0))</f>
        <v>Ara</v>
      </c>
      <c r="L63" t="str">
        <f>INDEX(products!$A$1:$G$49,MATCH($F63,products!$A$1:$A$49,0),MATCH(L$1,products!$A$1:$G$1,0))</f>
        <v>M</v>
      </c>
      <c r="M63" s="5">
        <f>INDEX(products!$A$1:$G$49,MATCH($F63,products!$A$1:$A$49,0),MATCH(M$1,products!$A$1:$G$1,0))</f>
        <v>0.2</v>
      </c>
      <c r="N63" s="7">
        <f>INDEX(products!$A$1:$G$49,MATCH($F63,products!$A$1:$A$49,0),MATCH(N$1,products!$A$1:$G$1,0))</f>
        <v>3.375</v>
      </c>
      <c r="O63" s="7">
        <f t="shared" si="0"/>
        <v>20.25</v>
      </c>
      <c r="P63" t="str" cm="1">
        <f t="array" ref="P63">_xlfn.IFS(K63="Rob","Robusta",K63="Exc","Excelsa",K63="Ara","Arabica",K63="Lib","Liberica")</f>
        <v>Arabica</v>
      </c>
      <c r="Q63" t="str" cm="1">
        <f t="array" ref="Q63">_xlfn.IFS(L63="M","Medium",L63="L","Light",L63="D","Dark")</f>
        <v>Medium</v>
      </c>
      <c r="R63" t="str">
        <f>_xlfn.XLOOKUP(Orders[[#This Row],[Customer ID]],customers!$A$1:$A$1001,customers!$I$1:$I$1001)</f>
        <v>Yes</v>
      </c>
    </row>
    <row r="64" spans="1:18" x14ac:dyDescent="0.35">
      <c r="A64" s="2" t="s">
        <v>1514</v>
      </c>
      <c r="B64" s="4">
        <v>44284</v>
      </c>
      <c r="C64" s="23">
        <f>Orders[[#This Row],[Order Date]]</f>
        <v>44284</v>
      </c>
      <c r="D64" s="2">
        <f>YEAR(Orders[[#This Row],[Order Date]])</f>
        <v>2021</v>
      </c>
      <c r="E64" s="2" t="s">
        <v>1515</v>
      </c>
      <c r="F64" t="s">
        <v>6172</v>
      </c>
      <c r="G64" s="20">
        <v>6</v>
      </c>
      <c r="H64" s="2" t="str">
        <f>INDEX(customers!$A$1:$I$1001,MATCH($E64,customers!$A$1:$A$1001,),MATCH($H$1,customers!$A$1:$I$1,0))</f>
        <v>Anny Mundford</v>
      </c>
      <c r="I64" s="2" t="str">
        <f>IF(INDEX(customers!$A$1:$I$1001,MATCH($E64,customers!$A$1:$A$1001,0),3)=0,"",INDEX(customers!$A$1:$I$1001,MATCH($E64,customers!$A$1:$A$1001,0),3))</f>
        <v>amundford52@nbcnews.com</v>
      </c>
      <c r="J64" s="2" t="str">
        <f>_xlfn.XLOOKUP(E64,customers!$A$1:$A$1001,customers!$G$1:$G$1001)</f>
        <v>United States</v>
      </c>
      <c r="K64" t="str">
        <f>INDEX(products!$A$1:$G$49,MATCH($F64,products!$A$1:$A$49,0),MATCH(K$1,products!$A$1:$G$1,0))</f>
        <v>Rob</v>
      </c>
      <c r="L64" t="str">
        <f>INDEX(products!$A$1:$G$49,MATCH($F64,products!$A$1:$A$49,0),MATCH(L$1,products!$A$1:$G$1,0))</f>
        <v>D</v>
      </c>
      <c r="M64" s="5">
        <f>INDEX(products!$A$1:$G$49,MATCH($F64,products!$A$1:$A$49,0),MATCH(M$1,products!$A$1:$G$1,0))</f>
        <v>0.5</v>
      </c>
      <c r="N64" s="7">
        <f>INDEX(products!$A$1:$G$49,MATCH($F64,products!$A$1:$A$49,0),MATCH(N$1,products!$A$1:$G$1,0))</f>
        <v>5.3699999999999992</v>
      </c>
      <c r="O64" s="7">
        <f t="shared" si="0"/>
        <v>32.22</v>
      </c>
      <c r="P64" t="str" cm="1">
        <f t="array" ref="P64">_xlfn.IFS(K64="Rob","Robusta",K64="Exc","Excelsa",K64="Ara","Arabica",K64="Lib","Liberica")</f>
        <v>Robusta</v>
      </c>
      <c r="Q64" t="str" cm="1">
        <f t="array" ref="Q64">_xlfn.IFS(L64="M","Medium",L64="L","Light",L64="D","Dark")</f>
        <v>Dark</v>
      </c>
      <c r="R64" t="str">
        <f>_xlfn.XLOOKUP(Orders[[#This Row],[Customer ID]],customers!$A$1:$A$1001,customers!$I$1:$I$1001)</f>
        <v>No</v>
      </c>
    </row>
    <row r="65" spans="1:18" x14ac:dyDescent="0.35">
      <c r="A65" s="2" t="s">
        <v>2004</v>
      </c>
      <c r="B65" s="4">
        <v>43790</v>
      </c>
      <c r="C65" s="23">
        <f>Orders[[#This Row],[Order Date]]</f>
        <v>43790</v>
      </c>
      <c r="D65" s="2">
        <f>YEAR(Orders[[#This Row],[Order Date]])</f>
        <v>2019</v>
      </c>
      <c r="E65" s="2" t="s">
        <v>1672</v>
      </c>
      <c r="F65" t="s">
        <v>6147</v>
      </c>
      <c r="G65" s="20">
        <v>2</v>
      </c>
      <c r="H65" s="2" t="str">
        <f>INDEX(customers!$A$1:$I$1001,MATCH($E65,customers!$A$1:$A$1001,),MATCH($H$1,customers!$A$1:$I$1,0))</f>
        <v>Anselma Attwater</v>
      </c>
      <c r="I65" s="2" t="str">
        <f>IF(INDEX(customers!$A$1:$I$1001,MATCH($E65,customers!$A$1:$A$1001,0),3)=0,"",INDEX(customers!$A$1:$I$1001,MATCH($E65,customers!$A$1:$A$1001,0),3))</f>
        <v>aattwater5u@wikia.com</v>
      </c>
      <c r="J65" s="2" t="str">
        <f>_xlfn.XLOOKUP(E65,customers!$A$1:$A$1001,customers!$G$1:$G$1001)</f>
        <v>United States</v>
      </c>
      <c r="K65" t="str">
        <f>INDEX(products!$A$1:$G$49,MATCH($F65,products!$A$1:$A$49,0),MATCH(K$1,products!$A$1:$G$1,0))</f>
        <v>Ara</v>
      </c>
      <c r="L65" t="str">
        <f>INDEX(products!$A$1:$G$49,MATCH($F65,products!$A$1:$A$49,0),MATCH(L$1,products!$A$1:$G$1,0))</f>
        <v>D</v>
      </c>
      <c r="M65" s="5">
        <f>INDEX(products!$A$1:$G$49,MATCH($F65,products!$A$1:$A$49,0),MATCH(M$1,products!$A$1:$G$1,0))</f>
        <v>1</v>
      </c>
      <c r="N65" s="7">
        <f>INDEX(products!$A$1:$G$49,MATCH($F65,products!$A$1:$A$49,0),MATCH(N$1,products!$A$1:$G$1,0))</f>
        <v>9.9499999999999993</v>
      </c>
      <c r="O65" s="7">
        <f t="shared" si="0"/>
        <v>19.899999999999999</v>
      </c>
      <c r="P65" t="str" cm="1">
        <f t="array" ref="P65">_xlfn.IFS(K65="Rob","Robusta",K65="Exc","Excelsa",K65="Ara","Arabica",K65="Lib","Liberica")</f>
        <v>Arabica</v>
      </c>
      <c r="Q65" t="str" cm="1">
        <f t="array" ref="Q65">_xlfn.IFS(L65="M","Medium",L65="L","Light",L65="D","Dark")</f>
        <v>Dark</v>
      </c>
      <c r="R65" t="str">
        <f>_xlfn.XLOOKUP(Orders[[#This Row],[Customer ID]],customers!$A$1:$A$1001,customers!$I$1:$I$1001)</f>
        <v>Yes</v>
      </c>
    </row>
    <row r="66" spans="1:18" x14ac:dyDescent="0.35">
      <c r="A66" s="2" t="s">
        <v>1671</v>
      </c>
      <c r="B66" s="4">
        <v>43766</v>
      </c>
      <c r="C66" s="23">
        <f>Orders[[#This Row],[Order Date]]</f>
        <v>43766</v>
      </c>
      <c r="D66" s="2">
        <f>YEAR(Orders[[#This Row],[Order Date]])</f>
        <v>2019</v>
      </c>
      <c r="E66" s="2" t="s">
        <v>1672</v>
      </c>
      <c r="F66" t="s">
        <v>6143</v>
      </c>
      <c r="G66" s="20">
        <v>4</v>
      </c>
      <c r="H66" s="2" t="str">
        <f>INDEX(customers!$A$1:$I$1001,MATCH($E66,customers!$A$1:$A$1001,),MATCH($H$1,customers!$A$1:$I$1,0))</f>
        <v>Anselma Attwater</v>
      </c>
      <c r="I66" s="2" t="str">
        <f>IF(INDEX(customers!$A$1:$I$1001,MATCH($E66,customers!$A$1:$A$1001,0),3)=0,"",INDEX(customers!$A$1:$I$1001,MATCH($E66,customers!$A$1:$A$1001,0),3))</f>
        <v>aattwater5u@wikia.com</v>
      </c>
      <c r="J66" s="2" t="str">
        <f>_xlfn.XLOOKUP(E66,customers!$A$1:$A$1001,customers!$G$1:$G$1001)</f>
        <v>United States</v>
      </c>
      <c r="K66" t="str">
        <f>INDEX(products!$A$1:$G$49,MATCH($F66,products!$A$1:$A$49,0),MATCH(K$1,products!$A$1:$G$1,0))</f>
        <v>Lib</v>
      </c>
      <c r="L66" t="str">
        <f>INDEX(products!$A$1:$G$49,MATCH($F66,products!$A$1:$A$49,0),MATCH(L$1,products!$A$1:$G$1,0))</f>
        <v>D</v>
      </c>
      <c r="M66" s="5">
        <f>INDEX(products!$A$1:$G$49,MATCH($F66,products!$A$1:$A$49,0),MATCH(M$1,products!$A$1:$G$1,0))</f>
        <v>1</v>
      </c>
      <c r="N66" s="7">
        <f>INDEX(products!$A$1:$G$49,MATCH($F66,products!$A$1:$A$49,0),MATCH(N$1,products!$A$1:$G$1,0))</f>
        <v>12.95</v>
      </c>
      <c r="O66" s="7">
        <f t="shared" ref="O66:O129" si="1">N66*G66</f>
        <v>51.8</v>
      </c>
      <c r="P66" t="str" cm="1">
        <f t="array" ref="P66">_xlfn.IFS(K66="Rob","Robusta",K66="Exc","Excelsa",K66="Ara","Arabica",K66="Lib","Liberica")</f>
        <v>Liberica</v>
      </c>
      <c r="Q66" t="str" cm="1">
        <f t="array" ref="Q66">_xlfn.IFS(L66="M","Medium",L66="L","Light",L66="D","Dark")</f>
        <v>Dark</v>
      </c>
      <c r="R66" t="str">
        <f>_xlfn.XLOOKUP(Orders[[#This Row],[Customer ID]],customers!$A$1:$A$1001,customers!$I$1:$I$1001)</f>
        <v>Yes</v>
      </c>
    </row>
    <row r="67" spans="1:18" x14ac:dyDescent="0.35">
      <c r="A67" s="2" t="s">
        <v>2699</v>
      </c>
      <c r="B67" s="4">
        <v>44445</v>
      </c>
      <c r="C67" s="23">
        <f>Orders[[#This Row],[Order Date]]</f>
        <v>44445</v>
      </c>
      <c r="D67" s="2">
        <f>YEAR(Orders[[#This Row],[Order Date]])</f>
        <v>2021</v>
      </c>
      <c r="E67" s="2" t="s">
        <v>2700</v>
      </c>
      <c r="F67" t="s">
        <v>6171</v>
      </c>
      <c r="G67" s="20">
        <v>6</v>
      </c>
      <c r="H67" s="2" t="str">
        <f>INDEX(customers!$A$1:$I$1001,MATCH($E67,customers!$A$1:$A$1001,),MATCH($H$1,customers!$A$1:$I$1,0))</f>
        <v>Anson Iddison</v>
      </c>
      <c r="I67" s="2" t="str">
        <f>IF(INDEX(customers!$A$1:$I$1001,MATCH($E67,customers!$A$1:$A$1001,0),3)=0,"",INDEX(customers!$A$1:$I$1001,MATCH($E67,customers!$A$1:$A$1001,0),3))</f>
        <v>aiddisonaw@usa.gov</v>
      </c>
      <c r="J67" s="2" t="str">
        <f>_xlfn.XLOOKUP(E67,customers!$A$1:$A$1001,customers!$G$1:$G$1001)</f>
        <v>United States</v>
      </c>
      <c r="K67" t="str">
        <f>INDEX(products!$A$1:$G$49,MATCH($F67,products!$A$1:$A$49,0),MATCH(K$1,products!$A$1:$G$1,0))</f>
        <v>Exc</v>
      </c>
      <c r="L67" t="str">
        <f>INDEX(products!$A$1:$G$49,MATCH($F67,products!$A$1:$A$49,0),MATCH(L$1,products!$A$1:$G$1,0))</f>
        <v>L</v>
      </c>
      <c r="M67" s="5">
        <f>INDEX(products!$A$1:$G$49,MATCH($F67,products!$A$1:$A$49,0),MATCH(M$1,products!$A$1:$G$1,0))</f>
        <v>1</v>
      </c>
      <c r="N67" s="7">
        <f>INDEX(products!$A$1:$G$49,MATCH($F67,products!$A$1:$A$49,0),MATCH(N$1,products!$A$1:$G$1,0))</f>
        <v>14.85</v>
      </c>
      <c r="O67" s="7">
        <f t="shared" si="1"/>
        <v>89.1</v>
      </c>
      <c r="P67" t="str" cm="1">
        <f t="array" ref="P67">_xlfn.IFS(K67="Rob","Robusta",K67="Exc","Excelsa",K67="Ara","Arabica",K67="Lib","Liberica")</f>
        <v>Excelsa</v>
      </c>
      <c r="Q67" t="str" cm="1">
        <f t="array" ref="Q67">_xlfn.IFS(L67="M","Medium",L67="L","Light",L67="D","Dark")</f>
        <v>Light</v>
      </c>
      <c r="R67" t="str">
        <f>_xlfn.XLOOKUP(Orders[[#This Row],[Customer ID]],customers!$A$1:$A$1001,customers!$I$1:$I$1001)</f>
        <v>No</v>
      </c>
    </row>
    <row r="68" spans="1:18" x14ac:dyDescent="0.35">
      <c r="A68" s="2" t="s">
        <v>2699</v>
      </c>
      <c r="B68" s="4">
        <v>44445</v>
      </c>
      <c r="C68" s="23">
        <f>Orders[[#This Row],[Order Date]]</f>
        <v>44445</v>
      </c>
      <c r="D68" s="2">
        <f>YEAR(Orders[[#This Row],[Order Date]])</f>
        <v>2021</v>
      </c>
      <c r="E68" s="2" t="s">
        <v>2700</v>
      </c>
      <c r="F68" t="s">
        <v>6167</v>
      </c>
      <c r="G68" s="20">
        <v>1</v>
      </c>
      <c r="H68" s="2" t="str">
        <f>INDEX(customers!$A$1:$I$1001,MATCH($E68,customers!$A$1:$A$1001,),MATCH($H$1,customers!$A$1:$I$1,0))</f>
        <v>Anson Iddison</v>
      </c>
      <c r="I68" s="2" t="str">
        <f>IF(INDEX(customers!$A$1:$I$1001,MATCH($E68,customers!$A$1:$A$1001,0),3)=0,"",INDEX(customers!$A$1:$I$1001,MATCH($E68,customers!$A$1:$A$1001,0),3))</f>
        <v>aiddisonaw@usa.gov</v>
      </c>
      <c r="J68" s="2" t="str">
        <f>_xlfn.XLOOKUP(E68,customers!$A$1:$A$1001,customers!$G$1:$G$1001)</f>
        <v>United States</v>
      </c>
      <c r="K68" t="str">
        <f>INDEX(products!$A$1:$G$49,MATCH($F68,products!$A$1:$A$49,0),MATCH(K$1,products!$A$1:$G$1,0))</f>
        <v>Ara</v>
      </c>
      <c r="L68" t="str">
        <f>INDEX(products!$A$1:$G$49,MATCH($F68,products!$A$1:$A$49,0),MATCH(L$1,products!$A$1:$G$1,0))</f>
        <v>L</v>
      </c>
      <c r="M68" s="5">
        <f>INDEX(products!$A$1:$G$49,MATCH($F68,products!$A$1:$A$49,0),MATCH(M$1,products!$A$1:$G$1,0))</f>
        <v>0.2</v>
      </c>
      <c r="N68" s="7">
        <f>INDEX(products!$A$1:$G$49,MATCH($F68,products!$A$1:$A$49,0),MATCH(N$1,products!$A$1:$G$1,0))</f>
        <v>3.8849999999999998</v>
      </c>
      <c r="O68" s="7">
        <f t="shared" si="1"/>
        <v>3.8849999999999998</v>
      </c>
      <c r="P68" t="str" cm="1">
        <f t="array" ref="P68">_xlfn.IFS(K68="Rob","Robusta",K68="Exc","Excelsa",K68="Ara","Arabica",K68="Lib","Liberica")</f>
        <v>Arabica</v>
      </c>
      <c r="Q68" t="str" cm="1">
        <f t="array" ref="Q68">_xlfn.IFS(L68="M","Medium",L68="L","Light",L68="D","Dark")</f>
        <v>Light</v>
      </c>
      <c r="R68" t="str">
        <f>_xlfn.XLOOKUP(Orders[[#This Row],[Customer ID]],customers!$A$1:$A$1001,customers!$I$1:$I$1001)</f>
        <v>No</v>
      </c>
    </row>
    <row r="69" spans="1:18" x14ac:dyDescent="0.35">
      <c r="A69" s="2" t="s">
        <v>3021</v>
      </c>
      <c r="B69" s="4">
        <v>44336</v>
      </c>
      <c r="C69" s="23">
        <f>Orders[[#This Row],[Order Date]]</f>
        <v>44336</v>
      </c>
      <c r="D69" s="2">
        <f>YEAR(Orders[[#This Row],[Order Date]])</f>
        <v>2021</v>
      </c>
      <c r="E69" s="2" t="s">
        <v>3022</v>
      </c>
      <c r="F69" t="s">
        <v>6163</v>
      </c>
      <c r="G69" s="20">
        <v>2</v>
      </c>
      <c r="H69" s="2" t="str">
        <f>INDEX(customers!$A$1:$I$1001,MATCH($E69,customers!$A$1:$A$1001,),MATCH($H$1,customers!$A$1:$I$1,0))</f>
        <v>Antone Harrold</v>
      </c>
      <c r="I69" s="2" t="str">
        <f>IF(INDEX(customers!$A$1:$I$1001,MATCH($E69,customers!$A$1:$A$1001,0),3)=0,"",INDEX(customers!$A$1:$I$1001,MATCH($E69,customers!$A$1:$A$1001,0),3))</f>
        <v>aharroldch@miibeian.gov.cn</v>
      </c>
      <c r="J69" s="2" t="str">
        <f>_xlfn.XLOOKUP(E69,customers!$A$1:$A$1001,customers!$G$1:$G$1001)</f>
        <v>United States</v>
      </c>
      <c r="K69" t="str">
        <f>INDEX(products!$A$1:$G$49,MATCH($F69,products!$A$1:$A$49,0),MATCH(K$1,products!$A$1:$G$1,0))</f>
        <v>Rob</v>
      </c>
      <c r="L69" t="str">
        <f>INDEX(products!$A$1:$G$49,MATCH($F69,products!$A$1:$A$49,0),MATCH(L$1,products!$A$1:$G$1,0))</f>
        <v>D</v>
      </c>
      <c r="M69" s="5">
        <f>INDEX(products!$A$1:$G$49,MATCH($F69,products!$A$1:$A$49,0),MATCH(M$1,products!$A$1:$G$1,0))</f>
        <v>0.2</v>
      </c>
      <c r="N69" s="7">
        <f>INDEX(products!$A$1:$G$49,MATCH($F69,products!$A$1:$A$49,0),MATCH(N$1,products!$A$1:$G$1,0))</f>
        <v>2.6849999999999996</v>
      </c>
      <c r="O69" s="7">
        <f t="shared" si="1"/>
        <v>5.3699999999999992</v>
      </c>
      <c r="P69" t="str" cm="1">
        <f t="array" ref="P69">_xlfn.IFS(K69="Rob","Robusta",K69="Exc","Excelsa",K69="Ara","Arabica",K69="Lib","Liberica")</f>
        <v>Robusta</v>
      </c>
      <c r="Q69" t="str" cm="1">
        <f t="array" ref="Q69">_xlfn.IFS(L69="M","Medium",L69="L","Light",L69="D","Dark")</f>
        <v>Dark</v>
      </c>
      <c r="R69" t="str">
        <f>_xlfn.XLOOKUP(Orders[[#This Row],[Customer ID]],customers!$A$1:$A$1001,customers!$I$1:$I$1001)</f>
        <v>No</v>
      </c>
    </row>
    <row r="70" spans="1:18" x14ac:dyDescent="0.35">
      <c r="A70" s="2" t="s">
        <v>5660</v>
      </c>
      <c r="B70" s="4">
        <v>44640</v>
      </c>
      <c r="C70" s="23">
        <f>Orders[[#This Row],[Order Date]]</f>
        <v>44640</v>
      </c>
      <c r="D70" s="2">
        <f>YEAR(Orders[[#This Row],[Order Date]])</f>
        <v>2022</v>
      </c>
      <c r="E70" s="2" t="s">
        <v>5661</v>
      </c>
      <c r="F70" t="s">
        <v>6155</v>
      </c>
      <c r="G70" s="20">
        <v>4</v>
      </c>
      <c r="H70" s="2" t="str">
        <f>INDEX(customers!$A$1:$I$1001,MATCH($E70,customers!$A$1:$A$1001,),MATCH($H$1,customers!$A$1:$I$1,0))</f>
        <v>Antonius Lewry</v>
      </c>
      <c r="I70" s="2" t="str">
        <f>IF(INDEX(customers!$A$1:$I$1001,MATCH($E70,customers!$A$1:$A$1001,0),3)=0,"",INDEX(customers!$A$1:$I$1001,MATCH($E70,customers!$A$1:$A$1001,0),3))</f>
        <v>alewrype@whitehouse.gov</v>
      </c>
      <c r="J70" s="2" t="str">
        <f>_xlfn.XLOOKUP(E70,customers!$A$1:$A$1001,customers!$G$1:$G$1001)</f>
        <v>United States</v>
      </c>
      <c r="K70" t="str">
        <f>INDEX(products!$A$1:$G$49,MATCH($F70,products!$A$1:$A$49,0),MATCH(K$1,products!$A$1:$G$1,0))</f>
        <v>Ara</v>
      </c>
      <c r="L70" t="str">
        <f>INDEX(products!$A$1:$G$49,MATCH($F70,products!$A$1:$A$49,0),MATCH(L$1,products!$A$1:$G$1,0))</f>
        <v>M</v>
      </c>
      <c r="M70" s="5">
        <f>INDEX(products!$A$1:$G$49,MATCH($F70,products!$A$1:$A$49,0),MATCH(M$1,products!$A$1:$G$1,0))</f>
        <v>1</v>
      </c>
      <c r="N70" s="7">
        <f>INDEX(products!$A$1:$G$49,MATCH($F70,products!$A$1:$A$49,0),MATCH(N$1,products!$A$1:$G$1,0))</f>
        <v>11.25</v>
      </c>
      <c r="O70" s="7">
        <f t="shared" si="1"/>
        <v>45</v>
      </c>
      <c r="P70" t="str" cm="1">
        <f t="array" ref="P70">_xlfn.IFS(K70="Rob","Robusta",K70="Exc","Excelsa",K70="Ara","Arabica",K70="Lib","Liberica")</f>
        <v>Arabica</v>
      </c>
      <c r="Q70" t="str" cm="1">
        <f t="array" ref="Q70">_xlfn.IFS(L70="M","Medium",L70="L","Light",L70="D","Dark")</f>
        <v>Medium</v>
      </c>
      <c r="R70" t="str">
        <f>_xlfn.XLOOKUP(Orders[[#This Row],[Customer ID]],customers!$A$1:$A$1001,customers!$I$1:$I$1001)</f>
        <v>No</v>
      </c>
    </row>
    <row r="71" spans="1:18" x14ac:dyDescent="0.35">
      <c r="A71" s="2" t="s">
        <v>1980</v>
      </c>
      <c r="B71" s="4">
        <v>44683</v>
      </c>
      <c r="C71" s="23">
        <f>Orders[[#This Row],[Order Date]]</f>
        <v>44683</v>
      </c>
      <c r="D71" s="2">
        <f>YEAR(Orders[[#This Row],[Order Date]])</f>
        <v>2022</v>
      </c>
      <c r="E71" s="2" t="s">
        <v>1981</v>
      </c>
      <c r="F71" t="s">
        <v>6179</v>
      </c>
      <c r="G71" s="20">
        <v>5</v>
      </c>
      <c r="H71" s="2" t="str">
        <f>INDEX(customers!$A$1:$I$1001,MATCH($E71,customers!$A$1:$A$1001,),MATCH($H$1,customers!$A$1:$I$1,0))</f>
        <v>Arabella Fransewich</v>
      </c>
      <c r="I71" s="2" t="str">
        <f>IF(INDEX(customers!$A$1:$I$1001,MATCH($E71,customers!$A$1:$A$1001,0),3)=0,"",INDEX(customers!$A$1:$I$1001,MATCH($E71,customers!$A$1:$A$1001,0),3))</f>
        <v/>
      </c>
      <c r="J71" s="2" t="str">
        <f>_xlfn.XLOOKUP(E71,customers!$A$1:$A$1001,customers!$G$1:$G$1001)</f>
        <v>Ireland</v>
      </c>
      <c r="K71" t="str">
        <f>INDEX(products!$A$1:$G$49,MATCH($F71,products!$A$1:$A$49,0),MATCH(K$1,products!$A$1:$G$1,0))</f>
        <v>Rob</v>
      </c>
      <c r="L71" t="str">
        <f>INDEX(products!$A$1:$G$49,MATCH($F71,products!$A$1:$A$49,0),MATCH(L$1,products!$A$1:$G$1,0))</f>
        <v>L</v>
      </c>
      <c r="M71" s="5">
        <f>INDEX(products!$A$1:$G$49,MATCH($F71,products!$A$1:$A$49,0),MATCH(M$1,products!$A$1:$G$1,0))</f>
        <v>1</v>
      </c>
      <c r="N71" s="7">
        <f>INDEX(products!$A$1:$G$49,MATCH($F71,products!$A$1:$A$49,0),MATCH(N$1,products!$A$1:$G$1,0))</f>
        <v>11.95</v>
      </c>
      <c r="O71" s="7">
        <f t="shared" si="1"/>
        <v>59.75</v>
      </c>
      <c r="P71" t="str" cm="1">
        <f t="array" ref="P71">_xlfn.IFS(K71="Rob","Robusta",K71="Exc","Excelsa",K71="Ara","Arabica",K71="Lib","Liberica")</f>
        <v>Robusta</v>
      </c>
      <c r="Q71" t="str" cm="1">
        <f t="array" ref="Q71">_xlfn.IFS(L71="M","Medium",L71="L","Light",L71="D","Dark")</f>
        <v>Light</v>
      </c>
      <c r="R71" t="str">
        <f>_xlfn.XLOOKUP(Orders[[#This Row],[Customer ID]],customers!$A$1:$A$1001,customers!$I$1:$I$1001)</f>
        <v>Yes</v>
      </c>
    </row>
    <row r="72" spans="1:18" x14ac:dyDescent="0.35">
      <c r="A72" s="2" t="s">
        <v>3088</v>
      </c>
      <c r="B72" s="4">
        <v>43602</v>
      </c>
      <c r="C72" s="23">
        <f>Orders[[#This Row],[Order Date]]</f>
        <v>43602</v>
      </c>
      <c r="D72" s="2">
        <f>YEAR(Orders[[#This Row],[Order Date]])</f>
        <v>2019</v>
      </c>
      <c r="E72" s="2" t="s">
        <v>3089</v>
      </c>
      <c r="F72" t="s">
        <v>6172</v>
      </c>
      <c r="G72" s="20">
        <v>3</v>
      </c>
      <c r="H72" s="2" t="str">
        <f>INDEX(customers!$A$1:$I$1001,MATCH($E72,customers!$A$1:$A$1001,),MATCH($H$1,customers!$A$1:$I$1,0))</f>
        <v>Araldo Bilbrook</v>
      </c>
      <c r="I72" s="2" t="str">
        <f>IF(INDEX(customers!$A$1:$I$1001,MATCH($E72,customers!$A$1:$A$1001,0),3)=0,"",INDEX(customers!$A$1:$I$1001,MATCH($E72,customers!$A$1:$A$1001,0),3))</f>
        <v>abilbrookcs@booking.com</v>
      </c>
      <c r="J72" s="2" t="str">
        <f>_xlfn.XLOOKUP(E72,customers!$A$1:$A$1001,customers!$G$1:$G$1001)</f>
        <v>Ireland</v>
      </c>
      <c r="K72" t="str">
        <f>INDEX(products!$A$1:$G$49,MATCH($F72,products!$A$1:$A$49,0),MATCH(K$1,products!$A$1:$G$1,0))</f>
        <v>Rob</v>
      </c>
      <c r="L72" t="str">
        <f>INDEX(products!$A$1:$G$49,MATCH($F72,products!$A$1:$A$49,0),MATCH(L$1,products!$A$1:$G$1,0))</f>
        <v>D</v>
      </c>
      <c r="M72" s="5">
        <f>INDEX(products!$A$1:$G$49,MATCH($F72,products!$A$1:$A$49,0),MATCH(M$1,products!$A$1:$G$1,0))</f>
        <v>0.5</v>
      </c>
      <c r="N72" s="7">
        <f>INDEX(products!$A$1:$G$49,MATCH($F72,products!$A$1:$A$49,0),MATCH(N$1,products!$A$1:$G$1,0))</f>
        <v>5.3699999999999992</v>
      </c>
      <c r="O72" s="7">
        <f t="shared" si="1"/>
        <v>16.11</v>
      </c>
      <c r="P72" t="str" cm="1">
        <f t="array" ref="P72">_xlfn.IFS(K72="Rob","Robusta",K72="Exc","Excelsa",K72="Ara","Arabica",K72="Lib","Liberica")</f>
        <v>Robusta</v>
      </c>
      <c r="Q72" t="str" cm="1">
        <f t="array" ref="Q72">_xlfn.IFS(L72="M","Medium",L72="L","Light",L72="D","Dark")</f>
        <v>Dark</v>
      </c>
      <c r="R72" t="str">
        <f>_xlfn.XLOOKUP(Orders[[#This Row],[Customer ID]],customers!$A$1:$A$1001,customers!$I$1:$I$1001)</f>
        <v>Yes</v>
      </c>
    </row>
    <row r="73" spans="1:18" x14ac:dyDescent="0.35">
      <c r="A73" s="2" t="s">
        <v>794</v>
      </c>
      <c r="B73" s="4">
        <v>44271</v>
      </c>
      <c r="C73" s="23">
        <f>Orders[[#This Row],[Order Date]]</f>
        <v>44271</v>
      </c>
      <c r="D73" s="2">
        <f>YEAR(Orders[[#This Row],[Order Date]])</f>
        <v>2021</v>
      </c>
      <c r="E73" s="2" t="s">
        <v>795</v>
      </c>
      <c r="F73" t="s">
        <v>6162</v>
      </c>
      <c r="G73" s="20">
        <v>5</v>
      </c>
      <c r="H73" s="2" t="str">
        <f>INDEX(customers!$A$1:$I$1001,MATCH($E73,customers!$A$1:$A$1001,),MATCH($H$1,customers!$A$1:$I$1,0))</f>
        <v>Archambault Gillard</v>
      </c>
      <c r="I73" s="2" t="str">
        <f>IF(INDEX(customers!$A$1:$I$1001,MATCH($E73,customers!$A$1:$A$1001,0),3)=0,"",INDEX(customers!$A$1:$I$1001,MATCH($E73,customers!$A$1:$A$1001,0),3))</f>
        <v>agillard1i@issuu.com</v>
      </c>
      <c r="J73" s="2" t="str">
        <f>_xlfn.XLOOKUP(E73,customers!$A$1:$A$1001,customers!$G$1:$G$1001)</f>
        <v>United States</v>
      </c>
      <c r="K73" t="str">
        <f>INDEX(products!$A$1:$G$49,MATCH($F73,products!$A$1:$A$49,0),MATCH(K$1,products!$A$1:$G$1,0))</f>
        <v>Lib</v>
      </c>
      <c r="L73" t="str">
        <f>INDEX(products!$A$1:$G$49,MATCH($F73,products!$A$1:$A$49,0),MATCH(L$1,products!$A$1:$G$1,0))</f>
        <v>M</v>
      </c>
      <c r="M73" s="5">
        <f>INDEX(products!$A$1:$G$49,MATCH($F73,products!$A$1:$A$49,0),MATCH(M$1,products!$A$1:$G$1,0))</f>
        <v>1</v>
      </c>
      <c r="N73" s="7">
        <f>INDEX(products!$A$1:$G$49,MATCH($F73,products!$A$1:$A$49,0),MATCH(N$1,products!$A$1:$G$1,0))</f>
        <v>14.55</v>
      </c>
      <c r="O73" s="7">
        <f t="shared" si="1"/>
        <v>72.75</v>
      </c>
      <c r="P73" t="str" cm="1">
        <f t="array" ref="P73">_xlfn.IFS(K73="Rob","Robusta",K73="Exc","Excelsa",K73="Ara","Arabica",K73="Lib","Liberica")</f>
        <v>Liberica</v>
      </c>
      <c r="Q73" t="str" cm="1">
        <f t="array" ref="Q73">_xlfn.IFS(L73="M","Medium",L73="L","Light",L73="D","Dark")</f>
        <v>Medium</v>
      </c>
      <c r="R73" t="str">
        <f>_xlfn.XLOOKUP(Orders[[#This Row],[Customer ID]],customers!$A$1:$A$1001,customers!$I$1:$I$1001)</f>
        <v>No</v>
      </c>
    </row>
    <row r="74" spans="1:18" x14ac:dyDescent="0.35">
      <c r="A74" s="2" t="s">
        <v>755</v>
      </c>
      <c r="B74" s="4">
        <v>43644</v>
      </c>
      <c r="C74" s="23">
        <f>Orders[[#This Row],[Order Date]]</f>
        <v>43644</v>
      </c>
      <c r="D74" s="2">
        <f>YEAR(Orders[[#This Row],[Order Date]])</f>
        <v>2019</v>
      </c>
      <c r="E74" s="2" t="s">
        <v>756</v>
      </c>
      <c r="F74" t="s">
        <v>6167</v>
      </c>
      <c r="G74" s="20">
        <v>2</v>
      </c>
      <c r="H74" s="2" t="str">
        <f>INDEX(customers!$A$1:$I$1001,MATCH($E74,customers!$A$1:$A$1001,),MATCH($H$1,customers!$A$1:$I$1,0))</f>
        <v>Arda Curley</v>
      </c>
      <c r="I74" s="2" t="str">
        <f>IF(INDEX(customers!$A$1:$I$1001,MATCH($E74,customers!$A$1:$A$1001,0),3)=0,"",INDEX(customers!$A$1:$I$1001,MATCH($E74,customers!$A$1:$A$1001,0),3))</f>
        <v>acurley1b@hao123.com</v>
      </c>
      <c r="J74" s="2" t="str">
        <f>_xlfn.XLOOKUP(E74,customers!$A$1:$A$1001,customers!$G$1:$G$1001)</f>
        <v>United States</v>
      </c>
      <c r="K74" t="str">
        <f>INDEX(products!$A$1:$G$49,MATCH($F74,products!$A$1:$A$49,0),MATCH(K$1,products!$A$1:$G$1,0))</f>
        <v>Ara</v>
      </c>
      <c r="L74" t="str">
        <f>INDEX(products!$A$1:$G$49,MATCH($F74,products!$A$1:$A$49,0),MATCH(L$1,products!$A$1:$G$1,0))</f>
        <v>L</v>
      </c>
      <c r="M74" s="5">
        <f>INDEX(products!$A$1:$G$49,MATCH($F74,products!$A$1:$A$49,0),MATCH(M$1,products!$A$1:$G$1,0))</f>
        <v>0.2</v>
      </c>
      <c r="N74" s="7">
        <f>INDEX(products!$A$1:$G$49,MATCH($F74,products!$A$1:$A$49,0),MATCH(N$1,products!$A$1:$G$1,0))</f>
        <v>3.8849999999999998</v>
      </c>
      <c r="O74" s="7">
        <f t="shared" si="1"/>
        <v>7.77</v>
      </c>
      <c r="P74" t="str" cm="1">
        <f t="array" ref="P74">_xlfn.IFS(K74="Rob","Robusta",K74="Exc","Excelsa",K74="Ara","Arabica",K74="Lib","Liberica")</f>
        <v>Arabica</v>
      </c>
      <c r="Q74" t="str" cm="1">
        <f t="array" ref="Q74">_xlfn.IFS(L74="M","Medium",L74="L","Light",L74="D","Dark")</f>
        <v>Light</v>
      </c>
      <c r="R74" t="str">
        <f>_xlfn.XLOOKUP(Orders[[#This Row],[Customer ID]],customers!$A$1:$A$1001,customers!$I$1:$I$1001)</f>
        <v>Yes</v>
      </c>
    </row>
    <row r="75" spans="1:18" x14ac:dyDescent="0.35">
      <c r="A75" s="2" t="s">
        <v>4145</v>
      </c>
      <c r="B75" s="4">
        <v>44502</v>
      </c>
      <c r="C75" s="23">
        <f>Orders[[#This Row],[Order Date]]</f>
        <v>44502</v>
      </c>
      <c r="D75" s="2">
        <f>YEAR(Orders[[#This Row],[Order Date]])</f>
        <v>2021</v>
      </c>
      <c r="E75" s="2" t="s">
        <v>4146</v>
      </c>
      <c r="F75" t="s">
        <v>6161</v>
      </c>
      <c r="G75" s="20">
        <v>3</v>
      </c>
      <c r="H75" s="2" t="str">
        <f>INDEX(customers!$A$1:$I$1001,MATCH($E75,customers!$A$1:$A$1001,),MATCH($H$1,customers!$A$1:$I$1,0))</f>
        <v>Ardith Chill</v>
      </c>
      <c r="I75" s="2" t="str">
        <f>IF(INDEX(customers!$A$1:$I$1001,MATCH($E75,customers!$A$1:$A$1001,0),3)=0,"",INDEX(customers!$A$1:$I$1001,MATCH($E75,customers!$A$1:$A$1001,0),3))</f>
        <v>achillhz@epa.gov</v>
      </c>
      <c r="J75" s="2" t="str">
        <f>_xlfn.XLOOKUP(E75,customers!$A$1:$A$1001,customers!$G$1:$G$1001)</f>
        <v>United Kingdom</v>
      </c>
      <c r="K75" t="str">
        <f>INDEX(products!$A$1:$G$49,MATCH($F75,products!$A$1:$A$49,0),MATCH(K$1,products!$A$1:$G$1,0))</f>
        <v>Lib</v>
      </c>
      <c r="L75" t="str">
        <f>INDEX(products!$A$1:$G$49,MATCH($F75,products!$A$1:$A$49,0),MATCH(L$1,products!$A$1:$G$1,0))</f>
        <v>L</v>
      </c>
      <c r="M75" s="5">
        <f>INDEX(products!$A$1:$G$49,MATCH($F75,products!$A$1:$A$49,0),MATCH(M$1,products!$A$1:$G$1,0))</f>
        <v>0.5</v>
      </c>
      <c r="N75" s="7">
        <f>INDEX(products!$A$1:$G$49,MATCH($F75,products!$A$1:$A$49,0),MATCH(N$1,products!$A$1:$G$1,0))</f>
        <v>9.51</v>
      </c>
      <c r="O75" s="7">
        <f t="shared" si="1"/>
        <v>28.53</v>
      </c>
      <c r="P75" t="str" cm="1">
        <f t="array" ref="P75">_xlfn.IFS(K75="Rob","Robusta",K75="Exc","Excelsa",K75="Ara","Arabica",K75="Lib","Liberica")</f>
        <v>Liberica</v>
      </c>
      <c r="Q75" t="str" cm="1">
        <f t="array" ref="Q75">_xlfn.IFS(L75="M","Medium",L75="L","Light",L75="D","Dark")</f>
        <v>Light</v>
      </c>
      <c r="R75" t="str">
        <f>_xlfn.XLOOKUP(Orders[[#This Row],[Customer ID]],customers!$A$1:$A$1001,customers!$I$1:$I$1001)</f>
        <v>Yes</v>
      </c>
    </row>
    <row r="76" spans="1:18" x14ac:dyDescent="0.35">
      <c r="A76" s="2" t="s">
        <v>2181</v>
      </c>
      <c r="B76" s="4">
        <v>44646</v>
      </c>
      <c r="C76" s="23">
        <f>Orders[[#This Row],[Order Date]]</f>
        <v>44646</v>
      </c>
      <c r="D76" s="2">
        <f>YEAR(Orders[[#This Row],[Order Date]])</f>
        <v>2022</v>
      </c>
      <c r="E76" s="2" t="s">
        <v>2182</v>
      </c>
      <c r="F76" t="s">
        <v>6140</v>
      </c>
      <c r="G76" s="20">
        <v>3</v>
      </c>
      <c r="H76" s="2" t="str">
        <f>INDEX(customers!$A$1:$I$1001,MATCH($E76,customers!$A$1:$A$1001,),MATCH($H$1,customers!$A$1:$I$1,0))</f>
        <v>Arel De Lasci</v>
      </c>
      <c r="I76" s="2" t="str">
        <f>IF(INDEX(customers!$A$1:$I$1001,MATCH($E76,customers!$A$1:$A$1001,0),3)=0,"",INDEX(customers!$A$1:$I$1001,MATCH($E76,customers!$A$1:$A$1001,0),3))</f>
        <v>ade8c@1und1.de</v>
      </c>
      <c r="J76" s="2" t="str">
        <f>_xlfn.XLOOKUP(E76,customers!$A$1:$A$1001,customers!$G$1:$G$1001)</f>
        <v>United States</v>
      </c>
      <c r="K76" t="str">
        <f>INDEX(products!$A$1:$G$49,MATCH($F76,products!$A$1:$A$49,0),MATCH(K$1,products!$A$1:$G$1,0))</f>
        <v>Ara</v>
      </c>
      <c r="L76" t="str">
        <f>INDEX(products!$A$1:$G$49,MATCH($F76,products!$A$1:$A$49,0),MATCH(L$1,products!$A$1:$G$1,0))</f>
        <v>L</v>
      </c>
      <c r="M76" s="5">
        <f>INDEX(products!$A$1:$G$49,MATCH($F76,products!$A$1:$A$49,0),MATCH(M$1,products!$A$1:$G$1,0))</f>
        <v>1</v>
      </c>
      <c r="N76" s="7">
        <f>INDEX(products!$A$1:$G$49,MATCH($F76,products!$A$1:$A$49,0),MATCH(N$1,products!$A$1:$G$1,0))</f>
        <v>12.95</v>
      </c>
      <c r="O76" s="7">
        <f t="shared" si="1"/>
        <v>38.849999999999994</v>
      </c>
      <c r="P76" t="str" cm="1">
        <f t="array" ref="P76">_xlfn.IFS(K76="Rob","Robusta",K76="Exc","Excelsa",K76="Ara","Arabica",K76="Lib","Liberica")</f>
        <v>Arabica</v>
      </c>
      <c r="Q76" t="str" cm="1">
        <f t="array" ref="Q76">_xlfn.IFS(L76="M","Medium",L76="L","Light",L76="D","Dark")</f>
        <v>Light</v>
      </c>
      <c r="R76" t="str">
        <f>_xlfn.XLOOKUP(Orders[[#This Row],[Customer ID]],customers!$A$1:$A$1001,customers!$I$1:$I$1001)</f>
        <v>Yes</v>
      </c>
    </row>
    <row r="77" spans="1:18" x14ac:dyDescent="0.35">
      <c r="A77" s="2" t="s">
        <v>4787</v>
      </c>
      <c r="B77" s="4">
        <v>44189</v>
      </c>
      <c r="C77" s="23">
        <f>Orders[[#This Row],[Order Date]]</f>
        <v>44189</v>
      </c>
      <c r="D77" s="2">
        <f>YEAR(Orders[[#This Row],[Order Date]])</f>
        <v>2020</v>
      </c>
      <c r="E77" s="2" t="s">
        <v>4788</v>
      </c>
      <c r="F77" t="s">
        <v>6176</v>
      </c>
      <c r="G77" s="20">
        <v>5</v>
      </c>
      <c r="H77" s="2" t="str">
        <f>INDEX(customers!$A$1:$I$1001,MATCH($E77,customers!$A$1:$A$1001,),MATCH($H$1,customers!$A$1:$I$1,0))</f>
        <v>Arlana Ferrea</v>
      </c>
      <c r="I77" s="2" t="str">
        <f>IF(INDEX(customers!$A$1:$I$1001,MATCH($E77,customers!$A$1:$A$1001,0),3)=0,"",INDEX(customers!$A$1:$I$1001,MATCH($E77,customers!$A$1:$A$1001,0),3))</f>
        <v>aferreal4@wikia.com</v>
      </c>
      <c r="J77" s="2" t="str">
        <f>_xlfn.XLOOKUP(E77,customers!$A$1:$A$1001,customers!$G$1:$G$1001)</f>
        <v>United States</v>
      </c>
      <c r="K77" t="str">
        <f>INDEX(products!$A$1:$G$49,MATCH($F77,products!$A$1:$A$49,0),MATCH(K$1,products!$A$1:$G$1,0))</f>
        <v>Exc</v>
      </c>
      <c r="L77" t="str">
        <f>INDEX(products!$A$1:$G$49,MATCH($F77,products!$A$1:$A$49,0),MATCH(L$1,products!$A$1:$G$1,0))</f>
        <v>L</v>
      </c>
      <c r="M77" s="5">
        <f>INDEX(products!$A$1:$G$49,MATCH($F77,products!$A$1:$A$49,0),MATCH(M$1,products!$A$1:$G$1,0))</f>
        <v>0.5</v>
      </c>
      <c r="N77" s="7">
        <f>INDEX(products!$A$1:$G$49,MATCH($F77,products!$A$1:$A$49,0),MATCH(N$1,products!$A$1:$G$1,0))</f>
        <v>8.91</v>
      </c>
      <c r="O77" s="7">
        <f t="shared" si="1"/>
        <v>44.55</v>
      </c>
      <c r="P77" t="str" cm="1">
        <f t="array" ref="P77">_xlfn.IFS(K77="Rob","Robusta",K77="Exc","Excelsa",K77="Ara","Arabica",K77="Lib","Liberica")</f>
        <v>Excelsa</v>
      </c>
      <c r="Q77" t="str" cm="1">
        <f t="array" ref="Q77">_xlfn.IFS(L77="M","Medium",L77="L","Light",L77="D","Dark")</f>
        <v>Light</v>
      </c>
      <c r="R77" t="str">
        <f>_xlfn.XLOOKUP(Orders[[#This Row],[Customer ID]],customers!$A$1:$A$1001,customers!$I$1:$I$1001)</f>
        <v>No</v>
      </c>
    </row>
    <row r="78" spans="1:18" x14ac:dyDescent="0.35">
      <c r="A78" s="2" t="s">
        <v>3010</v>
      </c>
      <c r="B78" s="4">
        <v>43908</v>
      </c>
      <c r="C78" s="23">
        <f>Orders[[#This Row],[Order Date]]</f>
        <v>43908</v>
      </c>
      <c r="D78" s="2">
        <f>YEAR(Orders[[#This Row],[Order Date]])</f>
        <v>2020</v>
      </c>
      <c r="E78" s="2" t="s">
        <v>3011</v>
      </c>
      <c r="F78" t="s">
        <v>6146</v>
      </c>
      <c r="G78" s="20">
        <v>3</v>
      </c>
      <c r="H78" s="2" t="str">
        <f>INDEX(customers!$A$1:$I$1001,MATCH($E78,customers!$A$1:$A$1001,),MATCH($H$1,customers!$A$1:$I$1,0))</f>
        <v>Arleen Braidman</v>
      </c>
      <c r="I78" s="2" t="str">
        <f>IF(INDEX(customers!$A$1:$I$1001,MATCH($E78,customers!$A$1:$A$1001,0),3)=0,"",INDEX(customers!$A$1:$I$1001,MATCH($E78,customers!$A$1:$A$1001,0),3))</f>
        <v>abraidmancf@census.gov</v>
      </c>
      <c r="J78" s="2" t="str">
        <f>_xlfn.XLOOKUP(E78,customers!$A$1:$A$1001,customers!$G$1:$G$1001)</f>
        <v>United States</v>
      </c>
      <c r="K78" t="str">
        <f>INDEX(products!$A$1:$G$49,MATCH($F78,products!$A$1:$A$49,0),MATCH(K$1,products!$A$1:$G$1,0))</f>
        <v>Rob</v>
      </c>
      <c r="L78" t="str">
        <f>INDEX(products!$A$1:$G$49,MATCH($F78,products!$A$1:$A$49,0),MATCH(L$1,products!$A$1:$G$1,0))</f>
        <v>M</v>
      </c>
      <c r="M78" s="5">
        <f>INDEX(products!$A$1:$G$49,MATCH($F78,products!$A$1:$A$49,0),MATCH(M$1,products!$A$1:$G$1,0))</f>
        <v>0.5</v>
      </c>
      <c r="N78" s="7">
        <f>INDEX(products!$A$1:$G$49,MATCH($F78,products!$A$1:$A$49,0),MATCH(N$1,products!$A$1:$G$1,0))</f>
        <v>5.97</v>
      </c>
      <c r="O78" s="7">
        <f t="shared" si="1"/>
        <v>17.91</v>
      </c>
      <c r="P78" t="str" cm="1">
        <f t="array" ref="P78">_xlfn.IFS(K78="Rob","Robusta",K78="Exc","Excelsa",K78="Ara","Arabica",K78="Lib","Liberica")</f>
        <v>Robusta</v>
      </c>
      <c r="Q78" t="str" cm="1">
        <f t="array" ref="Q78">_xlfn.IFS(L78="M","Medium",L78="L","Light",L78="D","Dark")</f>
        <v>Medium</v>
      </c>
      <c r="R78" t="str">
        <f>_xlfn.XLOOKUP(Orders[[#This Row],[Customer ID]],customers!$A$1:$A$1001,customers!$I$1:$I$1001)</f>
        <v>No</v>
      </c>
    </row>
    <row r="79" spans="1:18" x14ac:dyDescent="0.35">
      <c r="A79" s="2" t="s">
        <v>2627</v>
      </c>
      <c r="B79" s="4">
        <v>43690</v>
      </c>
      <c r="C79" s="23">
        <f>Orders[[#This Row],[Order Date]]</f>
        <v>43690</v>
      </c>
      <c r="D79" s="2">
        <f>YEAR(Orders[[#This Row],[Order Date]])</f>
        <v>2019</v>
      </c>
      <c r="E79" s="2" t="s">
        <v>2628</v>
      </c>
      <c r="F79" t="s">
        <v>6173</v>
      </c>
      <c r="G79" s="20">
        <v>6</v>
      </c>
      <c r="H79" s="2" t="str">
        <f>INDEX(customers!$A$1:$I$1001,MATCH($E79,customers!$A$1:$A$1001,),MATCH($H$1,customers!$A$1:$I$1,0))</f>
        <v>Ashbey Tomaszewski</v>
      </c>
      <c r="I79" s="2" t="str">
        <f>IF(INDEX(customers!$A$1:$I$1001,MATCH($E79,customers!$A$1:$A$1001,0),3)=0,"",INDEX(customers!$A$1:$I$1001,MATCH($E79,customers!$A$1:$A$1001,0),3))</f>
        <v>atomaszewskiaj@answers.com</v>
      </c>
      <c r="J79" s="2" t="str">
        <f>_xlfn.XLOOKUP(E79,customers!$A$1:$A$1001,customers!$G$1:$G$1001)</f>
        <v>United Kingdom</v>
      </c>
      <c r="K79" t="str">
        <f>INDEX(products!$A$1:$G$49,MATCH($F79,products!$A$1:$A$49,0),MATCH(K$1,products!$A$1:$G$1,0))</f>
        <v>Rob</v>
      </c>
      <c r="L79" t="str">
        <f>INDEX(products!$A$1:$G$49,MATCH($F79,products!$A$1:$A$49,0),MATCH(L$1,products!$A$1:$G$1,0))</f>
        <v>L</v>
      </c>
      <c r="M79" s="5">
        <f>INDEX(products!$A$1:$G$49,MATCH($F79,products!$A$1:$A$49,0),MATCH(M$1,products!$A$1:$G$1,0))</f>
        <v>0.5</v>
      </c>
      <c r="N79" s="7">
        <f>INDEX(products!$A$1:$G$49,MATCH($F79,products!$A$1:$A$49,0),MATCH(N$1,products!$A$1:$G$1,0))</f>
        <v>7.169999999999999</v>
      </c>
      <c r="O79" s="7">
        <f t="shared" si="1"/>
        <v>43.019999999999996</v>
      </c>
      <c r="P79" t="str" cm="1">
        <f t="array" ref="P79">_xlfn.IFS(K79="Rob","Robusta",K79="Exc","Excelsa",K79="Ara","Arabica",K79="Lib","Liberica")</f>
        <v>Robusta</v>
      </c>
      <c r="Q79" t="str" cm="1">
        <f t="array" ref="Q79">_xlfn.IFS(L79="M","Medium",L79="L","Light",L79="D","Dark")</f>
        <v>Light</v>
      </c>
      <c r="R79" t="str">
        <f>_xlfn.XLOOKUP(Orders[[#This Row],[Customer ID]],customers!$A$1:$A$1001,customers!$I$1:$I$1001)</f>
        <v>Yes</v>
      </c>
    </row>
    <row r="80" spans="1:18" x14ac:dyDescent="0.35">
      <c r="A80" s="2" t="s">
        <v>1549</v>
      </c>
      <c r="B80" s="4">
        <v>44698</v>
      </c>
      <c r="C80" s="23">
        <f>Orders[[#This Row],[Order Date]]</f>
        <v>44698</v>
      </c>
      <c r="D80" s="2">
        <f>YEAR(Orders[[#This Row],[Order Date]])</f>
        <v>2022</v>
      </c>
      <c r="E80" s="2" t="s">
        <v>1550</v>
      </c>
      <c r="F80" t="s">
        <v>6184</v>
      </c>
      <c r="G80" s="20">
        <v>1</v>
      </c>
      <c r="H80" s="2" t="str">
        <f>INDEX(customers!$A$1:$I$1001,MATCH($E80,customers!$A$1:$A$1001,),MATCH($H$1,customers!$A$1:$I$1,0))</f>
        <v>Astrix Kitchingham</v>
      </c>
      <c r="I80" s="2" t="str">
        <f>IF(INDEX(customers!$A$1:$I$1001,MATCH($E80,customers!$A$1:$A$1001,0),3)=0,"",INDEX(customers!$A$1:$I$1001,MATCH($E80,customers!$A$1:$A$1001,0),3))</f>
        <v>akitchingham58@com.com</v>
      </c>
      <c r="J80" s="2" t="str">
        <f>_xlfn.XLOOKUP(E80,customers!$A$1:$A$1001,customers!$G$1:$G$1001)</f>
        <v>United States</v>
      </c>
      <c r="K80" t="str">
        <f>INDEX(products!$A$1:$G$49,MATCH($F80,products!$A$1:$A$49,0),MATCH(K$1,products!$A$1:$G$1,0))</f>
        <v>Exc</v>
      </c>
      <c r="L80" t="str">
        <f>INDEX(products!$A$1:$G$49,MATCH($F80,products!$A$1:$A$49,0),MATCH(L$1,products!$A$1:$G$1,0))</f>
        <v>L</v>
      </c>
      <c r="M80" s="5">
        <f>INDEX(products!$A$1:$G$49,MATCH($F80,products!$A$1:$A$49,0),MATCH(M$1,products!$A$1:$G$1,0))</f>
        <v>0.2</v>
      </c>
      <c r="N80" s="7">
        <f>INDEX(products!$A$1:$G$49,MATCH($F80,products!$A$1:$A$49,0),MATCH(N$1,products!$A$1:$G$1,0))</f>
        <v>4.4550000000000001</v>
      </c>
      <c r="O80" s="7">
        <f t="shared" si="1"/>
        <v>4.4550000000000001</v>
      </c>
      <c r="P80" t="str" cm="1">
        <f t="array" ref="P80">_xlfn.IFS(K80="Rob","Robusta",K80="Exc","Excelsa",K80="Ara","Arabica",K80="Lib","Liberica")</f>
        <v>Excelsa</v>
      </c>
      <c r="Q80" t="str" cm="1">
        <f t="array" ref="Q80">_xlfn.IFS(L80="M","Medium",L80="L","Light",L80="D","Dark")</f>
        <v>Light</v>
      </c>
      <c r="R80" t="str">
        <f>_xlfn.XLOOKUP(Orders[[#This Row],[Customer ID]],customers!$A$1:$A$1001,customers!$I$1:$I$1001)</f>
        <v>Yes</v>
      </c>
    </row>
    <row r="81" spans="1:18" x14ac:dyDescent="0.35">
      <c r="A81" s="2" t="s">
        <v>1043</v>
      </c>
      <c r="B81" s="4">
        <v>44139</v>
      </c>
      <c r="C81" s="23">
        <f>Orders[[#This Row],[Order Date]]</f>
        <v>44139</v>
      </c>
      <c r="D81" s="2">
        <f>YEAR(Orders[[#This Row],[Order Date]])</f>
        <v>2020</v>
      </c>
      <c r="E81" s="2" t="s">
        <v>1044</v>
      </c>
      <c r="F81" t="s">
        <v>6159</v>
      </c>
      <c r="G81" s="20">
        <v>3</v>
      </c>
      <c r="H81" s="2" t="str">
        <f>INDEX(customers!$A$1:$I$1001,MATCH($E81,customers!$A$1:$A$1001,),MATCH($H$1,customers!$A$1:$I$1,0))</f>
        <v>Aube Follett</v>
      </c>
      <c r="I81" s="2" t="str">
        <f>IF(INDEX(customers!$A$1:$I$1001,MATCH($E81,customers!$A$1:$A$1001,0),3)=0,"",INDEX(customers!$A$1:$I$1001,MATCH($E81,customers!$A$1:$A$1001,0),3))</f>
        <v/>
      </c>
      <c r="J81" s="2" t="str">
        <f>_xlfn.XLOOKUP(E81,customers!$A$1:$A$1001,customers!$G$1:$G$1001)</f>
        <v>United States</v>
      </c>
      <c r="K81" t="str">
        <f>INDEX(products!$A$1:$G$49,MATCH($F81,products!$A$1:$A$49,0),MATCH(K$1,products!$A$1:$G$1,0))</f>
        <v>Lib</v>
      </c>
      <c r="L81" t="str">
        <f>INDEX(products!$A$1:$G$49,MATCH($F81,products!$A$1:$A$49,0),MATCH(L$1,products!$A$1:$G$1,0))</f>
        <v>M</v>
      </c>
      <c r="M81" s="5">
        <f>INDEX(products!$A$1:$G$49,MATCH($F81,products!$A$1:$A$49,0),MATCH(M$1,products!$A$1:$G$1,0))</f>
        <v>0.2</v>
      </c>
      <c r="N81" s="7">
        <f>INDEX(products!$A$1:$G$49,MATCH($F81,products!$A$1:$A$49,0),MATCH(N$1,products!$A$1:$G$1,0))</f>
        <v>4.3650000000000002</v>
      </c>
      <c r="O81" s="7">
        <f t="shared" si="1"/>
        <v>13.095000000000001</v>
      </c>
      <c r="P81" t="str" cm="1">
        <f t="array" ref="P81">_xlfn.IFS(K81="Rob","Robusta",K81="Exc","Excelsa",K81="Ara","Arabica",K81="Lib","Liberica")</f>
        <v>Liberica</v>
      </c>
      <c r="Q81" t="str" cm="1">
        <f t="array" ref="Q81">_xlfn.IFS(L81="M","Medium",L81="L","Light",L81="D","Dark")</f>
        <v>Medium</v>
      </c>
      <c r="R81" t="str">
        <f>_xlfn.XLOOKUP(Orders[[#This Row],[Customer ID]],customers!$A$1:$A$1001,customers!$I$1:$I$1001)</f>
        <v>Yes</v>
      </c>
    </row>
    <row r="82" spans="1:18" x14ac:dyDescent="0.35">
      <c r="A82" s="2" t="s">
        <v>3689</v>
      </c>
      <c r="B82" s="4">
        <v>44459</v>
      </c>
      <c r="C82" s="23">
        <f>Orders[[#This Row],[Order Date]]</f>
        <v>44459</v>
      </c>
      <c r="D82" s="2">
        <f>YEAR(Orders[[#This Row],[Order Date]])</f>
        <v>2021</v>
      </c>
      <c r="E82" s="2" t="s">
        <v>3690</v>
      </c>
      <c r="F82" t="s">
        <v>6152</v>
      </c>
      <c r="G82" s="20">
        <v>6</v>
      </c>
      <c r="H82" s="2" t="str">
        <f>INDEX(customers!$A$1:$I$1001,MATCH($E82,customers!$A$1:$A$1001,),MATCH($H$1,customers!$A$1:$I$1,0))</f>
        <v>Audra Kelston</v>
      </c>
      <c r="I82" s="2" t="str">
        <f>IF(INDEX(customers!$A$1:$I$1001,MATCH($E82,customers!$A$1:$A$1001,0),3)=0,"",INDEX(customers!$A$1:$I$1001,MATCH($E82,customers!$A$1:$A$1001,0),3))</f>
        <v>akelstonfq@sakura.ne.jp</v>
      </c>
      <c r="J82" s="2" t="str">
        <f>_xlfn.XLOOKUP(E82,customers!$A$1:$A$1001,customers!$G$1:$G$1001)</f>
        <v>United States</v>
      </c>
      <c r="K82" t="str">
        <f>INDEX(products!$A$1:$G$49,MATCH($F82,products!$A$1:$A$49,0),MATCH(K$1,products!$A$1:$G$1,0))</f>
        <v>Ara</v>
      </c>
      <c r="L82" t="str">
        <f>INDEX(products!$A$1:$G$49,MATCH($F82,products!$A$1:$A$49,0),MATCH(L$1,products!$A$1:$G$1,0))</f>
        <v>M</v>
      </c>
      <c r="M82" s="5">
        <f>INDEX(products!$A$1:$G$49,MATCH($F82,products!$A$1:$A$49,0),MATCH(M$1,products!$A$1:$G$1,0))</f>
        <v>0.2</v>
      </c>
      <c r="N82" s="7">
        <f>INDEX(products!$A$1:$G$49,MATCH($F82,products!$A$1:$A$49,0),MATCH(N$1,products!$A$1:$G$1,0))</f>
        <v>3.375</v>
      </c>
      <c r="O82" s="7">
        <f t="shared" si="1"/>
        <v>20.25</v>
      </c>
      <c r="P82" t="str" cm="1">
        <f t="array" ref="P82">_xlfn.IFS(K82="Rob","Robusta",K82="Exc","Excelsa",K82="Ara","Arabica",K82="Lib","Liberica")</f>
        <v>Arabica</v>
      </c>
      <c r="Q82" t="str" cm="1">
        <f t="array" ref="Q82">_xlfn.IFS(L82="M","Medium",L82="L","Light",L82="D","Dark")</f>
        <v>Medium</v>
      </c>
      <c r="R82" t="str">
        <f>_xlfn.XLOOKUP(Orders[[#This Row],[Customer ID]],customers!$A$1:$A$1001,customers!$I$1:$I$1001)</f>
        <v>Yes</v>
      </c>
    </row>
    <row r="83" spans="1:18" x14ac:dyDescent="0.35">
      <c r="A83" s="2" t="s">
        <v>2781</v>
      </c>
      <c r="B83" s="4">
        <v>44416</v>
      </c>
      <c r="C83" s="23">
        <f>Orders[[#This Row],[Order Date]]</f>
        <v>44416</v>
      </c>
      <c r="D83" s="2">
        <f>YEAR(Orders[[#This Row],[Order Date]])</f>
        <v>2021</v>
      </c>
      <c r="E83" s="2" t="s">
        <v>2782</v>
      </c>
      <c r="F83" t="s">
        <v>6141</v>
      </c>
      <c r="G83" s="20">
        <v>5</v>
      </c>
      <c r="H83" s="2" t="str">
        <f>INDEX(customers!$A$1:$I$1001,MATCH($E83,customers!$A$1:$A$1001,),MATCH($H$1,customers!$A$1:$I$1,0))</f>
        <v>Auguste Rizon</v>
      </c>
      <c r="I83" s="2" t="str">
        <f>IF(INDEX(customers!$A$1:$I$1001,MATCH($E83,customers!$A$1:$A$1001,0),3)=0,"",INDEX(customers!$A$1:$I$1001,MATCH($E83,customers!$A$1:$A$1001,0),3))</f>
        <v>arizonba@xing.com</v>
      </c>
      <c r="J83" s="2" t="str">
        <f>_xlfn.XLOOKUP(E83,customers!$A$1:$A$1001,customers!$G$1:$G$1001)</f>
        <v>United States</v>
      </c>
      <c r="K83" t="str">
        <f>INDEX(products!$A$1:$G$49,MATCH($F83,products!$A$1:$A$49,0),MATCH(K$1,products!$A$1:$G$1,0))</f>
        <v>Exc</v>
      </c>
      <c r="L83" t="str">
        <f>INDEX(products!$A$1:$G$49,MATCH($F83,products!$A$1:$A$49,0),MATCH(L$1,products!$A$1:$G$1,0))</f>
        <v>M</v>
      </c>
      <c r="M83" s="5">
        <f>INDEX(products!$A$1:$G$49,MATCH($F83,products!$A$1:$A$49,0),MATCH(M$1,products!$A$1:$G$1,0))</f>
        <v>1</v>
      </c>
      <c r="N83" s="7">
        <f>INDEX(products!$A$1:$G$49,MATCH($F83,products!$A$1:$A$49,0),MATCH(N$1,products!$A$1:$G$1,0))</f>
        <v>13.75</v>
      </c>
      <c r="O83" s="7">
        <f t="shared" si="1"/>
        <v>68.75</v>
      </c>
      <c r="P83" t="str" cm="1">
        <f t="array" ref="P83">_xlfn.IFS(K83="Rob","Robusta",K83="Exc","Excelsa",K83="Ara","Arabica",K83="Lib","Liberica")</f>
        <v>Excelsa</v>
      </c>
      <c r="Q83" t="str" cm="1">
        <f t="array" ref="Q83">_xlfn.IFS(L83="M","Medium",L83="L","Light",L83="D","Dark")</f>
        <v>Medium</v>
      </c>
      <c r="R83" t="str">
        <f>_xlfn.XLOOKUP(Orders[[#This Row],[Customer ID]],customers!$A$1:$A$1001,customers!$I$1:$I$1001)</f>
        <v>Yes</v>
      </c>
    </row>
    <row r="84" spans="1:18" x14ac:dyDescent="0.35">
      <c r="A84" s="2" t="s">
        <v>5822</v>
      </c>
      <c r="B84" s="4">
        <v>44719</v>
      </c>
      <c r="C84" s="23">
        <f>Orders[[#This Row],[Order Date]]</f>
        <v>44719</v>
      </c>
      <c r="D84" s="2">
        <f>YEAR(Orders[[#This Row],[Order Date]])</f>
        <v>2022</v>
      </c>
      <c r="E84" s="2" t="s">
        <v>5823</v>
      </c>
      <c r="F84" t="s">
        <v>6180</v>
      </c>
      <c r="G84" s="20">
        <v>6</v>
      </c>
      <c r="H84" s="2" t="str">
        <f>INDEX(customers!$A$1:$I$1001,MATCH($E84,customers!$A$1:$A$1001,),MATCH($H$1,customers!$A$1:$I$1,0))</f>
        <v>Augustin Waterhouse</v>
      </c>
      <c r="I84" s="2" t="str">
        <f>IF(INDEX(customers!$A$1:$I$1001,MATCH($E84,customers!$A$1:$A$1001,0),3)=0,"",INDEX(customers!$A$1:$I$1001,MATCH($E84,customers!$A$1:$A$1001,0),3))</f>
        <v>awaterhouseq7@istockphoto.com</v>
      </c>
      <c r="J84" s="2" t="str">
        <f>_xlfn.XLOOKUP(E84,customers!$A$1:$A$1001,customers!$G$1:$G$1001)</f>
        <v>United States</v>
      </c>
      <c r="K84" t="str">
        <f>INDEX(products!$A$1:$G$49,MATCH($F84,products!$A$1:$A$49,0),MATCH(K$1,products!$A$1:$G$1,0))</f>
        <v>Ara</v>
      </c>
      <c r="L84" t="str">
        <f>INDEX(products!$A$1:$G$49,MATCH($F84,products!$A$1:$A$49,0),MATCH(L$1,products!$A$1:$G$1,0))</f>
        <v>L</v>
      </c>
      <c r="M84" s="5">
        <f>INDEX(products!$A$1:$G$49,MATCH($F84,products!$A$1:$A$49,0),MATCH(M$1,products!$A$1:$G$1,0))</f>
        <v>0.5</v>
      </c>
      <c r="N84" s="7">
        <f>INDEX(products!$A$1:$G$49,MATCH($F84,products!$A$1:$A$49,0),MATCH(N$1,products!$A$1:$G$1,0))</f>
        <v>7.77</v>
      </c>
      <c r="O84" s="7">
        <f t="shared" si="1"/>
        <v>46.62</v>
      </c>
      <c r="P84" t="str" cm="1">
        <f t="array" ref="P84">_xlfn.IFS(K84="Rob","Robusta",K84="Exc","Excelsa",K84="Ara","Arabica",K84="Lib","Liberica")</f>
        <v>Arabica</v>
      </c>
      <c r="Q84" t="str" cm="1">
        <f t="array" ref="Q84">_xlfn.IFS(L84="M","Medium",L84="L","Light",L84="D","Dark")</f>
        <v>Light</v>
      </c>
      <c r="R84" t="str">
        <f>_xlfn.XLOOKUP(Orders[[#This Row],[Customer ID]],customers!$A$1:$A$1001,customers!$I$1:$I$1001)</f>
        <v>No</v>
      </c>
    </row>
    <row r="85" spans="1:18" x14ac:dyDescent="0.35">
      <c r="A85" s="2" t="s">
        <v>598</v>
      </c>
      <c r="B85" s="4">
        <v>44169</v>
      </c>
      <c r="C85" s="23">
        <f>Orders[[#This Row],[Order Date]]</f>
        <v>44169</v>
      </c>
      <c r="D85" s="2">
        <f>YEAR(Orders[[#This Row],[Order Date]])</f>
        <v>2020</v>
      </c>
      <c r="E85" s="2" t="s">
        <v>599</v>
      </c>
      <c r="F85" t="s">
        <v>6152</v>
      </c>
      <c r="G85" s="20">
        <v>5</v>
      </c>
      <c r="H85" s="2" t="str">
        <f>INDEX(customers!$A$1:$I$1001,MATCH($E85,customers!$A$1:$A$1001,),MATCH($H$1,customers!$A$1:$I$1,0))</f>
        <v>Aurea Corradino</v>
      </c>
      <c r="I85" s="2" t="str">
        <f>IF(INDEX(customers!$A$1:$I$1001,MATCH($E85,customers!$A$1:$A$1001,0),3)=0,"",INDEX(customers!$A$1:$I$1001,MATCH($E85,customers!$A$1:$A$1001,0),3))</f>
        <v>acorradinoj@harvard.edu</v>
      </c>
      <c r="J85" s="2" t="str">
        <f>_xlfn.XLOOKUP(E85,customers!$A$1:$A$1001,customers!$G$1:$G$1001)</f>
        <v>United States</v>
      </c>
      <c r="K85" t="str">
        <f>INDEX(products!$A$1:$G$49,MATCH($F85,products!$A$1:$A$49,0),MATCH(K$1,products!$A$1:$G$1,0))</f>
        <v>Ara</v>
      </c>
      <c r="L85" t="str">
        <f>INDEX(products!$A$1:$G$49,MATCH($F85,products!$A$1:$A$49,0),MATCH(L$1,products!$A$1:$G$1,0))</f>
        <v>M</v>
      </c>
      <c r="M85" s="5">
        <f>INDEX(products!$A$1:$G$49,MATCH($F85,products!$A$1:$A$49,0),MATCH(M$1,products!$A$1:$G$1,0))</f>
        <v>0.2</v>
      </c>
      <c r="N85" s="7">
        <f>INDEX(products!$A$1:$G$49,MATCH($F85,products!$A$1:$A$49,0),MATCH(N$1,products!$A$1:$G$1,0))</f>
        <v>3.375</v>
      </c>
      <c r="O85" s="7">
        <f t="shared" si="1"/>
        <v>16.875</v>
      </c>
      <c r="P85" t="str" cm="1">
        <f t="array" ref="P85">_xlfn.IFS(K85="Rob","Robusta",K85="Exc","Excelsa",K85="Ara","Arabica",K85="Lib","Liberica")</f>
        <v>Arabica</v>
      </c>
      <c r="Q85" t="str" cm="1">
        <f t="array" ref="Q85">_xlfn.IFS(L85="M","Medium",L85="L","Light",L85="D","Dark")</f>
        <v>Medium</v>
      </c>
      <c r="R85" t="str">
        <f>_xlfn.XLOOKUP(Orders[[#This Row],[Customer ID]],customers!$A$1:$A$1001,customers!$I$1:$I$1001)</f>
        <v>Yes</v>
      </c>
    </row>
    <row r="86" spans="1:18" x14ac:dyDescent="0.35">
      <c r="A86" s="2" t="s">
        <v>598</v>
      </c>
      <c r="B86" s="4">
        <v>44169</v>
      </c>
      <c r="C86" s="23">
        <f>Orders[[#This Row],[Order Date]]</f>
        <v>44169</v>
      </c>
      <c r="D86" s="2">
        <f>YEAR(Orders[[#This Row],[Order Date]])</f>
        <v>2020</v>
      </c>
      <c r="E86" s="2" t="s">
        <v>599</v>
      </c>
      <c r="F86" t="s">
        <v>6153</v>
      </c>
      <c r="G86" s="20">
        <v>4</v>
      </c>
      <c r="H86" s="2" t="str">
        <f>INDEX(customers!$A$1:$I$1001,MATCH($E86,customers!$A$1:$A$1001,),MATCH($H$1,customers!$A$1:$I$1,0))</f>
        <v>Aurea Corradino</v>
      </c>
      <c r="I86" s="2" t="str">
        <f>IF(INDEX(customers!$A$1:$I$1001,MATCH($E86,customers!$A$1:$A$1001,0),3)=0,"",INDEX(customers!$A$1:$I$1001,MATCH($E86,customers!$A$1:$A$1001,0),3))</f>
        <v>acorradinoj@harvard.edu</v>
      </c>
      <c r="J86" s="2" t="str">
        <f>_xlfn.XLOOKUP(E86,customers!$A$1:$A$1001,customers!$G$1:$G$1001)</f>
        <v>United States</v>
      </c>
      <c r="K86" t="str">
        <f>INDEX(products!$A$1:$G$49,MATCH($F86,products!$A$1:$A$49,0),MATCH(K$1,products!$A$1:$G$1,0))</f>
        <v>Exc</v>
      </c>
      <c r="L86" t="str">
        <f>INDEX(products!$A$1:$G$49,MATCH($F86,products!$A$1:$A$49,0),MATCH(L$1,products!$A$1:$G$1,0))</f>
        <v>D</v>
      </c>
      <c r="M86" s="5">
        <f>INDEX(products!$A$1:$G$49,MATCH($F86,products!$A$1:$A$49,0),MATCH(M$1,products!$A$1:$G$1,0))</f>
        <v>0.2</v>
      </c>
      <c r="N86" s="7">
        <f>INDEX(products!$A$1:$G$49,MATCH($F86,products!$A$1:$A$49,0),MATCH(N$1,products!$A$1:$G$1,0))</f>
        <v>3.645</v>
      </c>
      <c r="O86" s="7">
        <f t="shared" si="1"/>
        <v>14.58</v>
      </c>
      <c r="P86" t="str" cm="1">
        <f t="array" ref="P86">_xlfn.IFS(K86="Rob","Robusta",K86="Exc","Excelsa",K86="Ara","Arabica",K86="Lib","Liberica")</f>
        <v>Excelsa</v>
      </c>
      <c r="Q86" t="str" cm="1">
        <f t="array" ref="Q86">_xlfn.IFS(L86="M","Medium",L86="L","Light",L86="D","Dark")</f>
        <v>Dark</v>
      </c>
      <c r="R86" t="str">
        <f>_xlfn.XLOOKUP(Orders[[#This Row],[Customer ID]],customers!$A$1:$A$1001,customers!$I$1:$I$1001)</f>
        <v>Yes</v>
      </c>
    </row>
    <row r="87" spans="1:18" x14ac:dyDescent="0.35">
      <c r="A87" s="2" t="s">
        <v>3883</v>
      </c>
      <c r="B87" s="4">
        <v>43815</v>
      </c>
      <c r="C87" s="23">
        <f>Orders[[#This Row],[Order Date]]</f>
        <v>43815</v>
      </c>
      <c r="D87" s="2">
        <f>YEAR(Orders[[#This Row],[Order Date]])</f>
        <v>2019</v>
      </c>
      <c r="E87" s="2" t="s">
        <v>3884</v>
      </c>
      <c r="F87" t="s">
        <v>6142</v>
      </c>
      <c r="G87" s="20">
        <v>4</v>
      </c>
      <c r="H87" s="2" t="str">
        <f>INDEX(customers!$A$1:$I$1001,MATCH($E87,customers!$A$1:$A$1001,),MATCH($H$1,customers!$A$1:$I$1,0))</f>
        <v>Aurelia Burgwin</v>
      </c>
      <c r="I87" s="2" t="str">
        <f>IF(INDEX(customers!$A$1:$I$1001,MATCH($E87,customers!$A$1:$A$1001,0),3)=0,"",INDEX(customers!$A$1:$I$1001,MATCH($E87,customers!$A$1:$A$1001,0),3))</f>
        <v>aburgwingp@redcross.org</v>
      </c>
      <c r="J87" s="2" t="str">
        <f>_xlfn.XLOOKUP(E87,customers!$A$1:$A$1001,customers!$G$1:$G$1001)</f>
        <v>United States</v>
      </c>
      <c r="K87" t="str">
        <f>INDEX(products!$A$1:$G$49,MATCH($F87,products!$A$1:$A$49,0),MATCH(K$1,products!$A$1:$G$1,0))</f>
        <v>Rob</v>
      </c>
      <c r="L87" t="str">
        <f>INDEX(products!$A$1:$G$49,MATCH($F87,products!$A$1:$A$49,0),MATCH(L$1,products!$A$1:$G$1,0))</f>
        <v>L</v>
      </c>
      <c r="M87" s="5">
        <f>INDEX(products!$A$1:$G$49,MATCH($F87,products!$A$1:$A$49,0),MATCH(M$1,products!$A$1:$G$1,0))</f>
        <v>2.5</v>
      </c>
      <c r="N87" s="7">
        <f>INDEX(products!$A$1:$G$49,MATCH($F87,products!$A$1:$A$49,0),MATCH(N$1,products!$A$1:$G$1,0))</f>
        <v>27.484999999999996</v>
      </c>
      <c r="O87" s="7">
        <f t="shared" si="1"/>
        <v>109.93999999999998</v>
      </c>
      <c r="P87" t="str" cm="1">
        <f t="array" ref="P87">_xlfn.IFS(K87="Rob","Robusta",K87="Exc","Excelsa",K87="Ara","Arabica",K87="Lib","Liberica")</f>
        <v>Robusta</v>
      </c>
      <c r="Q87" t="str" cm="1">
        <f t="array" ref="Q87">_xlfn.IFS(L87="M","Medium",L87="L","Light",L87="D","Dark")</f>
        <v>Light</v>
      </c>
      <c r="R87" t="str">
        <f>_xlfn.XLOOKUP(Orders[[#This Row],[Customer ID]],customers!$A$1:$A$1001,customers!$I$1:$I$1001)</f>
        <v>Yes</v>
      </c>
    </row>
    <row r="88" spans="1:18" x14ac:dyDescent="0.35">
      <c r="A88" s="2" t="s">
        <v>897</v>
      </c>
      <c r="B88" s="4">
        <v>44131</v>
      </c>
      <c r="C88" s="23">
        <f>Orders[[#This Row],[Order Date]]</f>
        <v>44131</v>
      </c>
      <c r="D88" s="2">
        <f>YEAR(Orders[[#This Row],[Order Date]])</f>
        <v>2020</v>
      </c>
      <c r="E88" s="2" t="s">
        <v>898</v>
      </c>
      <c r="F88" t="s">
        <v>6175</v>
      </c>
      <c r="G88" s="20">
        <v>3</v>
      </c>
      <c r="H88" s="2" t="str">
        <f>INDEX(customers!$A$1:$I$1001,MATCH($E88,customers!$A$1:$A$1001,),MATCH($H$1,customers!$A$1:$I$1,0))</f>
        <v>Aurlie McCarl</v>
      </c>
      <c r="I88" s="2" t="str">
        <f>IF(INDEX(customers!$A$1:$I$1001,MATCH($E88,customers!$A$1:$A$1001,0),3)=0,"",INDEX(customers!$A$1:$I$1001,MATCH($E88,customers!$A$1:$A$1001,0),3))</f>
        <v/>
      </c>
      <c r="J88" s="2" t="str">
        <f>_xlfn.XLOOKUP(E88,customers!$A$1:$A$1001,customers!$G$1:$G$1001)</f>
        <v>United States</v>
      </c>
      <c r="K88" t="str">
        <f>INDEX(products!$A$1:$G$49,MATCH($F88,products!$A$1:$A$49,0),MATCH(K$1,products!$A$1:$G$1,0))</f>
        <v>Ara</v>
      </c>
      <c r="L88" t="str">
        <f>INDEX(products!$A$1:$G$49,MATCH($F88,products!$A$1:$A$49,0),MATCH(L$1,products!$A$1:$G$1,0))</f>
        <v>M</v>
      </c>
      <c r="M88" s="5">
        <f>INDEX(products!$A$1:$G$49,MATCH($F88,products!$A$1:$A$49,0),MATCH(M$1,products!$A$1:$G$1,0))</f>
        <v>2.5</v>
      </c>
      <c r="N88" s="7">
        <f>INDEX(products!$A$1:$G$49,MATCH($F88,products!$A$1:$A$49,0),MATCH(N$1,products!$A$1:$G$1,0))</f>
        <v>25.874999999999996</v>
      </c>
      <c r="O88" s="7">
        <f t="shared" si="1"/>
        <v>77.624999999999986</v>
      </c>
      <c r="P88" t="str" cm="1">
        <f t="array" ref="P88">_xlfn.IFS(K88="Rob","Robusta",K88="Exc","Excelsa",K88="Ara","Arabica",K88="Lib","Liberica")</f>
        <v>Arabica</v>
      </c>
      <c r="Q88" t="str" cm="1">
        <f t="array" ref="Q88">_xlfn.IFS(L88="M","Medium",L88="L","Light",L88="D","Dark")</f>
        <v>Medium</v>
      </c>
      <c r="R88" t="str">
        <f>_xlfn.XLOOKUP(Orders[[#This Row],[Customer ID]],customers!$A$1:$A$1001,customers!$I$1:$I$1001)</f>
        <v>No</v>
      </c>
    </row>
    <row r="89" spans="1:18" x14ac:dyDescent="0.35">
      <c r="A89" s="2" t="s">
        <v>608</v>
      </c>
      <c r="B89" s="4">
        <v>44169</v>
      </c>
      <c r="C89" s="23">
        <f>Orders[[#This Row],[Order Date]]</f>
        <v>44169</v>
      </c>
      <c r="D89" s="2">
        <f>YEAR(Orders[[#This Row],[Order Date]])</f>
        <v>2020</v>
      </c>
      <c r="E89" s="2" t="s">
        <v>609</v>
      </c>
      <c r="F89" t="s">
        <v>6154</v>
      </c>
      <c r="G89" s="20">
        <v>6</v>
      </c>
      <c r="H89" s="2" t="str">
        <f>INDEX(customers!$A$1:$I$1001,MATCH($E89,customers!$A$1:$A$1001,),MATCH($H$1,customers!$A$1:$I$1,0))</f>
        <v>Avrit Davidowsky</v>
      </c>
      <c r="I89" s="2" t="str">
        <f>IF(INDEX(customers!$A$1:$I$1001,MATCH($E89,customers!$A$1:$A$1001,0),3)=0,"",INDEX(customers!$A$1:$I$1001,MATCH($E89,customers!$A$1:$A$1001,0),3))</f>
        <v>adavidowskyl@netvibes.com</v>
      </c>
      <c r="J89" s="2" t="str">
        <f>_xlfn.XLOOKUP(E89,customers!$A$1:$A$1001,customers!$G$1:$G$1001)</f>
        <v>United States</v>
      </c>
      <c r="K89" t="str">
        <f>INDEX(products!$A$1:$G$49,MATCH($F89,products!$A$1:$A$49,0),MATCH(K$1,products!$A$1:$G$1,0))</f>
        <v>Ara</v>
      </c>
      <c r="L89" t="str">
        <f>INDEX(products!$A$1:$G$49,MATCH($F89,products!$A$1:$A$49,0),MATCH(L$1,products!$A$1:$G$1,0))</f>
        <v>D</v>
      </c>
      <c r="M89" s="5">
        <f>INDEX(products!$A$1:$G$49,MATCH($F89,products!$A$1:$A$49,0),MATCH(M$1,products!$A$1:$G$1,0))</f>
        <v>0.2</v>
      </c>
      <c r="N89" s="7">
        <f>INDEX(products!$A$1:$G$49,MATCH($F89,products!$A$1:$A$49,0),MATCH(N$1,products!$A$1:$G$1,0))</f>
        <v>2.9849999999999999</v>
      </c>
      <c r="O89" s="7">
        <f t="shared" si="1"/>
        <v>17.91</v>
      </c>
      <c r="P89" t="str" cm="1">
        <f t="array" ref="P89">_xlfn.IFS(K89="Rob","Robusta",K89="Exc","Excelsa",K89="Ara","Arabica",K89="Lib","Liberica")</f>
        <v>Arabica</v>
      </c>
      <c r="Q89" t="str" cm="1">
        <f t="array" ref="Q89">_xlfn.IFS(L89="M","Medium",L89="L","Light",L89="D","Dark")</f>
        <v>Dark</v>
      </c>
      <c r="R89" t="str">
        <f>_xlfn.XLOOKUP(Orders[[#This Row],[Customer ID]],customers!$A$1:$A$1001,customers!$I$1:$I$1001)</f>
        <v>No</v>
      </c>
    </row>
    <row r="90" spans="1:18" x14ac:dyDescent="0.35">
      <c r="A90" s="2" t="s">
        <v>4642</v>
      </c>
      <c r="B90" s="4">
        <v>44757</v>
      </c>
      <c r="C90" s="23">
        <f>Orders[[#This Row],[Order Date]]</f>
        <v>44757</v>
      </c>
      <c r="D90" s="2">
        <f>YEAR(Orders[[#This Row],[Order Date]])</f>
        <v>2022</v>
      </c>
      <c r="E90" s="2" t="s">
        <v>4643</v>
      </c>
      <c r="F90" t="s">
        <v>6153</v>
      </c>
      <c r="G90" s="20">
        <v>6</v>
      </c>
      <c r="H90" s="2" t="str">
        <f>INDEX(customers!$A$1:$I$1001,MATCH($E90,customers!$A$1:$A$1001,),MATCH($H$1,customers!$A$1:$I$1,0))</f>
        <v>Babb Pollins</v>
      </c>
      <c r="I90" s="2" t="str">
        <f>IF(INDEX(customers!$A$1:$I$1001,MATCH($E90,customers!$A$1:$A$1001,0),3)=0,"",INDEX(customers!$A$1:$I$1001,MATCH($E90,customers!$A$1:$A$1001,0),3))</f>
        <v>bpollinskf@shinystat.com</v>
      </c>
      <c r="J90" s="2" t="str">
        <f>_xlfn.XLOOKUP(E90,customers!$A$1:$A$1001,customers!$G$1:$G$1001)</f>
        <v>United States</v>
      </c>
      <c r="K90" t="str">
        <f>INDEX(products!$A$1:$G$49,MATCH($F90,products!$A$1:$A$49,0),MATCH(K$1,products!$A$1:$G$1,0))</f>
        <v>Exc</v>
      </c>
      <c r="L90" t="str">
        <f>INDEX(products!$A$1:$G$49,MATCH($F90,products!$A$1:$A$49,0),MATCH(L$1,products!$A$1:$G$1,0))</f>
        <v>D</v>
      </c>
      <c r="M90" s="5">
        <f>INDEX(products!$A$1:$G$49,MATCH($F90,products!$A$1:$A$49,0),MATCH(M$1,products!$A$1:$G$1,0))</f>
        <v>0.2</v>
      </c>
      <c r="N90" s="7">
        <f>INDEX(products!$A$1:$G$49,MATCH($F90,products!$A$1:$A$49,0),MATCH(N$1,products!$A$1:$G$1,0))</f>
        <v>3.645</v>
      </c>
      <c r="O90" s="7">
        <f t="shared" si="1"/>
        <v>21.87</v>
      </c>
      <c r="P90" t="str" cm="1">
        <f t="array" ref="P90">_xlfn.IFS(K90="Rob","Robusta",K90="Exc","Excelsa",K90="Ara","Arabica",K90="Lib","Liberica")</f>
        <v>Excelsa</v>
      </c>
      <c r="Q90" t="str" cm="1">
        <f t="array" ref="Q90">_xlfn.IFS(L90="M","Medium",L90="L","Light",L90="D","Dark")</f>
        <v>Dark</v>
      </c>
      <c r="R90" t="str">
        <f>_xlfn.XLOOKUP(Orders[[#This Row],[Customer ID]],customers!$A$1:$A$1001,customers!$I$1:$I$1001)</f>
        <v>No</v>
      </c>
    </row>
    <row r="91" spans="1:18" x14ac:dyDescent="0.35">
      <c r="A91" s="2" t="s">
        <v>3807</v>
      </c>
      <c r="B91" s="4">
        <v>44267</v>
      </c>
      <c r="C91" s="23">
        <f>Orders[[#This Row],[Order Date]]</f>
        <v>44267</v>
      </c>
      <c r="D91" s="2">
        <f>YEAR(Orders[[#This Row],[Order Date]])</f>
        <v>2021</v>
      </c>
      <c r="E91" s="2" t="s">
        <v>3808</v>
      </c>
      <c r="F91" t="s">
        <v>6169</v>
      </c>
      <c r="G91" s="20">
        <v>1</v>
      </c>
      <c r="H91" s="2" t="str">
        <f>INDEX(customers!$A$1:$I$1001,MATCH($E91,customers!$A$1:$A$1001,),MATCH($H$1,customers!$A$1:$I$1,0))</f>
        <v>Bar O' Mahony</v>
      </c>
      <c r="I91" s="2" t="str">
        <f>IF(INDEX(customers!$A$1:$I$1001,MATCH($E91,customers!$A$1:$A$1001,0),3)=0,"",INDEX(customers!$A$1:$I$1001,MATCH($E91,customers!$A$1:$A$1001,0),3))</f>
        <v>bogb@elpais.com</v>
      </c>
      <c r="J91" s="2" t="str">
        <f>_xlfn.XLOOKUP(E91,customers!$A$1:$A$1001,customers!$G$1:$G$1001)</f>
        <v>United States</v>
      </c>
      <c r="K91" t="str">
        <f>INDEX(products!$A$1:$G$49,MATCH($F91,products!$A$1:$A$49,0),MATCH(K$1,products!$A$1:$G$1,0))</f>
        <v>Lib</v>
      </c>
      <c r="L91" t="str">
        <f>INDEX(products!$A$1:$G$49,MATCH($F91,products!$A$1:$A$49,0),MATCH(L$1,products!$A$1:$G$1,0))</f>
        <v>D</v>
      </c>
      <c r="M91" s="5">
        <f>INDEX(products!$A$1:$G$49,MATCH($F91,products!$A$1:$A$49,0),MATCH(M$1,products!$A$1:$G$1,0))</f>
        <v>0.5</v>
      </c>
      <c r="N91" s="7">
        <f>INDEX(products!$A$1:$G$49,MATCH($F91,products!$A$1:$A$49,0),MATCH(N$1,products!$A$1:$G$1,0))</f>
        <v>7.77</v>
      </c>
      <c r="O91" s="7">
        <f t="shared" si="1"/>
        <v>7.77</v>
      </c>
      <c r="P91" t="str" cm="1">
        <f t="array" ref="P91">_xlfn.IFS(K91="Rob","Robusta",K91="Exc","Excelsa",K91="Ara","Arabica",K91="Lib","Liberica")</f>
        <v>Liberica</v>
      </c>
      <c r="Q91" t="str" cm="1">
        <f t="array" ref="Q91">_xlfn.IFS(L91="M","Medium",L91="L","Light",L91="D","Dark")</f>
        <v>Dark</v>
      </c>
      <c r="R91" t="str">
        <f>_xlfn.XLOOKUP(Orders[[#This Row],[Customer ID]],customers!$A$1:$A$1001,customers!$I$1:$I$1001)</f>
        <v>Yes</v>
      </c>
    </row>
    <row r="92" spans="1:18" x14ac:dyDescent="0.35">
      <c r="A92" s="2" t="s">
        <v>5757</v>
      </c>
      <c r="B92" s="4">
        <v>44117</v>
      </c>
      <c r="C92" s="23">
        <f>Orders[[#This Row],[Order Date]]</f>
        <v>44117</v>
      </c>
      <c r="D92" s="2">
        <f>YEAR(Orders[[#This Row],[Order Date]])</f>
        <v>2020</v>
      </c>
      <c r="E92" s="2" t="s">
        <v>5758</v>
      </c>
      <c r="F92" t="s">
        <v>6141</v>
      </c>
      <c r="G92" s="20">
        <v>4</v>
      </c>
      <c r="H92" s="2" t="str">
        <f>INDEX(customers!$A$1:$I$1001,MATCH($E92,customers!$A$1:$A$1001,),MATCH($H$1,customers!$A$1:$I$1,0))</f>
        <v>Barnett Sillis</v>
      </c>
      <c r="I92" s="2" t="str">
        <f>IF(INDEX(customers!$A$1:$I$1001,MATCH($E92,customers!$A$1:$A$1001,0),3)=0,"",INDEX(customers!$A$1:$I$1001,MATCH($E92,customers!$A$1:$A$1001,0),3))</f>
        <v>bsillispw@istockphoto.com</v>
      </c>
      <c r="J92" s="2" t="str">
        <f>_xlfn.XLOOKUP(E92,customers!$A$1:$A$1001,customers!$G$1:$G$1001)</f>
        <v>United States</v>
      </c>
      <c r="K92" t="str">
        <f>INDEX(products!$A$1:$G$49,MATCH($F92,products!$A$1:$A$49,0),MATCH(K$1,products!$A$1:$G$1,0))</f>
        <v>Exc</v>
      </c>
      <c r="L92" t="str">
        <f>INDEX(products!$A$1:$G$49,MATCH($F92,products!$A$1:$A$49,0),MATCH(L$1,products!$A$1:$G$1,0))</f>
        <v>M</v>
      </c>
      <c r="M92" s="5">
        <f>INDEX(products!$A$1:$G$49,MATCH($F92,products!$A$1:$A$49,0),MATCH(M$1,products!$A$1:$G$1,0))</f>
        <v>1</v>
      </c>
      <c r="N92" s="7">
        <f>INDEX(products!$A$1:$G$49,MATCH($F92,products!$A$1:$A$49,0),MATCH(N$1,products!$A$1:$G$1,0))</f>
        <v>13.75</v>
      </c>
      <c r="O92" s="7">
        <f t="shared" si="1"/>
        <v>55</v>
      </c>
      <c r="P92" t="str" cm="1">
        <f t="array" ref="P92">_xlfn.IFS(K92="Rob","Robusta",K92="Exc","Excelsa",K92="Ara","Arabica",K92="Lib","Liberica")</f>
        <v>Excelsa</v>
      </c>
      <c r="Q92" t="str" cm="1">
        <f t="array" ref="Q92">_xlfn.IFS(L92="M","Medium",L92="L","Light",L92="D","Dark")</f>
        <v>Medium</v>
      </c>
      <c r="R92" t="str">
        <f>_xlfn.XLOOKUP(Orders[[#This Row],[Customer ID]],customers!$A$1:$A$1001,customers!$I$1:$I$1001)</f>
        <v>No</v>
      </c>
    </row>
    <row r="93" spans="1:18" x14ac:dyDescent="0.35">
      <c r="A93" s="2" t="s">
        <v>2015</v>
      </c>
      <c r="B93" s="4">
        <v>43655</v>
      </c>
      <c r="C93" s="23">
        <f>Orders[[#This Row],[Order Date]]</f>
        <v>43655</v>
      </c>
      <c r="D93" s="2">
        <f>YEAR(Orders[[#This Row],[Order Date]])</f>
        <v>2019</v>
      </c>
      <c r="E93" s="2" t="s">
        <v>2016</v>
      </c>
      <c r="F93" t="s">
        <v>6144</v>
      </c>
      <c r="G93" s="20">
        <v>1</v>
      </c>
      <c r="H93" s="2" t="str">
        <f>INDEX(customers!$A$1:$I$1001,MATCH($E93,customers!$A$1:$A$1001,),MATCH($H$1,customers!$A$1:$I$1,0))</f>
        <v>Barney Chisnell</v>
      </c>
      <c r="I93" s="2" t="str">
        <f>IF(INDEX(customers!$A$1:$I$1001,MATCH($E93,customers!$A$1:$A$1001,0),3)=0,"",INDEX(customers!$A$1:$I$1001,MATCH($E93,customers!$A$1:$A$1001,0),3))</f>
        <v/>
      </c>
      <c r="J93" s="2" t="str">
        <f>_xlfn.XLOOKUP(E93,customers!$A$1:$A$1001,customers!$G$1:$G$1001)</f>
        <v>Ireland</v>
      </c>
      <c r="K93" t="str">
        <f>INDEX(products!$A$1:$G$49,MATCH($F93,products!$A$1:$A$49,0),MATCH(K$1,products!$A$1:$G$1,0))</f>
        <v>Exc</v>
      </c>
      <c r="L93" t="str">
        <f>INDEX(products!$A$1:$G$49,MATCH($F93,products!$A$1:$A$49,0),MATCH(L$1,products!$A$1:$G$1,0))</f>
        <v>D</v>
      </c>
      <c r="M93" s="5">
        <f>INDEX(products!$A$1:$G$49,MATCH($F93,products!$A$1:$A$49,0),MATCH(M$1,products!$A$1:$G$1,0))</f>
        <v>0.5</v>
      </c>
      <c r="N93" s="7">
        <f>INDEX(products!$A$1:$G$49,MATCH($F93,products!$A$1:$A$49,0),MATCH(N$1,products!$A$1:$G$1,0))</f>
        <v>7.29</v>
      </c>
      <c r="O93" s="7">
        <f t="shared" si="1"/>
        <v>7.29</v>
      </c>
      <c r="P93" t="str" cm="1">
        <f t="array" ref="P93">_xlfn.IFS(K93="Rob","Robusta",K93="Exc","Excelsa",K93="Ara","Arabica",K93="Lib","Liberica")</f>
        <v>Excelsa</v>
      </c>
      <c r="Q93" t="str" cm="1">
        <f t="array" ref="Q93">_xlfn.IFS(L93="M","Medium",L93="L","Light",L93="D","Dark")</f>
        <v>Dark</v>
      </c>
      <c r="R93" t="str">
        <f>_xlfn.XLOOKUP(Orders[[#This Row],[Customer ID]],customers!$A$1:$A$1001,customers!$I$1:$I$1001)</f>
        <v>Yes</v>
      </c>
    </row>
    <row r="94" spans="1:18" x14ac:dyDescent="0.35">
      <c r="A94" s="2" t="s">
        <v>4445</v>
      </c>
      <c r="B94" s="4">
        <v>43736</v>
      </c>
      <c r="C94" s="23">
        <f>Orders[[#This Row],[Order Date]]</f>
        <v>43736</v>
      </c>
      <c r="D94" s="2">
        <f>YEAR(Orders[[#This Row],[Order Date]])</f>
        <v>2019</v>
      </c>
      <c r="E94" s="2" t="s">
        <v>4446</v>
      </c>
      <c r="F94" t="s">
        <v>6161</v>
      </c>
      <c r="G94" s="20">
        <v>2</v>
      </c>
      <c r="H94" s="2" t="str">
        <f>INDEX(customers!$A$1:$I$1001,MATCH($E94,customers!$A$1:$A$1001,),MATCH($H$1,customers!$A$1:$I$1,0))</f>
        <v>Barrett Gudde</v>
      </c>
      <c r="I94" s="2" t="str">
        <f>IF(INDEX(customers!$A$1:$I$1001,MATCH($E94,customers!$A$1:$A$1001,0),3)=0,"",INDEX(customers!$A$1:$I$1001,MATCH($E94,customers!$A$1:$A$1001,0),3))</f>
        <v>bguddejg@dailymotion.com</v>
      </c>
      <c r="J94" s="2" t="str">
        <f>_xlfn.XLOOKUP(E94,customers!$A$1:$A$1001,customers!$G$1:$G$1001)</f>
        <v>United States</v>
      </c>
      <c r="K94" t="str">
        <f>INDEX(products!$A$1:$G$49,MATCH($F94,products!$A$1:$A$49,0),MATCH(K$1,products!$A$1:$G$1,0))</f>
        <v>Lib</v>
      </c>
      <c r="L94" t="str">
        <f>INDEX(products!$A$1:$G$49,MATCH($F94,products!$A$1:$A$49,0),MATCH(L$1,products!$A$1:$G$1,0))</f>
        <v>L</v>
      </c>
      <c r="M94" s="5">
        <f>INDEX(products!$A$1:$G$49,MATCH($F94,products!$A$1:$A$49,0),MATCH(M$1,products!$A$1:$G$1,0))</f>
        <v>0.5</v>
      </c>
      <c r="N94" s="7">
        <f>INDEX(products!$A$1:$G$49,MATCH($F94,products!$A$1:$A$49,0),MATCH(N$1,products!$A$1:$G$1,0))</f>
        <v>9.51</v>
      </c>
      <c r="O94" s="7">
        <f t="shared" si="1"/>
        <v>19.02</v>
      </c>
      <c r="P94" t="str" cm="1">
        <f t="array" ref="P94">_xlfn.IFS(K94="Rob","Robusta",K94="Exc","Excelsa",K94="Ara","Arabica",K94="Lib","Liberica")</f>
        <v>Liberica</v>
      </c>
      <c r="Q94" t="str" cm="1">
        <f t="array" ref="Q94">_xlfn.IFS(L94="M","Medium",L94="L","Light",L94="D","Dark")</f>
        <v>Light</v>
      </c>
      <c r="R94" t="str">
        <f>_xlfn.XLOOKUP(Orders[[#This Row],[Customer ID]],customers!$A$1:$A$1001,customers!$I$1:$I$1001)</f>
        <v>No</v>
      </c>
    </row>
    <row r="95" spans="1:18" x14ac:dyDescent="0.35">
      <c r="A95" s="2" t="s">
        <v>4477</v>
      </c>
      <c r="B95" s="4">
        <v>44353</v>
      </c>
      <c r="C95" s="23">
        <f>Orders[[#This Row],[Order Date]]</f>
        <v>44353</v>
      </c>
      <c r="D95" s="2">
        <f>YEAR(Orders[[#This Row],[Order Date]])</f>
        <v>2021</v>
      </c>
      <c r="E95" s="2" t="s">
        <v>4478</v>
      </c>
      <c r="F95" t="s">
        <v>6156</v>
      </c>
      <c r="G95" s="20">
        <v>3</v>
      </c>
      <c r="H95" s="2" t="str">
        <f>INDEX(customers!$A$1:$I$1001,MATCH($E95,customers!$A$1:$A$1001,),MATCH($H$1,customers!$A$1:$I$1,0))</f>
        <v>Barrie Fallowes</v>
      </c>
      <c r="I95" s="2" t="str">
        <f>IF(INDEX(customers!$A$1:$I$1001,MATCH($E95,customers!$A$1:$A$1001,0),3)=0,"",INDEX(customers!$A$1:$I$1001,MATCH($E95,customers!$A$1:$A$1001,0),3))</f>
        <v>bfallowesjm@purevolume.com</v>
      </c>
      <c r="J95" s="2" t="str">
        <f>_xlfn.XLOOKUP(E95,customers!$A$1:$A$1001,customers!$G$1:$G$1001)</f>
        <v>United States</v>
      </c>
      <c r="K95" t="str">
        <f>INDEX(products!$A$1:$G$49,MATCH($F95,products!$A$1:$A$49,0),MATCH(K$1,products!$A$1:$G$1,0))</f>
        <v>Exc</v>
      </c>
      <c r="L95" t="str">
        <f>INDEX(products!$A$1:$G$49,MATCH($F95,products!$A$1:$A$49,0),MATCH(L$1,products!$A$1:$G$1,0))</f>
        <v>M</v>
      </c>
      <c r="M95" s="5">
        <f>INDEX(products!$A$1:$G$49,MATCH($F95,products!$A$1:$A$49,0),MATCH(M$1,products!$A$1:$G$1,0))</f>
        <v>0.2</v>
      </c>
      <c r="N95" s="7">
        <f>INDEX(products!$A$1:$G$49,MATCH($F95,products!$A$1:$A$49,0),MATCH(N$1,products!$A$1:$G$1,0))</f>
        <v>4.125</v>
      </c>
      <c r="O95" s="7">
        <f t="shared" si="1"/>
        <v>12.375</v>
      </c>
      <c r="P95" t="str" cm="1">
        <f t="array" ref="P95">_xlfn.IFS(K95="Rob","Robusta",K95="Exc","Excelsa",K95="Ara","Arabica",K95="Lib","Liberica")</f>
        <v>Excelsa</v>
      </c>
      <c r="Q95" t="str" cm="1">
        <f t="array" ref="Q95">_xlfn.IFS(L95="M","Medium",L95="L","Light",L95="D","Dark")</f>
        <v>Medium</v>
      </c>
      <c r="R95" t="str">
        <f>_xlfn.XLOOKUP(Orders[[#This Row],[Customer ID]],customers!$A$1:$A$1001,customers!$I$1:$I$1001)</f>
        <v>No</v>
      </c>
    </row>
    <row r="96" spans="1:18" x14ac:dyDescent="0.35">
      <c r="A96" s="2" t="s">
        <v>1459</v>
      </c>
      <c r="B96" s="4">
        <v>44545</v>
      </c>
      <c r="C96" s="23">
        <f>Orders[[#This Row],[Order Date]]</f>
        <v>44545</v>
      </c>
      <c r="D96" s="2">
        <f>YEAR(Orders[[#This Row],[Order Date]])</f>
        <v>2021</v>
      </c>
      <c r="E96" s="2" t="s">
        <v>1460</v>
      </c>
      <c r="F96" t="s">
        <v>6144</v>
      </c>
      <c r="G96" s="20">
        <v>3</v>
      </c>
      <c r="H96" s="2" t="str">
        <f>INDEX(customers!$A$1:$I$1001,MATCH($E96,customers!$A$1:$A$1001,),MATCH($H$1,customers!$A$1:$I$1,0))</f>
        <v>Bartholemy Flaherty</v>
      </c>
      <c r="I96" s="2" t="str">
        <f>IF(INDEX(customers!$A$1:$I$1001,MATCH($E96,customers!$A$1:$A$1001,0),3)=0,"",INDEX(customers!$A$1:$I$1001,MATCH($E96,customers!$A$1:$A$1001,0),3))</f>
        <v>bflaherty4s@moonfruit.com</v>
      </c>
      <c r="J96" s="2" t="str">
        <f>_xlfn.XLOOKUP(E96,customers!$A$1:$A$1001,customers!$G$1:$G$1001)</f>
        <v>Ireland</v>
      </c>
      <c r="K96" t="str">
        <f>INDEX(products!$A$1:$G$49,MATCH($F96,products!$A$1:$A$49,0),MATCH(K$1,products!$A$1:$G$1,0))</f>
        <v>Exc</v>
      </c>
      <c r="L96" t="str">
        <f>INDEX(products!$A$1:$G$49,MATCH($F96,products!$A$1:$A$49,0),MATCH(L$1,products!$A$1:$G$1,0))</f>
        <v>D</v>
      </c>
      <c r="M96" s="5">
        <f>INDEX(products!$A$1:$G$49,MATCH($F96,products!$A$1:$A$49,0),MATCH(M$1,products!$A$1:$G$1,0))</f>
        <v>0.5</v>
      </c>
      <c r="N96" s="7">
        <f>INDEX(products!$A$1:$G$49,MATCH($F96,products!$A$1:$A$49,0),MATCH(N$1,products!$A$1:$G$1,0))</f>
        <v>7.29</v>
      </c>
      <c r="O96" s="7">
        <f t="shared" si="1"/>
        <v>21.87</v>
      </c>
      <c r="P96" t="str" cm="1">
        <f t="array" ref="P96">_xlfn.IFS(K96="Rob","Robusta",K96="Exc","Excelsa",K96="Ara","Arabica",K96="Lib","Liberica")</f>
        <v>Excelsa</v>
      </c>
      <c r="Q96" t="str" cm="1">
        <f t="array" ref="Q96">_xlfn.IFS(L96="M","Medium",L96="L","Light",L96="D","Dark")</f>
        <v>Dark</v>
      </c>
      <c r="R96" t="str">
        <f>_xlfn.XLOOKUP(Orders[[#This Row],[Customer ID]],customers!$A$1:$A$1001,customers!$I$1:$I$1001)</f>
        <v>No</v>
      </c>
    </row>
    <row r="97" spans="1:18" x14ac:dyDescent="0.35">
      <c r="A97" s="2" t="s">
        <v>2335</v>
      </c>
      <c r="B97" s="4">
        <v>43579</v>
      </c>
      <c r="C97" s="23">
        <f>Orders[[#This Row],[Order Date]]</f>
        <v>43579</v>
      </c>
      <c r="D97" s="2">
        <f>YEAR(Orders[[#This Row],[Order Date]])</f>
        <v>2019</v>
      </c>
      <c r="E97" s="2" t="s">
        <v>2336</v>
      </c>
      <c r="F97" t="s">
        <v>6177</v>
      </c>
      <c r="G97" s="20">
        <v>5</v>
      </c>
      <c r="H97" s="2" t="str">
        <f>INDEX(customers!$A$1:$I$1001,MATCH($E97,customers!$A$1:$A$1001,),MATCH($H$1,customers!$A$1:$I$1,0))</f>
        <v>Baudoin Alldridge</v>
      </c>
      <c r="I97" s="2" t="str">
        <f>IF(INDEX(customers!$A$1:$I$1001,MATCH($E97,customers!$A$1:$A$1001,0),3)=0,"",INDEX(customers!$A$1:$I$1001,MATCH($E97,customers!$A$1:$A$1001,0),3))</f>
        <v>balldridge93@yandex.ru</v>
      </c>
      <c r="J97" s="2" t="str">
        <f>_xlfn.XLOOKUP(E97,customers!$A$1:$A$1001,customers!$G$1:$G$1001)</f>
        <v>United States</v>
      </c>
      <c r="K97" t="str">
        <f>INDEX(products!$A$1:$G$49,MATCH($F97,products!$A$1:$A$49,0),MATCH(K$1,products!$A$1:$G$1,0))</f>
        <v>Rob</v>
      </c>
      <c r="L97" t="str">
        <f>INDEX(products!$A$1:$G$49,MATCH($F97,products!$A$1:$A$49,0),MATCH(L$1,products!$A$1:$G$1,0))</f>
        <v>D</v>
      </c>
      <c r="M97" s="5">
        <f>INDEX(products!$A$1:$G$49,MATCH($F97,products!$A$1:$A$49,0),MATCH(M$1,products!$A$1:$G$1,0))</f>
        <v>1</v>
      </c>
      <c r="N97" s="7">
        <f>INDEX(products!$A$1:$G$49,MATCH($F97,products!$A$1:$A$49,0),MATCH(N$1,products!$A$1:$G$1,0))</f>
        <v>8.9499999999999993</v>
      </c>
      <c r="O97" s="7">
        <f t="shared" si="1"/>
        <v>44.75</v>
      </c>
      <c r="P97" t="str" cm="1">
        <f t="array" ref="P97">_xlfn.IFS(K97="Rob","Robusta",K97="Exc","Excelsa",K97="Ara","Arabica",K97="Lib","Liberica")</f>
        <v>Robusta</v>
      </c>
      <c r="Q97" t="str" cm="1">
        <f t="array" ref="Q97">_xlfn.IFS(L97="M","Medium",L97="L","Light",L97="D","Dark")</f>
        <v>Dark</v>
      </c>
      <c r="R97" t="str">
        <f>_xlfn.XLOOKUP(Orders[[#This Row],[Customer ID]],customers!$A$1:$A$1001,customers!$I$1:$I$1001)</f>
        <v>Yes</v>
      </c>
    </row>
    <row r="98" spans="1:18" x14ac:dyDescent="0.35">
      <c r="A98" s="2" t="s">
        <v>5558</v>
      </c>
      <c r="B98" s="4">
        <v>44347</v>
      </c>
      <c r="C98" s="23">
        <f>Orders[[#This Row],[Order Date]]</f>
        <v>44347</v>
      </c>
      <c r="D98" s="2">
        <f>YEAR(Orders[[#This Row],[Order Date]])</f>
        <v>2021</v>
      </c>
      <c r="E98" s="2" t="s">
        <v>5559</v>
      </c>
      <c r="F98" t="s">
        <v>6172</v>
      </c>
      <c r="G98" s="20">
        <v>6</v>
      </c>
      <c r="H98" s="2" t="str">
        <f>INDEX(customers!$A$1:$I$1001,MATCH($E98,customers!$A$1:$A$1001,),MATCH($H$1,customers!$A$1:$I$1,0))</f>
        <v>Baxy Cargen</v>
      </c>
      <c r="I98" s="2" t="str">
        <f>IF(INDEX(customers!$A$1:$I$1001,MATCH($E98,customers!$A$1:$A$1001,0),3)=0,"",INDEX(customers!$A$1:$I$1001,MATCH($E98,customers!$A$1:$A$1001,0),3))</f>
        <v>bcargenow@geocities.jp</v>
      </c>
      <c r="J98" s="2" t="str">
        <f>_xlfn.XLOOKUP(E98,customers!$A$1:$A$1001,customers!$G$1:$G$1001)</f>
        <v>United States</v>
      </c>
      <c r="K98" t="str">
        <f>INDEX(products!$A$1:$G$49,MATCH($F98,products!$A$1:$A$49,0),MATCH(K$1,products!$A$1:$G$1,0))</f>
        <v>Rob</v>
      </c>
      <c r="L98" t="str">
        <f>INDEX(products!$A$1:$G$49,MATCH($F98,products!$A$1:$A$49,0),MATCH(L$1,products!$A$1:$G$1,0))</f>
        <v>D</v>
      </c>
      <c r="M98" s="5">
        <f>INDEX(products!$A$1:$G$49,MATCH($F98,products!$A$1:$A$49,0),MATCH(M$1,products!$A$1:$G$1,0))</f>
        <v>0.5</v>
      </c>
      <c r="N98" s="7">
        <f>INDEX(products!$A$1:$G$49,MATCH($F98,products!$A$1:$A$49,0),MATCH(N$1,products!$A$1:$G$1,0))</f>
        <v>5.3699999999999992</v>
      </c>
      <c r="O98" s="7">
        <f t="shared" si="1"/>
        <v>32.22</v>
      </c>
      <c r="P98" t="str" cm="1">
        <f t="array" ref="P98">_xlfn.IFS(K98="Rob","Robusta",K98="Exc","Excelsa",K98="Ara","Arabica",K98="Lib","Liberica")</f>
        <v>Robusta</v>
      </c>
      <c r="Q98" t="str" cm="1">
        <f t="array" ref="Q98">_xlfn.IFS(L98="M","Medium",L98="L","Light",L98="D","Dark")</f>
        <v>Dark</v>
      </c>
      <c r="R98" t="str">
        <f>_xlfn.XLOOKUP(Orders[[#This Row],[Customer ID]],customers!$A$1:$A$1001,customers!$I$1:$I$1001)</f>
        <v>Yes</v>
      </c>
    </row>
    <row r="99" spans="1:18" x14ac:dyDescent="0.35">
      <c r="A99" s="2" t="s">
        <v>5107</v>
      </c>
      <c r="B99" s="4">
        <v>43798</v>
      </c>
      <c r="C99" s="23">
        <f>Orders[[#This Row],[Order Date]]</f>
        <v>43798</v>
      </c>
      <c r="D99" s="2">
        <f>YEAR(Orders[[#This Row],[Order Date]])</f>
        <v>2019</v>
      </c>
      <c r="E99" s="2" t="s">
        <v>5108</v>
      </c>
      <c r="F99" t="s">
        <v>6169</v>
      </c>
      <c r="G99" s="20">
        <v>2</v>
      </c>
      <c r="H99" s="2" t="str">
        <f>INDEX(customers!$A$1:$I$1001,MATCH($E99,customers!$A$1:$A$1001,),MATCH($H$1,customers!$A$1:$I$1,0))</f>
        <v>Bayard Wellan</v>
      </c>
      <c r="I99" s="2" t="str">
        <f>IF(INDEX(customers!$A$1:$I$1001,MATCH($E99,customers!$A$1:$A$1001,0),3)=0,"",INDEX(customers!$A$1:$I$1001,MATCH($E99,customers!$A$1:$A$1001,0),3))</f>
        <v>bwellanmp@cafepress.com</v>
      </c>
      <c r="J99" s="2" t="str">
        <f>_xlfn.XLOOKUP(E99,customers!$A$1:$A$1001,customers!$G$1:$G$1001)</f>
        <v>United States</v>
      </c>
      <c r="K99" t="str">
        <f>INDEX(products!$A$1:$G$49,MATCH($F99,products!$A$1:$A$49,0),MATCH(K$1,products!$A$1:$G$1,0))</f>
        <v>Lib</v>
      </c>
      <c r="L99" t="str">
        <f>INDEX(products!$A$1:$G$49,MATCH($F99,products!$A$1:$A$49,0),MATCH(L$1,products!$A$1:$G$1,0))</f>
        <v>D</v>
      </c>
      <c r="M99" s="5">
        <f>INDEX(products!$A$1:$G$49,MATCH($F99,products!$A$1:$A$49,0),MATCH(M$1,products!$A$1:$G$1,0))</f>
        <v>0.5</v>
      </c>
      <c r="N99" s="7">
        <f>INDEX(products!$A$1:$G$49,MATCH($F99,products!$A$1:$A$49,0),MATCH(N$1,products!$A$1:$G$1,0))</f>
        <v>7.77</v>
      </c>
      <c r="O99" s="7">
        <f t="shared" si="1"/>
        <v>15.54</v>
      </c>
      <c r="P99" t="str" cm="1">
        <f t="array" ref="P99">_xlfn.IFS(K99="Rob","Robusta",K99="Exc","Excelsa",K99="Ara","Arabica",K99="Lib","Liberica")</f>
        <v>Liberica</v>
      </c>
      <c r="Q99" t="str" cm="1">
        <f t="array" ref="Q99">_xlfn.IFS(L99="M","Medium",L99="L","Light",L99="D","Dark")</f>
        <v>Dark</v>
      </c>
      <c r="R99" t="str">
        <f>_xlfn.XLOOKUP(Orders[[#This Row],[Customer ID]],customers!$A$1:$A$1001,customers!$I$1:$I$1001)</f>
        <v>No</v>
      </c>
    </row>
    <row r="100" spans="1:18" x14ac:dyDescent="0.35">
      <c r="A100" s="2" t="s">
        <v>5305</v>
      </c>
      <c r="B100" s="4">
        <v>44527</v>
      </c>
      <c r="C100" s="23">
        <f>Orders[[#This Row],[Order Date]]</f>
        <v>44527</v>
      </c>
      <c r="D100" s="2">
        <f>YEAR(Orders[[#This Row],[Order Date]])</f>
        <v>2021</v>
      </c>
      <c r="E100" s="2" t="s">
        <v>5306</v>
      </c>
      <c r="F100" t="s">
        <v>6165</v>
      </c>
      <c r="G100" s="20">
        <v>4</v>
      </c>
      <c r="H100" s="2" t="str">
        <f>INDEX(customers!$A$1:$I$1001,MATCH($E100,customers!$A$1:$A$1001,),MATCH($H$1,customers!$A$1:$I$1,0))</f>
        <v>Bear Gaish</v>
      </c>
      <c r="I100" s="2" t="str">
        <f>IF(INDEX(customers!$A$1:$I$1001,MATCH($E100,customers!$A$1:$A$1001,0),3)=0,"",INDEX(customers!$A$1:$I$1001,MATCH($E100,customers!$A$1:$A$1001,0),3))</f>
        <v>bgaishno@altervista.org</v>
      </c>
      <c r="J100" s="2" t="str">
        <f>_xlfn.XLOOKUP(E100,customers!$A$1:$A$1001,customers!$G$1:$G$1001)</f>
        <v>United States</v>
      </c>
      <c r="K100" t="str">
        <f>INDEX(products!$A$1:$G$49,MATCH($F100,products!$A$1:$A$49,0),MATCH(K$1,products!$A$1:$G$1,0))</f>
        <v>Lib</v>
      </c>
      <c r="L100" t="str">
        <f>INDEX(products!$A$1:$G$49,MATCH($F100,products!$A$1:$A$49,0),MATCH(L$1,products!$A$1:$G$1,0))</f>
        <v>D</v>
      </c>
      <c r="M100" s="5">
        <f>INDEX(products!$A$1:$G$49,MATCH($F100,products!$A$1:$A$49,0),MATCH(M$1,products!$A$1:$G$1,0))</f>
        <v>2.5</v>
      </c>
      <c r="N100" s="7">
        <f>INDEX(products!$A$1:$G$49,MATCH($F100,products!$A$1:$A$49,0),MATCH(N$1,products!$A$1:$G$1,0))</f>
        <v>29.784999999999997</v>
      </c>
      <c r="O100" s="7">
        <f t="shared" si="1"/>
        <v>119.13999999999999</v>
      </c>
      <c r="P100" t="str" cm="1">
        <f t="array" ref="P100">_xlfn.IFS(K100="Rob","Robusta",K100="Exc","Excelsa",K100="Ara","Arabica",K100="Lib","Liberica")</f>
        <v>Liberica</v>
      </c>
      <c r="Q100" t="str" cm="1">
        <f t="array" ref="Q100">_xlfn.IFS(L100="M","Medium",L100="L","Light",L100="D","Dark")</f>
        <v>Dark</v>
      </c>
      <c r="R100" t="str">
        <f>_xlfn.XLOOKUP(Orders[[#This Row],[Customer ID]],customers!$A$1:$A$1001,customers!$I$1:$I$1001)</f>
        <v>Yes</v>
      </c>
    </row>
    <row r="101" spans="1:18" x14ac:dyDescent="0.35">
      <c r="A101" s="2" t="s">
        <v>5949</v>
      </c>
      <c r="B101" s="4">
        <v>43491</v>
      </c>
      <c r="C101" s="23">
        <f>Orders[[#This Row],[Order Date]]</f>
        <v>43491</v>
      </c>
      <c r="D101" s="2">
        <f>YEAR(Orders[[#This Row],[Order Date]])</f>
        <v>2019</v>
      </c>
      <c r="E101" s="2" t="s">
        <v>5950</v>
      </c>
      <c r="F101" t="s">
        <v>6176</v>
      </c>
      <c r="G101" s="20">
        <v>6</v>
      </c>
      <c r="H101" s="2" t="str">
        <f>INDEX(customers!$A$1:$I$1001,MATCH($E101,customers!$A$1:$A$1001,),MATCH($H$1,customers!$A$1:$I$1,0))</f>
        <v>Bearnard Wardell</v>
      </c>
      <c r="I101" s="2" t="str">
        <f>IF(INDEX(customers!$A$1:$I$1001,MATCH($E101,customers!$A$1:$A$1001,0),3)=0,"",INDEX(customers!$A$1:$I$1001,MATCH($E101,customers!$A$1:$A$1001,0),3))</f>
        <v>bwardellqu@adobe.com</v>
      </c>
      <c r="J101" s="2" t="str">
        <f>_xlfn.XLOOKUP(E101,customers!$A$1:$A$1001,customers!$G$1:$G$1001)</f>
        <v>United States</v>
      </c>
      <c r="K101" t="str">
        <f>INDEX(products!$A$1:$G$49,MATCH($F101,products!$A$1:$A$49,0),MATCH(K$1,products!$A$1:$G$1,0))</f>
        <v>Exc</v>
      </c>
      <c r="L101" t="str">
        <f>INDEX(products!$A$1:$G$49,MATCH($F101,products!$A$1:$A$49,0),MATCH(L$1,products!$A$1:$G$1,0))</f>
        <v>L</v>
      </c>
      <c r="M101" s="5">
        <f>INDEX(products!$A$1:$G$49,MATCH($F101,products!$A$1:$A$49,0),MATCH(M$1,products!$A$1:$G$1,0))</f>
        <v>0.5</v>
      </c>
      <c r="N101" s="7">
        <f>INDEX(products!$A$1:$G$49,MATCH($F101,products!$A$1:$A$49,0),MATCH(N$1,products!$A$1:$G$1,0))</f>
        <v>8.91</v>
      </c>
      <c r="O101" s="7">
        <f t="shared" si="1"/>
        <v>53.46</v>
      </c>
      <c r="P101" t="str" cm="1">
        <f t="array" ref="P101">_xlfn.IFS(K101="Rob","Robusta",K101="Exc","Excelsa",K101="Ara","Arabica",K101="Lib","Liberica")</f>
        <v>Excelsa</v>
      </c>
      <c r="Q101" t="str" cm="1">
        <f t="array" ref="Q101">_xlfn.IFS(L101="M","Medium",L101="L","Light",L101="D","Dark")</f>
        <v>Light</v>
      </c>
      <c r="R101" t="str">
        <f>_xlfn.XLOOKUP(Orders[[#This Row],[Customer ID]],customers!$A$1:$A$1001,customers!$I$1:$I$1001)</f>
        <v>Yes</v>
      </c>
    </row>
    <row r="102" spans="1:18" x14ac:dyDescent="0.35">
      <c r="A102" s="2" t="s">
        <v>4354</v>
      </c>
      <c r="B102" s="4">
        <v>43517</v>
      </c>
      <c r="C102" s="23">
        <f>Orders[[#This Row],[Order Date]]</f>
        <v>43517</v>
      </c>
      <c r="D102" s="2">
        <f>YEAR(Orders[[#This Row],[Order Date]])</f>
        <v>2019</v>
      </c>
      <c r="E102" s="2" t="s">
        <v>4355</v>
      </c>
      <c r="F102" t="s">
        <v>6179</v>
      </c>
      <c r="G102" s="20">
        <v>6</v>
      </c>
      <c r="H102" s="2" t="str">
        <f>INDEX(customers!$A$1:$I$1001,MATCH($E102,customers!$A$1:$A$1001,),MATCH($H$1,customers!$A$1:$I$1,0))</f>
        <v>Becca Ableson</v>
      </c>
      <c r="I102" s="2" t="str">
        <f>IF(INDEX(customers!$A$1:$I$1001,MATCH($E102,customers!$A$1:$A$1001,0),3)=0,"",INDEX(customers!$A$1:$I$1001,MATCH($E102,customers!$A$1:$A$1001,0),3))</f>
        <v/>
      </c>
      <c r="J102" s="2" t="str">
        <f>_xlfn.XLOOKUP(E102,customers!$A$1:$A$1001,customers!$G$1:$G$1001)</f>
        <v>United States</v>
      </c>
      <c r="K102" t="str">
        <f>INDEX(products!$A$1:$G$49,MATCH($F102,products!$A$1:$A$49,0),MATCH(K$1,products!$A$1:$G$1,0))</f>
        <v>Rob</v>
      </c>
      <c r="L102" t="str">
        <f>INDEX(products!$A$1:$G$49,MATCH($F102,products!$A$1:$A$49,0),MATCH(L$1,products!$A$1:$G$1,0))</f>
        <v>L</v>
      </c>
      <c r="M102" s="5">
        <f>INDEX(products!$A$1:$G$49,MATCH($F102,products!$A$1:$A$49,0),MATCH(M$1,products!$A$1:$G$1,0))</f>
        <v>1</v>
      </c>
      <c r="N102" s="7">
        <f>INDEX(products!$A$1:$G$49,MATCH($F102,products!$A$1:$A$49,0),MATCH(N$1,products!$A$1:$G$1,0))</f>
        <v>11.95</v>
      </c>
      <c r="O102" s="7">
        <f t="shared" si="1"/>
        <v>71.699999999999989</v>
      </c>
      <c r="P102" t="str" cm="1">
        <f t="array" ref="P102">_xlfn.IFS(K102="Rob","Robusta",K102="Exc","Excelsa",K102="Ara","Arabica",K102="Lib","Liberica")</f>
        <v>Robusta</v>
      </c>
      <c r="Q102" t="str" cm="1">
        <f t="array" ref="Q102">_xlfn.IFS(L102="M","Medium",L102="L","Light",L102="D","Dark")</f>
        <v>Light</v>
      </c>
      <c r="R102" t="str">
        <f>_xlfn.XLOOKUP(Orders[[#This Row],[Customer ID]],customers!$A$1:$A$1001,customers!$I$1:$I$1001)</f>
        <v>No</v>
      </c>
    </row>
    <row r="103" spans="1:18" x14ac:dyDescent="0.35">
      <c r="A103" s="2" t="s">
        <v>3248</v>
      </c>
      <c r="B103" s="4">
        <v>43954</v>
      </c>
      <c r="C103" s="23">
        <f>Orders[[#This Row],[Order Date]]</f>
        <v>43954</v>
      </c>
      <c r="D103" s="2">
        <f>YEAR(Orders[[#This Row],[Order Date]])</f>
        <v>2020</v>
      </c>
      <c r="E103" s="2" t="s">
        <v>3249</v>
      </c>
      <c r="F103" t="s">
        <v>6174</v>
      </c>
      <c r="G103" s="20">
        <v>5</v>
      </c>
      <c r="H103" s="2" t="str">
        <f>INDEX(customers!$A$1:$I$1001,MATCH($E103,customers!$A$1:$A$1001,),MATCH($H$1,customers!$A$1:$I$1,0))</f>
        <v>Becky Semkins</v>
      </c>
      <c r="I103" s="2" t="str">
        <f>IF(INDEX(customers!$A$1:$I$1001,MATCH($E103,customers!$A$1:$A$1001,0),3)=0,"",INDEX(customers!$A$1:$I$1001,MATCH($E103,customers!$A$1:$A$1001,0),3))</f>
        <v>bsemkinsdk@unc.edu</v>
      </c>
      <c r="J103" s="2" t="str">
        <f>_xlfn.XLOOKUP(E103,customers!$A$1:$A$1001,customers!$G$1:$G$1001)</f>
        <v>Ireland</v>
      </c>
      <c r="K103" t="str">
        <f>INDEX(products!$A$1:$G$49,MATCH($F103,products!$A$1:$A$49,0),MATCH(K$1,products!$A$1:$G$1,0))</f>
        <v>Rob</v>
      </c>
      <c r="L103" t="str">
        <f>INDEX(products!$A$1:$G$49,MATCH($F103,products!$A$1:$A$49,0),MATCH(L$1,products!$A$1:$G$1,0))</f>
        <v>M</v>
      </c>
      <c r="M103" s="5">
        <f>INDEX(products!$A$1:$G$49,MATCH($F103,products!$A$1:$A$49,0),MATCH(M$1,products!$A$1:$G$1,0))</f>
        <v>0.2</v>
      </c>
      <c r="N103" s="7">
        <f>INDEX(products!$A$1:$G$49,MATCH($F103,products!$A$1:$A$49,0),MATCH(N$1,products!$A$1:$G$1,0))</f>
        <v>2.9849999999999999</v>
      </c>
      <c r="O103" s="7">
        <f t="shared" si="1"/>
        <v>14.924999999999999</v>
      </c>
      <c r="P103" t="str" cm="1">
        <f t="array" ref="P103">_xlfn.IFS(K103="Rob","Robusta",K103="Exc","Excelsa",K103="Ara","Arabica",K103="Lib","Liberica")</f>
        <v>Robusta</v>
      </c>
      <c r="Q103" t="str" cm="1">
        <f t="array" ref="Q103">_xlfn.IFS(L103="M","Medium",L103="L","Light",L103="D","Dark")</f>
        <v>Medium</v>
      </c>
      <c r="R103" t="str">
        <f>_xlfn.XLOOKUP(Orders[[#This Row],[Customer ID]],customers!$A$1:$A$1001,customers!$I$1:$I$1001)</f>
        <v>Yes</v>
      </c>
    </row>
    <row r="104" spans="1:18" x14ac:dyDescent="0.35">
      <c r="A104" s="2" t="s">
        <v>5391</v>
      </c>
      <c r="B104" s="4">
        <v>44792</v>
      </c>
      <c r="C104" s="23">
        <f>Orders[[#This Row],[Order Date]]</f>
        <v>44792</v>
      </c>
      <c r="D104" s="2">
        <f>YEAR(Orders[[#This Row],[Order Date]])</f>
        <v>2022</v>
      </c>
      <c r="E104" s="2" t="s">
        <v>5392</v>
      </c>
      <c r="F104" t="s">
        <v>6182</v>
      </c>
      <c r="G104" s="20">
        <v>1</v>
      </c>
      <c r="H104" s="2" t="str">
        <f>INDEX(customers!$A$1:$I$1001,MATCH($E104,customers!$A$1:$A$1001,),MATCH($H$1,customers!$A$1:$I$1,0))</f>
        <v>Bee Fattorini</v>
      </c>
      <c r="I104" s="2" t="str">
        <f>IF(INDEX(customers!$A$1:$I$1001,MATCH($E104,customers!$A$1:$A$1001,0),3)=0,"",INDEX(customers!$A$1:$I$1001,MATCH($E104,customers!$A$1:$A$1001,0),3))</f>
        <v>bfattorinio3@quantcast.com</v>
      </c>
      <c r="J104" s="2" t="str">
        <f>_xlfn.XLOOKUP(E104,customers!$A$1:$A$1001,customers!$G$1:$G$1001)</f>
        <v>Ireland</v>
      </c>
      <c r="K104" t="str">
        <f>INDEX(products!$A$1:$G$49,MATCH($F104,products!$A$1:$A$49,0),MATCH(K$1,products!$A$1:$G$1,0))</f>
        <v>Ara</v>
      </c>
      <c r="L104" t="str">
        <f>INDEX(products!$A$1:$G$49,MATCH($F104,products!$A$1:$A$49,0),MATCH(L$1,products!$A$1:$G$1,0))</f>
        <v>L</v>
      </c>
      <c r="M104" s="5">
        <f>INDEX(products!$A$1:$G$49,MATCH($F104,products!$A$1:$A$49,0),MATCH(M$1,products!$A$1:$G$1,0))</f>
        <v>2.5</v>
      </c>
      <c r="N104" s="7">
        <f>INDEX(products!$A$1:$G$49,MATCH($F104,products!$A$1:$A$49,0),MATCH(N$1,products!$A$1:$G$1,0))</f>
        <v>29.784999999999997</v>
      </c>
      <c r="O104" s="7">
        <f t="shared" si="1"/>
        <v>29.784999999999997</v>
      </c>
      <c r="P104" t="str" cm="1">
        <f t="array" ref="P104">_xlfn.IFS(K104="Rob","Robusta",K104="Exc","Excelsa",K104="Ara","Arabica",K104="Lib","Liberica")</f>
        <v>Arabica</v>
      </c>
      <c r="Q104" t="str" cm="1">
        <f t="array" ref="Q104">_xlfn.IFS(L104="M","Medium",L104="L","Light",L104="D","Dark")</f>
        <v>Light</v>
      </c>
      <c r="R104" t="str">
        <f>_xlfn.XLOOKUP(Orders[[#This Row],[Customer ID]],customers!$A$1:$A$1001,customers!$I$1:$I$1001)</f>
        <v>Yes</v>
      </c>
    </row>
    <row r="105" spans="1:18" x14ac:dyDescent="0.35">
      <c r="A105" s="2" t="s">
        <v>980</v>
      </c>
      <c r="B105" s="4">
        <v>44289</v>
      </c>
      <c r="C105" s="23">
        <f>Orders[[#This Row],[Order Date]]</f>
        <v>44289</v>
      </c>
      <c r="D105" s="2">
        <f>YEAR(Orders[[#This Row],[Order Date]])</f>
        <v>2021</v>
      </c>
      <c r="E105" s="2" t="s">
        <v>981</v>
      </c>
      <c r="F105" t="s">
        <v>6155</v>
      </c>
      <c r="G105" s="20">
        <v>3</v>
      </c>
      <c r="H105" s="2" t="str">
        <f>INDEX(customers!$A$1:$I$1001,MATCH($E105,customers!$A$1:$A$1001,),MATCH($H$1,customers!$A$1:$I$1,0))</f>
        <v>Beitris Keaveney</v>
      </c>
      <c r="I105" s="2" t="str">
        <f>IF(INDEX(customers!$A$1:$I$1001,MATCH($E105,customers!$A$1:$A$1001,0),3)=0,"",INDEX(customers!$A$1:$I$1001,MATCH($E105,customers!$A$1:$A$1001,0),3))</f>
        <v>bkeaveney2f@netlog.com</v>
      </c>
      <c r="J105" s="2" t="str">
        <f>_xlfn.XLOOKUP(E105,customers!$A$1:$A$1001,customers!$G$1:$G$1001)</f>
        <v>United States</v>
      </c>
      <c r="K105" t="str">
        <f>INDEX(products!$A$1:$G$49,MATCH($F105,products!$A$1:$A$49,0),MATCH(K$1,products!$A$1:$G$1,0))</f>
        <v>Ara</v>
      </c>
      <c r="L105" t="str">
        <f>INDEX(products!$A$1:$G$49,MATCH($F105,products!$A$1:$A$49,0),MATCH(L$1,products!$A$1:$G$1,0))</f>
        <v>M</v>
      </c>
      <c r="M105" s="5">
        <f>INDEX(products!$A$1:$G$49,MATCH($F105,products!$A$1:$A$49,0),MATCH(M$1,products!$A$1:$G$1,0))</f>
        <v>1</v>
      </c>
      <c r="N105" s="7">
        <f>INDEX(products!$A$1:$G$49,MATCH($F105,products!$A$1:$A$49,0),MATCH(N$1,products!$A$1:$G$1,0))</f>
        <v>11.25</v>
      </c>
      <c r="O105" s="7">
        <f t="shared" si="1"/>
        <v>33.75</v>
      </c>
      <c r="P105" t="str" cm="1">
        <f t="array" ref="P105">_xlfn.IFS(K105="Rob","Robusta",K105="Exc","Excelsa",K105="Ara","Arabica",K105="Lib","Liberica")</f>
        <v>Arabica</v>
      </c>
      <c r="Q105" t="str" cm="1">
        <f t="array" ref="Q105">_xlfn.IFS(L105="M","Medium",L105="L","Light",L105="D","Dark")</f>
        <v>Medium</v>
      </c>
      <c r="R105" t="str">
        <f>_xlfn.XLOOKUP(Orders[[#This Row],[Customer ID]],customers!$A$1:$A$1001,customers!$I$1:$I$1001)</f>
        <v>No</v>
      </c>
    </row>
    <row r="106" spans="1:18" x14ac:dyDescent="0.35">
      <c r="A106" s="2" t="s">
        <v>1777</v>
      </c>
      <c r="B106" s="4">
        <v>44376</v>
      </c>
      <c r="C106" s="23">
        <f>Orders[[#This Row],[Order Date]]</f>
        <v>44376</v>
      </c>
      <c r="D106" s="2">
        <f>YEAR(Orders[[#This Row],[Order Date]])</f>
        <v>2021</v>
      </c>
      <c r="E106" s="2" t="s">
        <v>1778</v>
      </c>
      <c r="F106" t="s">
        <v>6178</v>
      </c>
      <c r="G106" s="20">
        <v>5</v>
      </c>
      <c r="H106" s="2" t="str">
        <f>INDEX(customers!$A$1:$I$1001,MATCH($E106,customers!$A$1:$A$1001,),MATCH($H$1,customers!$A$1:$I$1,0))</f>
        <v>Beltran Mathon</v>
      </c>
      <c r="I106" s="2" t="str">
        <f>IF(INDEX(customers!$A$1:$I$1001,MATCH($E106,customers!$A$1:$A$1001,0),3)=0,"",INDEX(customers!$A$1:$I$1001,MATCH($E106,customers!$A$1:$A$1001,0),3))</f>
        <v>bmathon6c@barnesandnoble.com</v>
      </c>
      <c r="J106" s="2" t="str">
        <f>_xlfn.XLOOKUP(E106,customers!$A$1:$A$1001,customers!$G$1:$G$1001)</f>
        <v>United States</v>
      </c>
      <c r="K106" t="str">
        <f>INDEX(products!$A$1:$G$49,MATCH($F106,products!$A$1:$A$49,0),MATCH(K$1,products!$A$1:$G$1,0))</f>
        <v>Rob</v>
      </c>
      <c r="L106" t="str">
        <f>INDEX(products!$A$1:$G$49,MATCH($F106,products!$A$1:$A$49,0),MATCH(L$1,products!$A$1:$G$1,0))</f>
        <v>L</v>
      </c>
      <c r="M106" s="5">
        <f>INDEX(products!$A$1:$G$49,MATCH($F106,products!$A$1:$A$49,0),MATCH(M$1,products!$A$1:$G$1,0))</f>
        <v>0.2</v>
      </c>
      <c r="N106" s="7">
        <f>INDEX(products!$A$1:$G$49,MATCH($F106,products!$A$1:$A$49,0),MATCH(N$1,products!$A$1:$G$1,0))</f>
        <v>3.5849999999999995</v>
      </c>
      <c r="O106" s="7">
        <f t="shared" si="1"/>
        <v>17.924999999999997</v>
      </c>
      <c r="P106" t="str" cm="1">
        <f t="array" ref="P106">_xlfn.IFS(K106="Rob","Robusta",K106="Exc","Excelsa",K106="Ara","Arabica",K106="Lib","Liberica")</f>
        <v>Robusta</v>
      </c>
      <c r="Q106" t="str" cm="1">
        <f t="array" ref="Q106">_xlfn.IFS(L106="M","Medium",L106="L","Light",L106="D","Dark")</f>
        <v>Light</v>
      </c>
      <c r="R106" t="str">
        <f>_xlfn.XLOOKUP(Orders[[#This Row],[Customer ID]],customers!$A$1:$A$1001,customers!$I$1:$I$1001)</f>
        <v>No</v>
      </c>
    </row>
    <row r="107" spans="1:18" x14ac:dyDescent="0.35">
      <c r="A107" s="2" t="s">
        <v>860</v>
      </c>
      <c r="B107" s="4">
        <v>44666</v>
      </c>
      <c r="C107" s="23">
        <f>Orders[[#This Row],[Order Date]]</f>
        <v>44666</v>
      </c>
      <c r="D107" s="2">
        <f>YEAR(Orders[[#This Row],[Order Date]])</f>
        <v>2022</v>
      </c>
      <c r="E107" s="2" t="s">
        <v>861</v>
      </c>
      <c r="F107" t="s">
        <v>6173</v>
      </c>
      <c r="G107" s="20">
        <v>1</v>
      </c>
      <c r="H107" s="2" t="str">
        <f>INDEX(customers!$A$1:$I$1001,MATCH($E107,customers!$A$1:$A$1001,),MATCH($H$1,customers!$A$1:$I$1,0))</f>
        <v>Belvia Umpleby</v>
      </c>
      <c r="I107" s="2" t="str">
        <f>IF(INDEX(customers!$A$1:$I$1001,MATCH($E107,customers!$A$1:$A$1001,0),3)=0,"",INDEX(customers!$A$1:$I$1001,MATCH($E107,customers!$A$1:$A$1001,0),3))</f>
        <v>bumpleby1u@soundcloud.com</v>
      </c>
      <c r="J107" s="2" t="str">
        <f>_xlfn.XLOOKUP(E107,customers!$A$1:$A$1001,customers!$G$1:$G$1001)</f>
        <v>United States</v>
      </c>
      <c r="K107" t="str">
        <f>INDEX(products!$A$1:$G$49,MATCH($F107,products!$A$1:$A$49,0),MATCH(K$1,products!$A$1:$G$1,0))</f>
        <v>Rob</v>
      </c>
      <c r="L107" t="str">
        <f>INDEX(products!$A$1:$G$49,MATCH($F107,products!$A$1:$A$49,0),MATCH(L$1,products!$A$1:$G$1,0))</f>
        <v>L</v>
      </c>
      <c r="M107" s="5">
        <f>INDEX(products!$A$1:$G$49,MATCH($F107,products!$A$1:$A$49,0),MATCH(M$1,products!$A$1:$G$1,0))</f>
        <v>0.5</v>
      </c>
      <c r="N107" s="7">
        <f>INDEX(products!$A$1:$G$49,MATCH($F107,products!$A$1:$A$49,0),MATCH(N$1,products!$A$1:$G$1,0))</f>
        <v>7.169999999999999</v>
      </c>
      <c r="O107" s="7">
        <f t="shared" si="1"/>
        <v>7.169999999999999</v>
      </c>
      <c r="P107" t="str" cm="1">
        <f t="array" ref="P107">_xlfn.IFS(K107="Rob","Robusta",K107="Exc","Excelsa",K107="Ara","Arabica",K107="Lib","Liberica")</f>
        <v>Robusta</v>
      </c>
      <c r="Q107" t="str" cm="1">
        <f t="array" ref="Q107">_xlfn.IFS(L107="M","Medium",L107="L","Light",L107="D","Dark")</f>
        <v>Light</v>
      </c>
      <c r="R107" t="str">
        <f>_xlfn.XLOOKUP(Orders[[#This Row],[Customer ID]],customers!$A$1:$A$1001,customers!$I$1:$I$1001)</f>
        <v>Yes</v>
      </c>
    </row>
    <row r="108" spans="1:18" x14ac:dyDescent="0.35">
      <c r="A108" s="2" t="s">
        <v>2763</v>
      </c>
      <c r="B108" s="4">
        <v>44295</v>
      </c>
      <c r="C108" s="23">
        <f>Orders[[#This Row],[Order Date]]</f>
        <v>44295</v>
      </c>
      <c r="D108" s="2">
        <f>YEAR(Orders[[#This Row],[Order Date]])</f>
        <v>2021</v>
      </c>
      <c r="E108" s="2" t="s">
        <v>2764</v>
      </c>
      <c r="F108" t="s">
        <v>6145</v>
      </c>
      <c r="G108" s="20">
        <v>2</v>
      </c>
      <c r="H108" s="2" t="str">
        <f>INDEX(customers!$A$1:$I$1001,MATCH($E108,customers!$A$1:$A$1001,),MATCH($H$1,customers!$A$1:$I$1,0))</f>
        <v>Benedetto Gozzett</v>
      </c>
      <c r="I108" s="2" t="str">
        <f>IF(INDEX(customers!$A$1:$I$1001,MATCH($E108,customers!$A$1:$A$1001,0),3)=0,"",INDEX(customers!$A$1:$I$1001,MATCH($E108,customers!$A$1:$A$1001,0),3))</f>
        <v>bgozzettb7@github.com</v>
      </c>
      <c r="J108" s="2" t="str">
        <f>_xlfn.XLOOKUP(E108,customers!$A$1:$A$1001,customers!$G$1:$G$1001)</f>
        <v>United States</v>
      </c>
      <c r="K108" t="str">
        <f>INDEX(products!$A$1:$G$49,MATCH($F108,products!$A$1:$A$49,0),MATCH(K$1,products!$A$1:$G$1,0))</f>
        <v>Lib</v>
      </c>
      <c r="L108" t="str">
        <f>INDEX(products!$A$1:$G$49,MATCH($F108,products!$A$1:$A$49,0),MATCH(L$1,products!$A$1:$G$1,0))</f>
        <v>L</v>
      </c>
      <c r="M108" s="5">
        <f>INDEX(products!$A$1:$G$49,MATCH($F108,products!$A$1:$A$49,0),MATCH(M$1,products!$A$1:$G$1,0))</f>
        <v>0.2</v>
      </c>
      <c r="N108" s="7">
        <f>INDEX(products!$A$1:$G$49,MATCH($F108,products!$A$1:$A$49,0),MATCH(N$1,products!$A$1:$G$1,0))</f>
        <v>4.7549999999999999</v>
      </c>
      <c r="O108" s="7">
        <f t="shared" si="1"/>
        <v>9.51</v>
      </c>
      <c r="P108" t="str" cm="1">
        <f t="array" ref="P108">_xlfn.IFS(K108="Rob","Robusta",K108="Exc","Excelsa",K108="Ara","Arabica",K108="Lib","Liberica")</f>
        <v>Liberica</v>
      </c>
      <c r="Q108" t="str" cm="1">
        <f t="array" ref="Q108">_xlfn.IFS(L108="M","Medium",L108="L","Light",L108="D","Dark")</f>
        <v>Light</v>
      </c>
      <c r="R108" t="str">
        <f>_xlfn.XLOOKUP(Orders[[#This Row],[Customer ID]],customers!$A$1:$A$1001,customers!$I$1:$I$1001)</f>
        <v>No</v>
      </c>
    </row>
    <row r="109" spans="1:18" x14ac:dyDescent="0.35">
      <c r="A109" s="2" t="s">
        <v>4086</v>
      </c>
      <c r="B109" s="4">
        <v>43889</v>
      </c>
      <c r="C109" s="23">
        <f>Orders[[#This Row],[Order Date]]</f>
        <v>43889</v>
      </c>
      <c r="D109" s="2">
        <f>YEAR(Orders[[#This Row],[Order Date]])</f>
        <v>2020</v>
      </c>
      <c r="E109" s="2" t="s">
        <v>4087</v>
      </c>
      <c r="F109" t="s">
        <v>6166</v>
      </c>
      <c r="G109" s="20">
        <v>1</v>
      </c>
      <c r="H109" s="2" t="str">
        <f>INDEX(customers!$A$1:$I$1001,MATCH($E109,customers!$A$1:$A$1001,),MATCH($H$1,customers!$A$1:$I$1,0))</f>
        <v>Benedikta Paumier</v>
      </c>
      <c r="I109" s="2" t="str">
        <f>IF(INDEX(customers!$A$1:$I$1001,MATCH($E109,customers!$A$1:$A$1001,0),3)=0,"",INDEX(customers!$A$1:$I$1001,MATCH($E109,customers!$A$1:$A$1001,0),3))</f>
        <v>bpaumierhp@umn.edu</v>
      </c>
      <c r="J109" s="2" t="str">
        <f>_xlfn.XLOOKUP(E109,customers!$A$1:$A$1001,customers!$G$1:$G$1001)</f>
        <v>Ireland</v>
      </c>
      <c r="K109" t="str">
        <f>INDEX(products!$A$1:$G$49,MATCH($F109,products!$A$1:$A$49,0),MATCH(K$1,products!$A$1:$G$1,0))</f>
        <v>Exc</v>
      </c>
      <c r="L109" t="str">
        <f>INDEX(products!$A$1:$G$49,MATCH($F109,products!$A$1:$A$49,0),MATCH(L$1,products!$A$1:$G$1,0))</f>
        <v>M</v>
      </c>
      <c r="M109" s="5">
        <f>INDEX(products!$A$1:$G$49,MATCH($F109,products!$A$1:$A$49,0),MATCH(M$1,products!$A$1:$G$1,0))</f>
        <v>2.5</v>
      </c>
      <c r="N109" s="7">
        <f>INDEX(products!$A$1:$G$49,MATCH($F109,products!$A$1:$A$49,0),MATCH(N$1,products!$A$1:$G$1,0))</f>
        <v>31.624999999999996</v>
      </c>
      <c r="O109" s="7">
        <f t="shared" si="1"/>
        <v>31.624999999999996</v>
      </c>
      <c r="P109" t="str" cm="1">
        <f t="array" ref="P109">_xlfn.IFS(K109="Rob","Robusta",K109="Exc","Excelsa",K109="Ara","Arabica",K109="Lib","Liberica")</f>
        <v>Excelsa</v>
      </c>
      <c r="Q109" t="str" cm="1">
        <f t="array" ref="Q109">_xlfn.IFS(L109="M","Medium",L109="L","Light",L109="D","Dark")</f>
        <v>Medium</v>
      </c>
      <c r="R109" t="str">
        <f>_xlfn.XLOOKUP(Orders[[#This Row],[Customer ID]],customers!$A$1:$A$1001,customers!$I$1:$I$1001)</f>
        <v>Yes</v>
      </c>
    </row>
    <row r="110" spans="1:18" x14ac:dyDescent="0.35">
      <c r="A110" s="2" t="s">
        <v>2209</v>
      </c>
      <c r="B110" s="4">
        <v>43796</v>
      </c>
      <c r="C110" s="23">
        <f>Orders[[#This Row],[Order Date]]</f>
        <v>43796</v>
      </c>
      <c r="D110" s="2">
        <f>YEAR(Orders[[#This Row],[Order Date]])</f>
        <v>2019</v>
      </c>
      <c r="E110" s="2" t="s">
        <v>2210</v>
      </c>
      <c r="F110" t="s">
        <v>6159</v>
      </c>
      <c r="G110" s="20">
        <v>5</v>
      </c>
      <c r="H110" s="2" t="str">
        <f>INDEX(customers!$A$1:$I$1001,MATCH($E110,customers!$A$1:$A$1001,),MATCH($H$1,customers!$A$1:$I$1,0))</f>
        <v>Benn Checci</v>
      </c>
      <c r="I110" s="2" t="str">
        <f>IF(INDEX(customers!$A$1:$I$1001,MATCH($E110,customers!$A$1:$A$1001,0),3)=0,"",INDEX(customers!$A$1:$I$1001,MATCH($E110,customers!$A$1:$A$1001,0),3))</f>
        <v>bchecci8h@usa.gov</v>
      </c>
      <c r="J110" s="2" t="str">
        <f>_xlfn.XLOOKUP(E110,customers!$A$1:$A$1001,customers!$G$1:$G$1001)</f>
        <v>United Kingdom</v>
      </c>
      <c r="K110" t="str">
        <f>INDEX(products!$A$1:$G$49,MATCH($F110,products!$A$1:$A$49,0),MATCH(K$1,products!$A$1:$G$1,0))</f>
        <v>Lib</v>
      </c>
      <c r="L110" t="str">
        <f>INDEX(products!$A$1:$G$49,MATCH($F110,products!$A$1:$A$49,0),MATCH(L$1,products!$A$1:$G$1,0))</f>
        <v>M</v>
      </c>
      <c r="M110" s="5">
        <f>INDEX(products!$A$1:$G$49,MATCH($F110,products!$A$1:$A$49,0),MATCH(M$1,products!$A$1:$G$1,0))</f>
        <v>0.2</v>
      </c>
      <c r="N110" s="7">
        <f>INDEX(products!$A$1:$G$49,MATCH($F110,products!$A$1:$A$49,0),MATCH(N$1,products!$A$1:$G$1,0))</f>
        <v>4.3650000000000002</v>
      </c>
      <c r="O110" s="7">
        <f t="shared" si="1"/>
        <v>21.825000000000003</v>
      </c>
      <c r="P110" t="str" cm="1">
        <f t="array" ref="P110">_xlfn.IFS(K110="Rob","Robusta",K110="Exc","Excelsa",K110="Ara","Arabica",K110="Lib","Liberica")</f>
        <v>Liberica</v>
      </c>
      <c r="Q110" t="str" cm="1">
        <f t="array" ref="Q110">_xlfn.IFS(L110="M","Medium",L110="L","Light",L110="D","Dark")</f>
        <v>Medium</v>
      </c>
      <c r="R110" t="str">
        <f>_xlfn.XLOOKUP(Orders[[#This Row],[Customer ID]],customers!$A$1:$A$1001,customers!$I$1:$I$1001)</f>
        <v>No</v>
      </c>
    </row>
    <row r="111" spans="1:18" x14ac:dyDescent="0.35">
      <c r="A111" s="2" t="s">
        <v>5597</v>
      </c>
      <c r="B111" s="4">
        <v>43905</v>
      </c>
      <c r="C111" s="23">
        <f>Orders[[#This Row],[Order Date]]</f>
        <v>43905</v>
      </c>
      <c r="D111" s="2">
        <f>YEAR(Orders[[#This Row],[Order Date]])</f>
        <v>2020</v>
      </c>
      <c r="E111" s="2" t="s">
        <v>5598</v>
      </c>
      <c r="F111" t="s">
        <v>6160</v>
      </c>
      <c r="G111" s="20">
        <v>2</v>
      </c>
      <c r="H111" s="2" t="str">
        <f>INDEX(customers!$A$1:$I$1001,MATCH($E111,customers!$A$1:$A$1001,),MATCH($H$1,customers!$A$1:$I$1,0))</f>
        <v>Berkly Imrie</v>
      </c>
      <c r="I111" s="2" t="str">
        <f>IF(INDEX(customers!$A$1:$I$1001,MATCH($E111,customers!$A$1:$A$1001,0),3)=0,"",INDEX(customers!$A$1:$I$1001,MATCH($E111,customers!$A$1:$A$1001,0),3))</f>
        <v>bimriep3@addtoany.com</v>
      </c>
      <c r="J111" s="2" t="str">
        <f>_xlfn.XLOOKUP(E111,customers!$A$1:$A$1001,customers!$G$1:$G$1001)</f>
        <v>United States</v>
      </c>
      <c r="K111" t="str">
        <f>INDEX(products!$A$1:$G$49,MATCH($F111,products!$A$1:$A$49,0),MATCH(K$1,products!$A$1:$G$1,0))</f>
        <v>Lib</v>
      </c>
      <c r="L111" t="str">
        <f>INDEX(products!$A$1:$G$49,MATCH($F111,products!$A$1:$A$49,0),MATCH(L$1,products!$A$1:$G$1,0))</f>
        <v>M</v>
      </c>
      <c r="M111" s="5">
        <f>INDEX(products!$A$1:$G$49,MATCH($F111,products!$A$1:$A$49,0),MATCH(M$1,products!$A$1:$G$1,0))</f>
        <v>0.5</v>
      </c>
      <c r="N111" s="7">
        <f>INDEX(products!$A$1:$G$49,MATCH($F111,products!$A$1:$A$49,0),MATCH(N$1,products!$A$1:$G$1,0))</f>
        <v>8.73</v>
      </c>
      <c r="O111" s="7">
        <f t="shared" si="1"/>
        <v>17.46</v>
      </c>
      <c r="P111" t="str" cm="1">
        <f t="array" ref="P111">_xlfn.IFS(K111="Rob","Robusta",K111="Exc","Excelsa",K111="Ara","Arabica",K111="Lib","Liberica")</f>
        <v>Liberica</v>
      </c>
      <c r="Q111" t="str" cm="1">
        <f t="array" ref="Q111">_xlfn.IFS(L111="M","Medium",L111="L","Light",L111="D","Dark")</f>
        <v>Medium</v>
      </c>
      <c r="R111" t="str">
        <f>_xlfn.XLOOKUP(Orders[[#This Row],[Customer ID]],customers!$A$1:$A$1001,customers!$I$1:$I$1001)</f>
        <v>No</v>
      </c>
    </row>
    <row r="112" spans="1:18" x14ac:dyDescent="0.35">
      <c r="A112" s="2" t="s">
        <v>4002</v>
      </c>
      <c r="B112" s="4">
        <v>43527</v>
      </c>
      <c r="C112" s="23">
        <f>Orders[[#This Row],[Order Date]]</f>
        <v>43527</v>
      </c>
      <c r="D112" s="2">
        <f>YEAR(Orders[[#This Row],[Order Date]])</f>
        <v>2019</v>
      </c>
      <c r="E112" s="2" t="s">
        <v>4003</v>
      </c>
      <c r="F112" t="s">
        <v>6181</v>
      </c>
      <c r="G112" s="20">
        <v>4</v>
      </c>
      <c r="H112" s="2" t="str">
        <f>INDEX(customers!$A$1:$I$1001,MATCH($E112,customers!$A$1:$A$1001,),MATCH($H$1,customers!$A$1:$I$1,0))</f>
        <v>Bertine Byrd</v>
      </c>
      <c r="I112" s="2" t="str">
        <f>IF(INDEX(customers!$A$1:$I$1001,MATCH($E112,customers!$A$1:$A$1001,0),3)=0,"",INDEX(customers!$A$1:$I$1001,MATCH($E112,customers!$A$1:$A$1001,0),3))</f>
        <v>bbyrdha@4shared.com</v>
      </c>
      <c r="J112" s="2" t="str">
        <f>_xlfn.XLOOKUP(E112,customers!$A$1:$A$1001,customers!$G$1:$G$1001)</f>
        <v>United States</v>
      </c>
      <c r="K112" t="str">
        <f>INDEX(products!$A$1:$G$49,MATCH($F112,products!$A$1:$A$49,0),MATCH(K$1,products!$A$1:$G$1,0))</f>
        <v>Lib</v>
      </c>
      <c r="L112" t="str">
        <f>INDEX(products!$A$1:$G$49,MATCH($F112,products!$A$1:$A$49,0),MATCH(L$1,products!$A$1:$G$1,0))</f>
        <v>M</v>
      </c>
      <c r="M112" s="5">
        <f>INDEX(products!$A$1:$G$49,MATCH($F112,products!$A$1:$A$49,0),MATCH(M$1,products!$A$1:$G$1,0))</f>
        <v>2.5</v>
      </c>
      <c r="N112" s="7">
        <f>INDEX(products!$A$1:$G$49,MATCH($F112,products!$A$1:$A$49,0),MATCH(N$1,products!$A$1:$G$1,0))</f>
        <v>33.464999999999996</v>
      </c>
      <c r="O112" s="7">
        <f t="shared" si="1"/>
        <v>133.85999999999999</v>
      </c>
      <c r="P112" t="str" cm="1">
        <f t="array" ref="P112">_xlfn.IFS(K112="Rob","Robusta",K112="Exc","Excelsa",K112="Ara","Arabica",K112="Lib","Liberica")</f>
        <v>Liberica</v>
      </c>
      <c r="Q112" t="str" cm="1">
        <f t="array" ref="Q112">_xlfn.IFS(L112="M","Medium",L112="L","Light",L112="D","Dark")</f>
        <v>Medium</v>
      </c>
      <c r="R112" t="str">
        <f>_xlfn.XLOOKUP(Orders[[#This Row],[Customer ID]],customers!$A$1:$A$1001,customers!$I$1:$I$1001)</f>
        <v>No</v>
      </c>
    </row>
    <row r="113" spans="1:18" x14ac:dyDescent="0.35">
      <c r="A113" s="2" t="s">
        <v>3447</v>
      </c>
      <c r="B113" s="4">
        <v>44129</v>
      </c>
      <c r="C113" s="23">
        <f>Orders[[#This Row],[Order Date]]</f>
        <v>44129</v>
      </c>
      <c r="D113" s="2">
        <f>YEAR(Orders[[#This Row],[Order Date]])</f>
        <v>2020</v>
      </c>
      <c r="E113" s="2" t="s">
        <v>3448</v>
      </c>
      <c r="F113" t="s">
        <v>6165</v>
      </c>
      <c r="G113" s="20">
        <v>1</v>
      </c>
      <c r="H113" s="2" t="str">
        <f>INDEX(customers!$A$1:$I$1001,MATCH($E113,customers!$A$1:$A$1001,),MATCH($H$1,customers!$A$1:$I$1,0))</f>
        <v>Berty Beelby</v>
      </c>
      <c r="I113" s="2" t="str">
        <f>IF(INDEX(customers!$A$1:$I$1001,MATCH($E113,customers!$A$1:$A$1001,0),3)=0,"",INDEX(customers!$A$1:$I$1001,MATCH($E113,customers!$A$1:$A$1001,0),3))</f>
        <v>bbeelbyej@rediff.com</v>
      </c>
      <c r="J113" s="2" t="str">
        <f>_xlfn.XLOOKUP(E113,customers!$A$1:$A$1001,customers!$G$1:$G$1001)</f>
        <v>Ireland</v>
      </c>
      <c r="K113" t="str">
        <f>INDEX(products!$A$1:$G$49,MATCH($F113,products!$A$1:$A$49,0),MATCH(K$1,products!$A$1:$G$1,0))</f>
        <v>Lib</v>
      </c>
      <c r="L113" t="str">
        <f>INDEX(products!$A$1:$G$49,MATCH($F113,products!$A$1:$A$49,0),MATCH(L$1,products!$A$1:$G$1,0))</f>
        <v>D</v>
      </c>
      <c r="M113" s="5">
        <f>INDEX(products!$A$1:$G$49,MATCH($F113,products!$A$1:$A$49,0),MATCH(M$1,products!$A$1:$G$1,0))</f>
        <v>2.5</v>
      </c>
      <c r="N113" s="7">
        <f>INDEX(products!$A$1:$G$49,MATCH($F113,products!$A$1:$A$49,0),MATCH(N$1,products!$A$1:$G$1,0))</f>
        <v>29.784999999999997</v>
      </c>
      <c r="O113" s="7">
        <f t="shared" si="1"/>
        <v>29.784999999999997</v>
      </c>
      <c r="P113" t="str" cm="1">
        <f t="array" ref="P113">_xlfn.IFS(K113="Rob","Robusta",K113="Exc","Excelsa",K113="Ara","Arabica",K113="Lib","Liberica")</f>
        <v>Liberica</v>
      </c>
      <c r="Q113" t="str" cm="1">
        <f t="array" ref="Q113">_xlfn.IFS(L113="M","Medium",L113="L","Light",L113="D","Dark")</f>
        <v>Dark</v>
      </c>
      <c r="R113" t="str">
        <f>_xlfn.XLOOKUP(Orders[[#This Row],[Customer ID]],customers!$A$1:$A$1001,customers!$I$1:$I$1001)</f>
        <v>No</v>
      </c>
    </row>
    <row r="114" spans="1:18" x14ac:dyDescent="0.35">
      <c r="A114" s="2" t="s">
        <v>4938</v>
      </c>
      <c r="B114" s="4">
        <v>44305</v>
      </c>
      <c r="C114" s="23">
        <f>Orders[[#This Row],[Order Date]]</f>
        <v>44305</v>
      </c>
      <c r="D114" s="2">
        <f>YEAR(Orders[[#This Row],[Order Date]])</f>
        <v>2021</v>
      </c>
      <c r="E114" s="2" t="s">
        <v>4939</v>
      </c>
      <c r="F114" t="s">
        <v>6141</v>
      </c>
      <c r="G114" s="20">
        <v>6</v>
      </c>
      <c r="H114" s="2" t="str">
        <f>INDEX(customers!$A$1:$I$1001,MATCH($E114,customers!$A$1:$A$1001,),MATCH($H$1,customers!$A$1:$I$1,0))</f>
        <v>Beryl Osborn</v>
      </c>
      <c r="I114" s="2" t="str">
        <f>IF(INDEX(customers!$A$1:$I$1001,MATCH($E114,customers!$A$1:$A$1001,0),3)=0,"",INDEX(customers!$A$1:$I$1001,MATCH($E114,customers!$A$1:$A$1001,0),3))</f>
        <v/>
      </c>
      <c r="J114" s="2" t="str">
        <f>_xlfn.XLOOKUP(E114,customers!$A$1:$A$1001,customers!$G$1:$G$1001)</f>
        <v>United States</v>
      </c>
      <c r="K114" t="str">
        <f>INDEX(products!$A$1:$G$49,MATCH($F114,products!$A$1:$A$49,0),MATCH(K$1,products!$A$1:$G$1,0))</f>
        <v>Exc</v>
      </c>
      <c r="L114" t="str">
        <f>INDEX(products!$A$1:$G$49,MATCH($F114,products!$A$1:$A$49,0),MATCH(L$1,products!$A$1:$G$1,0))</f>
        <v>M</v>
      </c>
      <c r="M114" s="5">
        <f>INDEX(products!$A$1:$G$49,MATCH($F114,products!$A$1:$A$49,0),MATCH(M$1,products!$A$1:$G$1,0))</f>
        <v>1</v>
      </c>
      <c r="N114" s="7">
        <f>INDEX(products!$A$1:$G$49,MATCH($F114,products!$A$1:$A$49,0),MATCH(N$1,products!$A$1:$G$1,0))</f>
        <v>13.75</v>
      </c>
      <c r="O114" s="7">
        <f t="shared" si="1"/>
        <v>82.5</v>
      </c>
      <c r="P114" t="str" cm="1">
        <f t="array" ref="P114">_xlfn.IFS(K114="Rob","Robusta",K114="Exc","Excelsa",K114="Ara","Arabica",K114="Lib","Liberica")</f>
        <v>Excelsa</v>
      </c>
      <c r="Q114" t="str" cm="1">
        <f t="array" ref="Q114">_xlfn.IFS(L114="M","Medium",L114="L","Light",L114="D","Dark")</f>
        <v>Medium</v>
      </c>
      <c r="R114" t="str">
        <f>_xlfn.XLOOKUP(Orders[[#This Row],[Customer ID]],customers!$A$1:$A$1001,customers!$I$1:$I$1001)</f>
        <v>Yes</v>
      </c>
    </row>
    <row r="115" spans="1:18" x14ac:dyDescent="0.35">
      <c r="A115" s="2" t="s">
        <v>519</v>
      </c>
      <c r="B115" s="4">
        <v>44412</v>
      </c>
      <c r="C115" s="23">
        <f>Orders[[#This Row],[Order Date]]</f>
        <v>44412</v>
      </c>
      <c r="D115" s="2">
        <f>YEAR(Orders[[#This Row],[Order Date]])</f>
        <v>2021</v>
      </c>
      <c r="E115" s="2" t="s">
        <v>520</v>
      </c>
      <c r="F115" t="s">
        <v>6143</v>
      </c>
      <c r="G115" s="20">
        <v>3</v>
      </c>
      <c r="H115" s="2" t="str">
        <f>INDEX(customers!$A$1:$I$1001,MATCH($E115,customers!$A$1:$A$1001,),MATCH($H$1,customers!$A$1:$I$1,0))</f>
        <v>Beryle Cottier</v>
      </c>
      <c r="I115" s="2" t="str">
        <f>IF(INDEX(customers!$A$1:$I$1001,MATCH($E115,customers!$A$1:$A$1001,0),3)=0,"",INDEX(customers!$A$1:$I$1001,MATCH($E115,customers!$A$1:$A$1001,0),3))</f>
        <v/>
      </c>
      <c r="J115" s="2" t="str">
        <f>_xlfn.XLOOKUP(E115,customers!$A$1:$A$1001,customers!$G$1:$G$1001)</f>
        <v>United States</v>
      </c>
      <c r="K115" t="str">
        <f>INDEX(products!$A$1:$G$49,MATCH($F115,products!$A$1:$A$49,0),MATCH(K$1,products!$A$1:$G$1,0))</f>
        <v>Lib</v>
      </c>
      <c r="L115" t="str">
        <f>INDEX(products!$A$1:$G$49,MATCH($F115,products!$A$1:$A$49,0),MATCH(L$1,products!$A$1:$G$1,0))</f>
        <v>D</v>
      </c>
      <c r="M115" s="5">
        <f>INDEX(products!$A$1:$G$49,MATCH($F115,products!$A$1:$A$49,0),MATCH(M$1,products!$A$1:$G$1,0))</f>
        <v>1</v>
      </c>
      <c r="N115" s="7">
        <f>INDEX(products!$A$1:$G$49,MATCH($F115,products!$A$1:$A$49,0),MATCH(N$1,products!$A$1:$G$1,0))</f>
        <v>12.95</v>
      </c>
      <c r="O115" s="7">
        <f t="shared" si="1"/>
        <v>38.849999999999994</v>
      </c>
      <c r="P115" t="str" cm="1">
        <f t="array" ref="P115">_xlfn.IFS(K115="Rob","Robusta",K115="Exc","Excelsa",K115="Ara","Arabica",K115="Lib","Liberica")</f>
        <v>Liberica</v>
      </c>
      <c r="Q115" t="str" cm="1">
        <f t="array" ref="Q115">_xlfn.IFS(L115="M","Medium",L115="L","Light",L115="D","Dark")</f>
        <v>Dark</v>
      </c>
      <c r="R115" t="str">
        <f>_xlfn.XLOOKUP(Orders[[#This Row],[Customer ID]],customers!$A$1:$A$1001,customers!$I$1:$I$1001)</f>
        <v>No</v>
      </c>
    </row>
    <row r="116" spans="1:18" x14ac:dyDescent="0.35">
      <c r="A116" s="2" t="s">
        <v>1806</v>
      </c>
      <c r="B116" s="4">
        <v>44278</v>
      </c>
      <c r="C116" s="23">
        <f>Orders[[#This Row],[Order Date]]</f>
        <v>44278</v>
      </c>
      <c r="D116" s="2">
        <f>YEAR(Orders[[#This Row],[Order Date]])</f>
        <v>2021</v>
      </c>
      <c r="E116" s="2" t="s">
        <v>1807</v>
      </c>
      <c r="F116" t="s">
        <v>6156</v>
      </c>
      <c r="G116" s="20">
        <v>5</v>
      </c>
      <c r="H116" s="2" t="str">
        <f>INDEX(customers!$A$1:$I$1001,MATCH($E116,customers!$A$1:$A$1001,),MATCH($H$1,customers!$A$1:$I$1,0))</f>
        <v>Beryle Kenwell</v>
      </c>
      <c r="I116" s="2" t="str">
        <f>IF(INDEX(customers!$A$1:$I$1001,MATCH($E116,customers!$A$1:$A$1001,0),3)=0,"",INDEX(customers!$A$1:$I$1001,MATCH($E116,customers!$A$1:$A$1001,0),3))</f>
        <v>bkenwell6h@over-blog.com</v>
      </c>
      <c r="J116" s="2" t="str">
        <f>_xlfn.XLOOKUP(E116,customers!$A$1:$A$1001,customers!$G$1:$G$1001)</f>
        <v>United States</v>
      </c>
      <c r="K116" t="str">
        <f>INDEX(products!$A$1:$G$49,MATCH($F116,products!$A$1:$A$49,0),MATCH(K$1,products!$A$1:$G$1,0))</f>
        <v>Exc</v>
      </c>
      <c r="L116" t="str">
        <f>INDEX(products!$A$1:$G$49,MATCH($F116,products!$A$1:$A$49,0),MATCH(L$1,products!$A$1:$G$1,0))</f>
        <v>M</v>
      </c>
      <c r="M116" s="5">
        <f>INDEX(products!$A$1:$G$49,MATCH($F116,products!$A$1:$A$49,0),MATCH(M$1,products!$A$1:$G$1,0))</f>
        <v>0.2</v>
      </c>
      <c r="N116" s="7">
        <f>INDEX(products!$A$1:$G$49,MATCH($F116,products!$A$1:$A$49,0),MATCH(N$1,products!$A$1:$G$1,0))</f>
        <v>4.125</v>
      </c>
      <c r="O116" s="7">
        <f t="shared" si="1"/>
        <v>20.625</v>
      </c>
      <c r="P116" t="str" cm="1">
        <f t="array" ref="P116">_xlfn.IFS(K116="Rob","Robusta",K116="Exc","Excelsa",K116="Ara","Arabica",K116="Lib","Liberica")</f>
        <v>Excelsa</v>
      </c>
      <c r="Q116" t="str" cm="1">
        <f t="array" ref="Q116">_xlfn.IFS(L116="M","Medium",L116="L","Light",L116="D","Dark")</f>
        <v>Medium</v>
      </c>
      <c r="R116" t="str">
        <f>_xlfn.XLOOKUP(Orders[[#This Row],[Customer ID]],customers!$A$1:$A$1001,customers!$I$1:$I$1001)</f>
        <v>No</v>
      </c>
    </row>
    <row r="117" spans="1:18" x14ac:dyDescent="0.35">
      <c r="A117" s="2" t="s">
        <v>3587</v>
      </c>
      <c r="B117" s="4">
        <v>44384</v>
      </c>
      <c r="C117" s="23">
        <f>Orders[[#This Row],[Order Date]]</f>
        <v>44384</v>
      </c>
      <c r="D117" s="2">
        <f>YEAR(Orders[[#This Row],[Order Date]])</f>
        <v>2021</v>
      </c>
      <c r="E117" s="2" t="s">
        <v>3588</v>
      </c>
      <c r="F117" t="s">
        <v>6184</v>
      </c>
      <c r="G117" s="20">
        <v>3</v>
      </c>
      <c r="H117" s="2" t="str">
        <f>INDEX(customers!$A$1:$I$1001,MATCH($E117,customers!$A$1:$A$1001,),MATCH($H$1,customers!$A$1:$I$1,0))</f>
        <v>Bette-ann Munden</v>
      </c>
      <c r="I117" s="2" t="str">
        <f>IF(INDEX(customers!$A$1:$I$1001,MATCH($E117,customers!$A$1:$A$1001,0),3)=0,"",INDEX(customers!$A$1:$I$1001,MATCH($E117,customers!$A$1:$A$1001,0),3))</f>
        <v>bmundenf8@elpais.com</v>
      </c>
      <c r="J117" s="2" t="str">
        <f>_xlfn.XLOOKUP(E117,customers!$A$1:$A$1001,customers!$G$1:$G$1001)</f>
        <v>United States</v>
      </c>
      <c r="K117" t="str">
        <f>INDEX(products!$A$1:$G$49,MATCH($F117,products!$A$1:$A$49,0),MATCH(K$1,products!$A$1:$G$1,0))</f>
        <v>Exc</v>
      </c>
      <c r="L117" t="str">
        <f>INDEX(products!$A$1:$G$49,MATCH($F117,products!$A$1:$A$49,0),MATCH(L$1,products!$A$1:$G$1,0))</f>
        <v>L</v>
      </c>
      <c r="M117" s="5">
        <f>INDEX(products!$A$1:$G$49,MATCH($F117,products!$A$1:$A$49,0),MATCH(M$1,products!$A$1:$G$1,0))</f>
        <v>0.2</v>
      </c>
      <c r="N117" s="7">
        <f>INDEX(products!$A$1:$G$49,MATCH($F117,products!$A$1:$A$49,0),MATCH(N$1,products!$A$1:$G$1,0))</f>
        <v>4.4550000000000001</v>
      </c>
      <c r="O117" s="7">
        <f t="shared" si="1"/>
        <v>13.365</v>
      </c>
      <c r="P117" t="str" cm="1">
        <f t="array" ref="P117">_xlfn.IFS(K117="Rob","Robusta",K117="Exc","Excelsa",K117="Ara","Arabica",K117="Lib","Liberica")</f>
        <v>Excelsa</v>
      </c>
      <c r="Q117" t="str" cm="1">
        <f t="array" ref="Q117">_xlfn.IFS(L117="M","Medium",L117="L","Light",L117="D","Dark")</f>
        <v>Light</v>
      </c>
      <c r="R117" t="str">
        <f>_xlfn.XLOOKUP(Orders[[#This Row],[Customer ID]],customers!$A$1:$A$1001,customers!$I$1:$I$1001)</f>
        <v>Yes</v>
      </c>
    </row>
    <row r="118" spans="1:18" x14ac:dyDescent="0.35">
      <c r="A118" s="2" t="s">
        <v>3945</v>
      </c>
      <c r="B118" s="4">
        <v>43896</v>
      </c>
      <c r="C118" s="23">
        <f>Orders[[#This Row],[Order Date]]</f>
        <v>43896</v>
      </c>
      <c r="D118" s="2">
        <f>YEAR(Orders[[#This Row],[Order Date]])</f>
        <v>2020</v>
      </c>
      <c r="E118" s="2" t="s">
        <v>3946</v>
      </c>
      <c r="F118" t="s">
        <v>6152</v>
      </c>
      <c r="G118" s="20">
        <v>4</v>
      </c>
      <c r="H118" s="2" t="str">
        <f>INDEX(customers!$A$1:$I$1001,MATCH($E118,customers!$A$1:$A$1001,),MATCH($H$1,customers!$A$1:$I$1,0))</f>
        <v>Betti Lacasa</v>
      </c>
      <c r="I118" s="2" t="str">
        <f>IF(INDEX(customers!$A$1:$I$1001,MATCH($E118,customers!$A$1:$A$1001,0),3)=0,"",INDEX(customers!$A$1:$I$1001,MATCH($E118,customers!$A$1:$A$1001,0),3))</f>
        <v/>
      </c>
      <c r="J118" s="2" t="str">
        <f>_xlfn.XLOOKUP(E118,customers!$A$1:$A$1001,customers!$G$1:$G$1001)</f>
        <v>Ireland</v>
      </c>
      <c r="K118" t="str">
        <f>INDEX(products!$A$1:$G$49,MATCH($F118,products!$A$1:$A$49,0),MATCH(K$1,products!$A$1:$G$1,0))</f>
        <v>Ara</v>
      </c>
      <c r="L118" t="str">
        <f>INDEX(products!$A$1:$G$49,MATCH($F118,products!$A$1:$A$49,0),MATCH(L$1,products!$A$1:$G$1,0))</f>
        <v>M</v>
      </c>
      <c r="M118" s="5">
        <f>INDEX(products!$A$1:$G$49,MATCH($F118,products!$A$1:$A$49,0),MATCH(M$1,products!$A$1:$G$1,0))</f>
        <v>0.2</v>
      </c>
      <c r="N118" s="7">
        <f>INDEX(products!$A$1:$G$49,MATCH($F118,products!$A$1:$A$49,0),MATCH(N$1,products!$A$1:$G$1,0))</f>
        <v>3.375</v>
      </c>
      <c r="O118" s="7">
        <f t="shared" si="1"/>
        <v>13.5</v>
      </c>
      <c r="P118" t="str" cm="1">
        <f t="array" ref="P118">_xlfn.IFS(K118="Rob","Robusta",K118="Exc","Excelsa",K118="Ara","Arabica",K118="Lib","Liberica")</f>
        <v>Arabica</v>
      </c>
      <c r="Q118" t="str" cm="1">
        <f t="array" ref="Q118">_xlfn.IFS(L118="M","Medium",L118="L","Light",L118="D","Dark")</f>
        <v>Medium</v>
      </c>
      <c r="R118" t="str">
        <f>_xlfn.XLOOKUP(Orders[[#This Row],[Customer ID]],customers!$A$1:$A$1001,customers!$I$1:$I$1001)</f>
        <v>No</v>
      </c>
    </row>
    <row r="119" spans="1:18" x14ac:dyDescent="0.35">
      <c r="A119" s="2" t="s">
        <v>1344</v>
      </c>
      <c r="B119" s="4">
        <v>44510</v>
      </c>
      <c r="C119" s="23">
        <f>Orders[[#This Row],[Order Date]]</f>
        <v>44510</v>
      </c>
      <c r="D119" s="2">
        <f>YEAR(Orders[[#This Row],[Order Date]])</f>
        <v>2021</v>
      </c>
      <c r="E119" s="2" t="s">
        <v>1345</v>
      </c>
      <c r="F119" t="s">
        <v>6151</v>
      </c>
      <c r="G119" s="20">
        <v>3</v>
      </c>
      <c r="H119" s="2" t="str">
        <f>INDEX(customers!$A$1:$I$1001,MATCH($E119,customers!$A$1:$A$1001,),MATCH($H$1,customers!$A$1:$I$1,0))</f>
        <v>Bettina Leffek</v>
      </c>
      <c r="I119" s="2" t="str">
        <f>IF(INDEX(customers!$A$1:$I$1001,MATCH($E119,customers!$A$1:$A$1001,0),3)=0,"",INDEX(customers!$A$1:$I$1001,MATCH($E119,customers!$A$1:$A$1001,0),3))</f>
        <v>bleffek48@ning.com</v>
      </c>
      <c r="J119" s="2" t="str">
        <f>_xlfn.XLOOKUP(E119,customers!$A$1:$A$1001,customers!$G$1:$G$1001)</f>
        <v>United States</v>
      </c>
      <c r="K119" t="str">
        <f>INDEX(products!$A$1:$G$49,MATCH($F119,products!$A$1:$A$49,0),MATCH(K$1,products!$A$1:$G$1,0))</f>
        <v>Rob</v>
      </c>
      <c r="L119" t="str">
        <f>INDEX(products!$A$1:$G$49,MATCH($F119,products!$A$1:$A$49,0),MATCH(L$1,products!$A$1:$G$1,0))</f>
        <v>M</v>
      </c>
      <c r="M119" s="5">
        <f>INDEX(products!$A$1:$G$49,MATCH($F119,products!$A$1:$A$49,0),MATCH(M$1,products!$A$1:$G$1,0))</f>
        <v>2.5</v>
      </c>
      <c r="N119" s="7">
        <f>INDEX(products!$A$1:$G$49,MATCH($F119,products!$A$1:$A$49,0),MATCH(N$1,products!$A$1:$G$1,0))</f>
        <v>22.884999999999998</v>
      </c>
      <c r="O119" s="7">
        <f t="shared" si="1"/>
        <v>68.655000000000001</v>
      </c>
      <c r="P119" t="str" cm="1">
        <f t="array" ref="P119">_xlfn.IFS(K119="Rob","Robusta",K119="Exc","Excelsa",K119="Ara","Arabica",K119="Lib","Liberica")</f>
        <v>Robusta</v>
      </c>
      <c r="Q119" t="str" cm="1">
        <f t="array" ref="Q119">_xlfn.IFS(L119="M","Medium",L119="L","Light",L119="D","Dark")</f>
        <v>Medium</v>
      </c>
      <c r="R119" t="str">
        <f>_xlfn.XLOOKUP(Orders[[#This Row],[Customer ID]],customers!$A$1:$A$1001,customers!$I$1:$I$1001)</f>
        <v>Yes</v>
      </c>
    </row>
    <row r="120" spans="1:18" x14ac:dyDescent="0.35">
      <c r="A120" s="2" t="s">
        <v>1112</v>
      </c>
      <c r="B120" s="4">
        <v>43642</v>
      </c>
      <c r="C120" s="23">
        <f>Orders[[#This Row],[Order Date]]</f>
        <v>43642</v>
      </c>
      <c r="D120" s="2">
        <f>YEAR(Orders[[#This Row],[Order Date]])</f>
        <v>2019</v>
      </c>
      <c r="E120" s="2" t="s">
        <v>1113</v>
      </c>
      <c r="F120" t="s">
        <v>6172</v>
      </c>
      <c r="G120" s="20">
        <v>5</v>
      </c>
      <c r="H120" s="2" t="str">
        <f>INDEX(customers!$A$1:$I$1001,MATCH($E120,customers!$A$1:$A$1001,),MATCH($H$1,customers!$A$1:$I$1,0))</f>
        <v>Betty Fominov</v>
      </c>
      <c r="I120" s="2" t="str">
        <f>IF(INDEX(customers!$A$1:$I$1001,MATCH($E120,customers!$A$1:$A$1001,0),3)=0,"",INDEX(customers!$A$1:$I$1001,MATCH($E120,customers!$A$1:$A$1001,0),3))</f>
        <v>bfominov33@yale.edu</v>
      </c>
      <c r="J120" s="2" t="str">
        <f>_xlfn.XLOOKUP(E120,customers!$A$1:$A$1001,customers!$G$1:$G$1001)</f>
        <v>United States</v>
      </c>
      <c r="K120" t="str">
        <f>INDEX(products!$A$1:$G$49,MATCH($F120,products!$A$1:$A$49,0),MATCH(K$1,products!$A$1:$G$1,0))</f>
        <v>Rob</v>
      </c>
      <c r="L120" t="str">
        <f>INDEX(products!$A$1:$G$49,MATCH($F120,products!$A$1:$A$49,0),MATCH(L$1,products!$A$1:$G$1,0))</f>
        <v>D</v>
      </c>
      <c r="M120" s="5">
        <f>INDEX(products!$A$1:$G$49,MATCH($F120,products!$A$1:$A$49,0),MATCH(M$1,products!$A$1:$G$1,0))</f>
        <v>0.5</v>
      </c>
      <c r="N120" s="7">
        <f>INDEX(products!$A$1:$G$49,MATCH($F120,products!$A$1:$A$49,0),MATCH(N$1,products!$A$1:$G$1,0))</f>
        <v>5.3699999999999992</v>
      </c>
      <c r="O120" s="7">
        <f t="shared" si="1"/>
        <v>26.849999999999994</v>
      </c>
      <c r="P120" t="str" cm="1">
        <f t="array" ref="P120">_xlfn.IFS(K120="Rob","Robusta",K120="Exc","Excelsa",K120="Ara","Arabica",K120="Lib","Liberica")</f>
        <v>Robusta</v>
      </c>
      <c r="Q120" t="str" cm="1">
        <f t="array" ref="Q120">_xlfn.IFS(L120="M","Medium",L120="L","Light",L120="D","Dark")</f>
        <v>Dark</v>
      </c>
      <c r="R120" t="str">
        <f>_xlfn.XLOOKUP(Orders[[#This Row],[Customer ID]],customers!$A$1:$A$1001,customers!$I$1:$I$1001)</f>
        <v>No</v>
      </c>
    </row>
    <row r="121" spans="1:18" x14ac:dyDescent="0.35">
      <c r="A121" s="2" t="s">
        <v>1222</v>
      </c>
      <c r="B121" s="4">
        <v>44624</v>
      </c>
      <c r="C121" s="23">
        <f>Orders[[#This Row],[Order Date]]</f>
        <v>44624</v>
      </c>
      <c r="D121" s="2">
        <f>YEAR(Orders[[#This Row],[Order Date]])</f>
        <v>2022</v>
      </c>
      <c r="E121" s="2" t="s">
        <v>1223</v>
      </c>
      <c r="F121" t="s">
        <v>6182</v>
      </c>
      <c r="G121" s="20">
        <v>5</v>
      </c>
      <c r="H121" s="2" t="str">
        <f>INDEX(customers!$A$1:$I$1001,MATCH($E121,customers!$A$1:$A$1001,),MATCH($H$1,customers!$A$1:$I$1,0))</f>
        <v>Bidget Tremellier</v>
      </c>
      <c r="I121" s="2" t="str">
        <f>IF(INDEX(customers!$A$1:$I$1001,MATCH($E121,customers!$A$1:$A$1001,0),3)=0,"",INDEX(customers!$A$1:$I$1001,MATCH($E121,customers!$A$1:$A$1001,0),3))</f>
        <v/>
      </c>
      <c r="J121" s="2" t="str">
        <f>_xlfn.XLOOKUP(E121,customers!$A$1:$A$1001,customers!$G$1:$G$1001)</f>
        <v>Ireland</v>
      </c>
      <c r="K121" t="str">
        <f>INDEX(products!$A$1:$G$49,MATCH($F121,products!$A$1:$A$49,0),MATCH(K$1,products!$A$1:$G$1,0))</f>
        <v>Ara</v>
      </c>
      <c r="L121" t="str">
        <f>INDEX(products!$A$1:$G$49,MATCH($F121,products!$A$1:$A$49,0),MATCH(L$1,products!$A$1:$G$1,0))</f>
        <v>L</v>
      </c>
      <c r="M121" s="5">
        <f>INDEX(products!$A$1:$G$49,MATCH($F121,products!$A$1:$A$49,0),MATCH(M$1,products!$A$1:$G$1,0))</f>
        <v>2.5</v>
      </c>
      <c r="N121" s="7">
        <f>INDEX(products!$A$1:$G$49,MATCH($F121,products!$A$1:$A$49,0),MATCH(N$1,products!$A$1:$G$1,0))</f>
        <v>29.784999999999997</v>
      </c>
      <c r="O121" s="7">
        <f t="shared" si="1"/>
        <v>148.92499999999998</v>
      </c>
      <c r="P121" t="str" cm="1">
        <f t="array" ref="P121">_xlfn.IFS(K121="Rob","Robusta",K121="Exc","Excelsa",K121="Ara","Arabica",K121="Lib","Liberica")</f>
        <v>Arabica</v>
      </c>
      <c r="Q121" t="str" cm="1">
        <f t="array" ref="Q121">_xlfn.IFS(L121="M","Medium",L121="L","Light",L121="D","Dark")</f>
        <v>Light</v>
      </c>
      <c r="R121" t="str">
        <f>_xlfn.XLOOKUP(Orders[[#This Row],[Customer ID]],customers!$A$1:$A$1001,customers!$I$1:$I$1001)</f>
        <v>Yes</v>
      </c>
    </row>
    <row r="122" spans="1:18" x14ac:dyDescent="0.35">
      <c r="A122" s="2" t="s">
        <v>3923</v>
      </c>
      <c r="B122" s="4">
        <v>44608</v>
      </c>
      <c r="C122" s="23">
        <f>Orders[[#This Row],[Order Date]]</f>
        <v>44608</v>
      </c>
      <c r="D122" s="2">
        <f>YEAR(Orders[[#This Row],[Order Date]])</f>
        <v>2022</v>
      </c>
      <c r="E122" s="2" t="s">
        <v>3924</v>
      </c>
      <c r="F122" t="s">
        <v>6185</v>
      </c>
      <c r="G122" s="20">
        <v>2</v>
      </c>
      <c r="H122" s="2" t="str">
        <f>INDEX(customers!$A$1:$I$1001,MATCH($E122,customers!$A$1:$A$1001,),MATCH($H$1,customers!$A$1:$I$1,0))</f>
        <v>Billy Neiland</v>
      </c>
      <c r="I122" s="2" t="str">
        <f>IF(INDEX(customers!$A$1:$I$1001,MATCH($E122,customers!$A$1:$A$1001,0),3)=0,"",INDEX(customers!$A$1:$I$1001,MATCH($E122,customers!$A$1:$A$1001,0),3))</f>
        <v/>
      </c>
      <c r="J122" s="2" t="str">
        <f>_xlfn.XLOOKUP(E122,customers!$A$1:$A$1001,customers!$G$1:$G$1001)</f>
        <v>United States</v>
      </c>
      <c r="K122" t="str">
        <f>INDEX(products!$A$1:$G$49,MATCH($F122,products!$A$1:$A$49,0),MATCH(K$1,products!$A$1:$G$1,0))</f>
        <v>Exc</v>
      </c>
      <c r="L122" t="str">
        <f>INDEX(products!$A$1:$G$49,MATCH($F122,products!$A$1:$A$49,0),MATCH(L$1,products!$A$1:$G$1,0))</f>
        <v>D</v>
      </c>
      <c r="M122" s="5">
        <f>INDEX(products!$A$1:$G$49,MATCH($F122,products!$A$1:$A$49,0),MATCH(M$1,products!$A$1:$G$1,0))</f>
        <v>2.5</v>
      </c>
      <c r="N122" s="7">
        <f>INDEX(products!$A$1:$G$49,MATCH($F122,products!$A$1:$A$49,0),MATCH(N$1,products!$A$1:$G$1,0))</f>
        <v>27.945</v>
      </c>
      <c r="O122" s="7">
        <f t="shared" si="1"/>
        <v>55.89</v>
      </c>
      <c r="P122" t="str" cm="1">
        <f t="array" ref="P122">_xlfn.IFS(K122="Rob","Robusta",K122="Exc","Excelsa",K122="Ara","Arabica",K122="Lib","Liberica")</f>
        <v>Excelsa</v>
      </c>
      <c r="Q122" t="str" cm="1">
        <f t="array" ref="Q122">_xlfn.IFS(L122="M","Medium",L122="L","Light",L122="D","Dark")</f>
        <v>Dark</v>
      </c>
      <c r="R122" t="str">
        <f>_xlfn.XLOOKUP(Orders[[#This Row],[Customer ID]],customers!$A$1:$A$1001,customers!$I$1:$I$1001)</f>
        <v>No</v>
      </c>
    </row>
    <row r="123" spans="1:18" x14ac:dyDescent="0.35">
      <c r="A123" s="2" t="s">
        <v>3537</v>
      </c>
      <c r="B123" s="4">
        <v>44488</v>
      </c>
      <c r="C123" s="23">
        <f>Orders[[#This Row],[Order Date]]</f>
        <v>44488</v>
      </c>
      <c r="D123" s="2">
        <f>YEAR(Orders[[#This Row],[Order Date]])</f>
        <v>2021</v>
      </c>
      <c r="E123" s="2" t="s">
        <v>3538</v>
      </c>
      <c r="F123" t="s">
        <v>6172</v>
      </c>
      <c r="G123" s="20">
        <v>5</v>
      </c>
      <c r="H123" s="2" t="str">
        <f>INDEX(customers!$A$1:$I$1001,MATCH($E123,customers!$A$1:$A$1001,),MATCH($H$1,customers!$A$1:$I$1,0))</f>
        <v>Birgit Domange</v>
      </c>
      <c r="I123" s="2" t="str">
        <f>IF(INDEX(customers!$A$1:$I$1001,MATCH($E123,customers!$A$1:$A$1001,0),3)=0,"",INDEX(customers!$A$1:$I$1001,MATCH($E123,customers!$A$1:$A$1001,0),3))</f>
        <v>bdomangeez@yahoo.co.jp</v>
      </c>
      <c r="J123" s="2" t="str">
        <f>_xlfn.XLOOKUP(E123,customers!$A$1:$A$1001,customers!$G$1:$G$1001)</f>
        <v>United States</v>
      </c>
      <c r="K123" t="str">
        <f>INDEX(products!$A$1:$G$49,MATCH($F123,products!$A$1:$A$49,0),MATCH(K$1,products!$A$1:$G$1,0))</f>
        <v>Rob</v>
      </c>
      <c r="L123" t="str">
        <f>INDEX(products!$A$1:$G$49,MATCH($F123,products!$A$1:$A$49,0),MATCH(L$1,products!$A$1:$G$1,0))</f>
        <v>D</v>
      </c>
      <c r="M123" s="5">
        <f>INDEX(products!$A$1:$G$49,MATCH($F123,products!$A$1:$A$49,0),MATCH(M$1,products!$A$1:$G$1,0))</f>
        <v>0.5</v>
      </c>
      <c r="N123" s="7">
        <f>INDEX(products!$A$1:$G$49,MATCH($F123,products!$A$1:$A$49,0),MATCH(N$1,products!$A$1:$G$1,0))</f>
        <v>5.3699999999999992</v>
      </c>
      <c r="O123" s="7">
        <f t="shared" si="1"/>
        <v>26.849999999999994</v>
      </c>
      <c r="P123" t="str" cm="1">
        <f t="array" ref="P123">_xlfn.IFS(K123="Rob","Robusta",K123="Exc","Excelsa",K123="Ara","Arabica",K123="Lib","Liberica")</f>
        <v>Robusta</v>
      </c>
      <c r="Q123" t="str" cm="1">
        <f t="array" ref="Q123">_xlfn.IFS(L123="M","Medium",L123="L","Light",L123="D","Dark")</f>
        <v>Dark</v>
      </c>
      <c r="R123" t="str">
        <f>_xlfn.XLOOKUP(Orders[[#This Row],[Customer ID]],customers!$A$1:$A$1001,customers!$I$1:$I$1001)</f>
        <v>No</v>
      </c>
    </row>
    <row r="124" spans="1:18" x14ac:dyDescent="0.35">
      <c r="A124" s="2" t="s">
        <v>5513</v>
      </c>
      <c r="B124" s="4">
        <v>44292</v>
      </c>
      <c r="C124" s="23">
        <f>Orders[[#This Row],[Order Date]]</f>
        <v>44292</v>
      </c>
      <c r="D124" s="2">
        <f>YEAR(Orders[[#This Row],[Order Date]])</f>
        <v>2021</v>
      </c>
      <c r="E124" s="2" t="s">
        <v>5514</v>
      </c>
      <c r="F124" t="s">
        <v>6167</v>
      </c>
      <c r="G124" s="20">
        <v>2</v>
      </c>
      <c r="H124" s="2" t="str">
        <f>INDEX(customers!$A$1:$I$1001,MATCH($E124,customers!$A$1:$A$1001,),MATCH($H$1,customers!$A$1:$I$1,0))</f>
        <v>Blake Kelloway</v>
      </c>
      <c r="I124" s="2" t="str">
        <f>IF(INDEX(customers!$A$1:$I$1001,MATCH($E124,customers!$A$1:$A$1001,0),3)=0,"",INDEX(customers!$A$1:$I$1001,MATCH($E124,customers!$A$1:$A$1001,0),3))</f>
        <v>bkellowayoo@omniture.com</v>
      </c>
      <c r="J124" s="2" t="str">
        <f>_xlfn.XLOOKUP(E124,customers!$A$1:$A$1001,customers!$G$1:$G$1001)</f>
        <v>United States</v>
      </c>
      <c r="K124" t="str">
        <f>INDEX(products!$A$1:$G$49,MATCH($F124,products!$A$1:$A$49,0),MATCH(K$1,products!$A$1:$G$1,0))</f>
        <v>Ara</v>
      </c>
      <c r="L124" t="str">
        <f>INDEX(products!$A$1:$G$49,MATCH($F124,products!$A$1:$A$49,0),MATCH(L$1,products!$A$1:$G$1,0))</f>
        <v>L</v>
      </c>
      <c r="M124" s="5">
        <f>INDEX(products!$A$1:$G$49,MATCH($F124,products!$A$1:$A$49,0),MATCH(M$1,products!$A$1:$G$1,0))</f>
        <v>0.2</v>
      </c>
      <c r="N124" s="7">
        <f>INDEX(products!$A$1:$G$49,MATCH($F124,products!$A$1:$A$49,0),MATCH(N$1,products!$A$1:$G$1,0))</f>
        <v>3.8849999999999998</v>
      </c>
      <c r="O124" s="7">
        <f t="shared" si="1"/>
        <v>7.77</v>
      </c>
      <c r="P124" t="str" cm="1">
        <f t="array" ref="P124">_xlfn.IFS(K124="Rob","Robusta",K124="Exc","Excelsa",K124="Ara","Arabica",K124="Lib","Liberica")</f>
        <v>Arabica</v>
      </c>
      <c r="Q124" t="str" cm="1">
        <f t="array" ref="Q124">_xlfn.IFS(L124="M","Medium",L124="L","Light",L124="D","Dark")</f>
        <v>Light</v>
      </c>
      <c r="R124" t="str">
        <f>_xlfn.XLOOKUP(Orders[[#This Row],[Customer ID]],customers!$A$1:$A$1001,customers!$I$1:$I$1001)</f>
        <v>Yes</v>
      </c>
    </row>
    <row r="125" spans="1:18" x14ac:dyDescent="0.35">
      <c r="A125" s="2" t="s">
        <v>1249</v>
      </c>
      <c r="B125" s="4">
        <v>44232</v>
      </c>
      <c r="C125" s="23">
        <f>Orders[[#This Row],[Order Date]]</f>
        <v>44232</v>
      </c>
      <c r="D125" s="2">
        <f>YEAR(Orders[[#This Row],[Order Date]])</f>
        <v>2021</v>
      </c>
      <c r="E125" s="2" t="s">
        <v>976</v>
      </c>
      <c r="F125" t="s">
        <v>6180</v>
      </c>
      <c r="G125" s="20">
        <v>5</v>
      </c>
      <c r="H125" s="2" t="str">
        <f>INDEX(customers!$A$1:$I$1001,MATCH($E125,customers!$A$1:$A$1001,),MATCH($H$1,customers!$A$1:$I$1,0))</f>
        <v>Blancha McAmish</v>
      </c>
      <c r="I125" s="2" t="str">
        <f>IF(INDEX(customers!$A$1:$I$1001,MATCH($E125,customers!$A$1:$A$1001,0),3)=0,"",INDEX(customers!$A$1:$I$1001,MATCH($E125,customers!$A$1:$A$1001,0),3))</f>
        <v>bmcamish2e@tripadvisor.com</v>
      </c>
      <c r="J125" s="2" t="str">
        <f>_xlfn.XLOOKUP(E125,customers!$A$1:$A$1001,customers!$G$1:$G$1001)</f>
        <v>United States</v>
      </c>
      <c r="K125" t="str">
        <f>INDEX(products!$A$1:$G$49,MATCH($F125,products!$A$1:$A$49,0),MATCH(K$1,products!$A$1:$G$1,0))</f>
        <v>Ara</v>
      </c>
      <c r="L125" t="str">
        <f>INDEX(products!$A$1:$G$49,MATCH($F125,products!$A$1:$A$49,0),MATCH(L$1,products!$A$1:$G$1,0))</f>
        <v>L</v>
      </c>
      <c r="M125" s="5">
        <f>INDEX(products!$A$1:$G$49,MATCH($F125,products!$A$1:$A$49,0),MATCH(M$1,products!$A$1:$G$1,0))</f>
        <v>0.5</v>
      </c>
      <c r="N125" s="7">
        <f>INDEX(products!$A$1:$G$49,MATCH($F125,products!$A$1:$A$49,0),MATCH(N$1,products!$A$1:$G$1,0))</f>
        <v>7.77</v>
      </c>
      <c r="O125" s="7">
        <f t="shared" si="1"/>
        <v>38.849999999999994</v>
      </c>
      <c r="P125" t="str" cm="1">
        <f t="array" ref="P125">_xlfn.IFS(K125="Rob","Robusta",K125="Exc","Excelsa",K125="Ara","Arabica",K125="Lib","Liberica")</f>
        <v>Arabica</v>
      </c>
      <c r="Q125" t="str" cm="1">
        <f t="array" ref="Q125">_xlfn.IFS(L125="M","Medium",L125="L","Light",L125="D","Dark")</f>
        <v>Light</v>
      </c>
      <c r="R125" t="str">
        <f>_xlfn.XLOOKUP(Orders[[#This Row],[Customer ID]],customers!$A$1:$A$1001,customers!$I$1:$I$1001)</f>
        <v>Yes</v>
      </c>
    </row>
    <row r="126" spans="1:18" x14ac:dyDescent="0.35">
      <c r="A126" s="2" t="s">
        <v>3860</v>
      </c>
      <c r="B126" s="4">
        <v>44532</v>
      </c>
      <c r="C126" s="23">
        <f>Orders[[#This Row],[Order Date]]</f>
        <v>44532</v>
      </c>
      <c r="D126" s="2">
        <f>YEAR(Orders[[#This Row],[Order Date]])</f>
        <v>2021</v>
      </c>
      <c r="E126" s="2" t="s">
        <v>3861</v>
      </c>
      <c r="F126" t="s">
        <v>6164</v>
      </c>
      <c r="G126" s="20">
        <v>4</v>
      </c>
      <c r="H126" s="2" t="str">
        <f>INDEX(customers!$A$1:$I$1001,MATCH($E126,customers!$A$1:$A$1001,),MATCH($H$1,customers!$A$1:$I$1,0))</f>
        <v>Bo Kindley</v>
      </c>
      <c r="I126" s="2" t="str">
        <f>IF(INDEX(customers!$A$1:$I$1001,MATCH($E126,customers!$A$1:$A$1001,0),3)=0,"",INDEX(customers!$A$1:$I$1001,MATCH($E126,customers!$A$1:$A$1001,0),3))</f>
        <v>bkindleygl@wikimedia.org</v>
      </c>
      <c r="J126" s="2" t="str">
        <f>_xlfn.XLOOKUP(E126,customers!$A$1:$A$1001,customers!$G$1:$G$1001)</f>
        <v>United States</v>
      </c>
      <c r="K126" t="str">
        <f>INDEX(products!$A$1:$G$49,MATCH($F126,products!$A$1:$A$49,0),MATCH(K$1,products!$A$1:$G$1,0))</f>
        <v>Lib</v>
      </c>
      <c r="L126" t="str">
        <f>INDEX(products!$A$1:$G$49,MATCH($F126,products!$A$1:$A$49,0),MATCH(L$1,products!$A$1:$G$1,0))</f>
        <v>L</v>
      </c>
      <c r="M126" s="5">
        <f>INDEX(products!$A$1:$G$49,MATCH($F126,products!$A$1:$A$49,0),MATCH(M$1,products!$A$1:$G$1,0))</f>
        <v>2.5</v>
      </c>
      <c r="N126" s="7">
        <f>INDEX(products!$A$1:$G$49,MATCH($F126,products!$A$1:$A$49,0),MATCH(N$1,products!$A$1:$G$1,0))</f>
        <v>36.454999999999998</v>
      </c>
      <c r="O126" s="7">
        <f t="shared" si="1"/>
        <v>145.82</v>
      </c>
      <c r="P126" t="str" cm="1">
        <f t="array" ref="P126">_xlfn.IFS(K126="Rob","Robusta",K126="Exc","Excelsa",K126="Ara","Arabica",K126="Lib","Liberica")</f>
        <v>Liberica</v>
      </c>
      <c r="Q126" t="str" cm="1">
        <f t="array" ref="Q126">_xlfn.IFS(L126="M","Medium",L126="L","Light",L126="D","Dark")</f>
        <v>Light</v>
      </c>
      <c r="R126" t="str">
        <f>_xlfn.XLOOKUP(Orders[[#This Row],[Customer ID]],customers!$A$1:$A$1001,customers!$I$1:$I$1001)</f>
        <v>Yes</v>
      </c>
    </row>
    <row r="127" spans="1:18" x14ac:dyDescent="0.35">
      <c r="A127" s="2" t="s">
        <v>3260</v>
      </c>
      <c r="B127" s="4">
        <v>43764</v>
      </c>
      <c r="C127" s="23">
        <f>Orders[[#This Row],[Order Date]]</f>
        <v>43764</v>
      </c>
      <c r="D127" s="2">
        <f>YEAR(Orders[[#This Row],[Order Date]])</f>
        <v>2019</v>
      </c>
      <c r="E127" s="2" t="s">
        <v>3261</v>
      </c>
      <c r="F127" t="s">
        <v>6169</v>
      </c>
      <c r="G127" s="20">
        <v>2</v>
      </c>
      <c r="H127" s="2" t="str">
        <f>INDEX(customers!$A$1:$I$1001,MATCH($E127,customers!$A$1:$A$1001,),MATCH($H$1,customers!$A$1:$I$1,0))</f>
        <v>Bob Giannazzi</v>
      </c>
      <c r="I127" s="2" t="str">
        <f>IF(INDEX(customers!$A$1:$I$1001,MATCH($E127,customers!$A$1:$A$1001,0),3)=0,"",INDEX(customers!$A$1:$I$1001,MATCH($E127,customers!$A$1:$A$1001,0),3))</f>
        <v>bgiannazzidm@apple.com</v>
      </c>
      <c r="J127" s="2" t="str">
        <f>_xlfn.XLOOKUP(E127,customers!$A$1:$A$1001,customers!$G$1:$G$1001)</f>
        <v>United States</v>
      </c>
      <c r="K127" t="str">
        <f>INDEX(products!$A$1:$G$49,MATCH($F127,products!$A$1:$A$49,0),MATCH(K$1,products!$A$1:$G$1,0))</f>
        <v>Lib</v>
      </c>
      <c r="L127" t="str">
        <f>INDEX(products!$A$1:$G$49,MATCH($F127,products!$A$1:$A$49,0),MATCH(L$1,products!$A$1:$G$1,0))</f>
        <v>D</v>
      </c>
      <c r="M127" s="5">
        <f>INDEX(products!$A$1:$G$49,MATCH($F127,products!$A$1:$A$49,0),MATCH(M$1,products!$A$1:$G$1,0))</f>
        <v>0.5</v>
      </c>
      <c r="N127" s="7">
        <f>INDEX(products!$A$1:$G$49,MATCH($F127,products!$A$1:$A$49,0),MATCH(N$1,products!$A$1:$G$1,0))</f>
        <v>7.77</v>
      </c>
      <c r="O127" s="7">
        <f t="shared" si="1"/>
        <v>15.54</v>
      </c>
      <c r="P127" t="str" cm="1">
        <f t="array" ref="P127">_xlfn.IFS(K127="Rob","Robusta",K127="Exc","Excelsa",K127="Ara","Arabica",K127="Lib","Liberica")</f>
        <v>Liberica</v>
      </c>
      <c r="Q127" t="str" cm="1">
        <f t="array" ref="Q127">_xlfn.IFS(L127="M","Medium",L127="L","Light",L127="D","Dark")</f>
        <v>Dark</v>
      </c>
      <c r="R127" t="str">
        <f>_xlfn.XLOOKUP(Orders[[#This Row],[Customer ID]],customers!$A$1:$A$1001,customers!$I$1:$I$1001)</f>
        <v>No</v>
      </c>
    </row>
    <row r="128" spans="1:18" x14ac:dyDescent="0.35">
      <c r="A128" s="2" t="s">
        <v>5472</v>
      </c>
      <c r="B128" s="4">
        <v>44286</v>
      </c>
      <c r="C128" s="23">
        <f>Orders[[#This Row],[Order Date]]</f>
        <v>44286</v>
      </c>
      <c r="D128" s="2">
        <f>YEAR(Orders[[#This Row],[Order Date]])</f>
        <v>2021</v>
      </c>
      <c r="E128" s="2" t="s">
        <v>5473</v>
      </c>
      <c r="F128" t="s">
        <v>6167</v>
      </c>
      <c r="G128" s="20">
        <v>6</v>
      </c>
      <c r="H128" s="2" t="str">
        <f>INDEX(customers!$A$1:$I$1001,MATCH($E128,customers!$A$1:$A$1001,),MATCH($H$1,customers!$A$1:$I$1,0))</f>
        <v>Bobbe Castagneto</v>
      </c>
      <c r="I128" s="2" t="str">
        <f>IF(INDEX(customers!$A$1:$I$1001,MATCH($E128,customers!$A$1:$A$1001,0),3)=0,"",INDEX(customers!$A$1:$I$1001,MATCH($E128,customers!$A$1:$A$1001,0),3))</f>
        <v/>
      </c>
      <c r="J128" s="2" t="str">
        <f>_xlfn.XLOOKUP(E128,customers!$A$1:$A$1001,customers!$G$1:$G$1001)</f>
        <v>United States</v>
      </c>
      <c r="K128" t="str">
        <f>INDEX(products!$A$1:$G$49,MATCH($F128,products!$A$1:$A$49,0),MATCH(K$1,products!$A$1:$G$1,0))</f>
        <v>Ara</v>
      </c>
      <c r="L128" t="str">
        <f>INDEX(products!$A$1:$G$49,MATCH($F128,products!$A$1:$A$49,0),MATCH(L$1,products!$A$1:$G$1,0))</f>
        <v>L</v>
      </c>
      <c r="M128" s="5">
        <f>INDEX(products!$A$1:$G$49,MATCH($F128,products!$A$1:$A$49,0),MATCH(M$1,products!$A$1:$G$1,0))</f>
        <v>0.2</v>
      </c>
      <c r="N128" s="7">
        <f>INDEX(products!$A$1:$G$49,MATCH($F128,products!$A$1:$A$49,0),MATCH(N$1,products!$A$1:$G$1,0))</f>
        <v>3.8849999999999998</v>
      </c>
      <c r="O128" s="7">
        <f t="shared" si="1"/>
        <v>23.31</v>
      </c>
      <c r="P128" t="str" cm="1">
        <f t="array" ref="P128">_xlfn.IFS(K128="Rob","Robusta",K128="Exc","Excelsa",K128="Ara","Arabica",K128="Lib","Liberica")</f>
        <v>Arabica</v>
      </c>
      <c r="Q128" t="str" cm="1">
        <f t="array" ref="Q128">_xlfn.IFS(L128="M","Medium",L128="L","Light",L128="D","Dark")</f>
        <v>Light</v>
      </c>
      <c r="R128" t="str">
        <f>_xlfn.XLOOKUP(Orders[[#This Row],[Customer ID]],customers!$A$1:$A$1001,customers!$I$1:$I$1001)</f>
        <v>Yes</v>
      </c>
    </row>
    <row r="129" spans="1:18" x14ac:dyDescent="0.35">
      <c r="A129" s="2" t="s">
        <v>1748</v>
      </c>
      <c r="B129" s="4">
        <v>44109</v>
      </c>
      <c r="C129" s="23">
        <f>Orders[[#This Row],[Order Date]]</f>
        <v>44109</v>
      </c>
      <c r="D129" s="2">
        <f>YEAR(Orders[[#This Row],[Order Date]])</f>
        <v>2020</v>
      </c>
      <c r="E129" s="2" t="s">
        <v>1749</v>
      </c>
      <c r="F129" t="s">
        <v>6171</v>
      </c>
      <c r="G129" s="20">
        <v>4</v>
      </c>
      <c r="H129" s="2" t="str">
        <f>INDEX(customers!$A$1:$I$1001,MATCH($E129,customers!$A$1:$A$1001,),MATCH($H$1,customers!$A$1:$I$1,0))</f>
        <v>Bobbe Piggott</v>
      </c>
      <c r="I129" s="2" t="str">
        <f>IF(INDEX(customers!$A$1:$I$1001,MATCH($E129,customers!$A$1:$A$1001,0),3)=0,"",INDEX(customers!$A$1:$I$1001,MATCH($E129,customers!$A$1:$A$1001,0),3))</f>
        <v/>
      </c>
      <c r="J129" s="2" t="str">
        <f>_xlfn.XLOOKUP(E129,customers!$A$1:$A$1001,customers!$G$1:$G$1001)</f>
        <v>United States</v>
      </c>
      <c r="K129" t="str">
        <f>INDEX(products!$A$1:$G$49,MATCH($F129,products!$A$1:$A$49,0),MATCH(K$1,products!$A$1:$G$1,0))</f>
        <v>Exc</v>
      </c>
      <c r="L129" t="str">
        <f>INDEX(products!$A$1:$G$49,MATCH($F129,products!$A$1:$A$49,0),MATCH(L$1,products!$A$1:$G$1,0))</f>
        <v>L</v>
      </c>
      <c r="M129" s="5">
        <f>INDEX(products!$A$1:$G$49,MATCH($F129,products!$A$1:$A$49,0),MATCH(M$1,products!$A$1:$G$1,0))</f>
        <v>1</v>
      </c>
      <c r="N129" s="7">
        <f>INDEX(products!$A$1:$G$49,MATCH($F129,products!$A$1:$A$49,0),MATCH(N$1,products!$A$1:$G$1,0))</f>
        <v>14.85</v>
      </c>
      <c r="O129" s="7">
        <f t="shared" si="1"/>
        <v>59.4</v>
      </c>
      <c r="P129" t="str" cm="1">
        <f t="array" ref="P129">_xlfn.IFS(K129="Rob","Robusta",K129="Exc","Excelsa",K129="Ara","Arabica",K129="Lib","Liberica")</f>
        <v>Excelsa</v>
      </c>
      <c r="Q129" t="str" cm="1">
        <f t="array" ref="Q129">_xlfn.IFS(L129="M","Medium",L129="L","Light",L129="D","Dark")</f>
        <v>Light</v>
      </c>
      <c r="R129" t="str">
        <f>_xlfn.XLOOKUP(Orders[[#This Row],[Customer ID]],customers!$A$1:$A$1001,customers!$I$1:$I$1001)</f>
        <v>Yes</v>
      </c>
    </row>
    <row r="130" spans="1:18" x14ac:dyDescent="0.35">
      <c r="A130" s="2" t="s">
        <v>5632</v>
      </c>
      <c r="B130" s="4">
        <v>44635</v>
      </c>
      <c r="C130" s="23">
        <f>Orders[[#This Row],[Order Date]]</f>
        <v>44635</v>
      </c>
      <c r="D130" s="2">
        <f>YEAR(Orders[[#This Row],[Order Date]])</f>
        <v>2022</v>
      </c>
      <c r="E130" s="2" t="s">
        <v>5633</v>
      </c>
      <c r="F130" t="s">
        <v>6178</v>
      </c>
      <c r="G130" s="20">
        <v>3</v>
      </c>
      <c r="H130" s="2" t="str">
        <f>INDEX(customers!$A$1:$I$1001,MATCH($E130,customers!$A$1:$A$1001,),MATCH($H$1,customers!$A$1:$I$1,0))</f>
        <v>Bobbe Renner</v>
      </c>
      <c r="I130" s="2" t="str">
        <f>IF(INDEX(customers!$A$1:$I$1001,MATCH($E130,customers!$A$1:$A$1001,0),3)=0,"",INDEX(customers!$A$1:$I$1001,MATCH($E130,customers!$A$1:$A$1001,0),3))</f>
        <v/>
      </c>
      <c r="J130" s="2" t="str">
        <f>_xlfn.XLOOKUP(E130,customers!$A$1:$A$1001,customers!$G$1:$G$1001)</f>
        <v>United States</v>
      </c>
      <c r="K130" t="str">
        <f>INDEX(products!$A$1:$G$49,MATCH($F130,products!$A$1:$A$49,0),MATCH(K$1,products!$A$1:$G$1,0))</f>
        <v>Rob</v>
      </c>
      <c r="L130" t="str">
        <f>INDEX(products!$A$1:$G$49,MATCH($F130,products!$A$1:$A$49,0),MATCH(L$1,products!$A$1:$G$1,0))</f>
        <v>L</v>
      </c>
      <c r="M130" s="5">
        <f>INDEX(products!$A$1:$G$49,MATCH($F130,products!$A$1:$A$49,0),MATCH(M$1,products!$A$1:$G$1,0))</f>
        <v>0.2</v>
      </c>
      <c r="N130" s="7">
        <f>INDEX(products!$A$1:$G$49,MATCH($F130,products!$A$1:$A$49,0),MATCH(N$1,products!$A$1:$G$1,0))</f>
        <v>3.5849999999999995</v>
      </c>
      <c r="O130" s="7">
        <f t="shared" ref="O130:O193" si="2">N130*G130</f>
        <v>10.754999999999999</v>
      </c>
      <c r="P130" t="str" cm="1">
        <f t="array" ref="P130">_xlfn.IFS(K130="Rob","Robusta",K130="Exc","Excelsa",K130="Ara","Arabica",K130="Lib","Liberica")</f>
        <v>Robusta</v>
      </c>
      <c r="Q130" t="str" cm="1">
        <f t="array" ref="Q130">_xlfn.IFS(L130="M","Medium",L130="L","Light",L130="D","Dark")</f>
        <v>Light</v>
      </c>
      <c r="R130" t="str">
        <f>_xlfn.XLOOKUP(Orders[[#This Row],[Customer ID]],customers!$A$1:$A$1001,customers!$I$1:$I$1001)</f>
        <v>No</v>
      </c>
    </row>
    <row r="131" spans="1:18" x14ac:dyDescent="0.35">
      <c r="A131" s="2" t="s">
        <v>4808</v>
      </c>
      <c r="B131" s="4">
        <v>43797</v>
      </c>
      <c r="C131" s="23">
        <f>Orders[[#This Row],[Order Date]]</f>
        <v>43797</v>
      </c>
      <c r="D131" s="2">
        <f>YEAR(Orders[[#This Row],[Order Date]])</f>
        <v>2019</v>
      </c>
      <c r="E131" s="2" t="s">
        <v>4809</v>
      </c>
      <c r="F131" t="s">
        <v>6182</v>
      </c>
      <c r="G131" s="20">
        <v>6</v>
      </c>
      <c r="H131" s="2" t="str">
        <f>INDEX(customers!$A$1:$I$1001,MATCH($E131,customers!$A$1:$A$1001,),MATCH($H$1,customers!$A$1:$I$1,0))</f>
        <v>Bobby Folomkin</v>
      </c>
      <c r="I131" s="2" t="str">
        <f>IF(INDEX(customers!$A$1:$I$1001,MATCH($E131,customers!$A$1:$A$1001,0),3)=0,"",INDEX(customers!$A$1:$I$1001,MATCH($E131,customers!$A$1:$A$1001,0),3))</f>
        <v>bfolomkinl8@yolasite.com</v>
      </c>
      <c r="J131" s="2" t="str">
        <f>_xlfn.XLOOKUP(E131,customers!$A$1:$A$1001,customers!$G$1:$G$1001)</f>
        <v>United States</v>
      </c>
      <c r="K131" t="str">
        <f>INDEX(products!$A$1:$G$49,MATCH($F131,products!$A$1:$A$49,0),MATCH(K$1,products!$A$1:$G$1,0))</f>
        <v>Ara</v>
      </c>
      <c r="L131" t="str">
        <f>INDEX(products!$A$1:$G$49,MATCH($F131,products!$A$1:$A$49,0),MATCH(L$1,products!$A$1:$G$1,0))</f>
        <v>L</v>
      </c>
      <c r="M131" s="5">
        <f>INDEX(products!$A$1:$G$49,MATCH($F131,products!$A$1:$A$49,0),MATCH(M$1,products!$A$1:$G$1,0))</f>
        <v>2.5</v>
      </c>
      <c r="N131" s="7">
        <f>INDEX(products!$A$1:$G$49,MATCH($F131,products!$A$1:$A$49,0),MATCH(N$1,products!$A$1:$G$1,0))</f>
        <v>29.784999999999997</v>
      </c>
      <c r="O131" s="7">
        <f t="shared" si="2"/>
        <v>178.70999999999998</v>
      </c>
      <c r="P131" t="str" cm="1">
        <f t="array" ref="P131">_xlfn.IFS(K131="Rob","Robusta",K131="Exc","Excelsa",K131="Ara","Arabica",K131="Lib","Liberica")</f>
        <v>Arabica</v>
      </c>
      <c r="Q131" t="str" cm="1">
        <f t="array" ref="Q131">_xlfn.IFS(L131="M","Medium",L131="L","Light",L131="D","Dark")</f>
        <v>Light</v>
      </c>
      <c r="R131" t="str">
        <f>_xlfn.XLOOKUP(Orders[[#This Row],[Customer ID]],customers!$A$1:$A$1001,customers!$I$1:$I$1001)</f>
        <v>Yes</v>
      </c>
    </row>
    <row r="132" spans="1:18" x14ac:dyDescent="0.35">
      <c r="A132" s="2" t="s">
        <v>1227</v>
      </c>
      <c r="B132" s="4">
        <v>44196</v>
      </c>
      <c r="C132" s="23">
        <f>Orders[[#This Row],[Order Date]]</f>
        <v>44196</v>
      </c>
      <c r="D132" s="2">
        <f>YEAR(Orders[[#This Row],[Order Date]])</f>
        <v>2020</v>
      </c>
      <c r="E132" s="2" t="s">
        <v>1228</v>
      </c>
      <c r="F132" t="s">
        <v>6144</v>
      </c>
      <c r="G132" s="20">
        <v>2</v>
      </c>
      <c r="H132" s="2" t="str">
        <f>INDEX(customers!$A$1:$I$1001,MATCH($E132,customers!$A$1:$A$1001,),MATCH($H$1,customers!$A$1:$I$1,0))</f>
        <v>Bobinette Hindsberg</v>
      </c>
      <c r="I132" s="2" t="str">
        <f>IF(INDEX(customers!$A$1:$I$1001,MATCH($E132,customers!$A$1:$A$1001,0),3)=0,"",INDEX(customers!$A$1:$I$1001,MATCH($E132,customers!$A$1:$A$1001,0),3))</f>
        <v>bhindsberg3n@blogs.com</v>
      </c>
      <c r="J132" s="2" t="str">
        <f>_xlfn.XLOOKUP(E132,customers!$A$1:$A$1001,customers!$G$1:$G$1001)</f>
        <v>United States</v>
      </c>
      <c r="K132" t="str">
        <f>INDEX(products!$A$1:$G$49,MATCH($F132,products!$A$1:$A$49,0),MATCH(K$1,products!$A$1:$G$1,0))</f>
        <v>Exc</v>
      </c>
      <c r="L132" t="str">
        <f>INDEX(products!$A$1:$G$49,MATCH($F132,products!$A$1:$A$49,0),MATCH(L$1,products!$A$1:$G$1,0))</f>
        <v>D</v>
      </c>
      <c r="M132" s="5">
        <f>INDEX(products!$A$1:$G$49,MATCH($F132,products!$A$1:$A$49,0),MATCH(M$1,products!$A$1:$G$1,0))</f>
        <v>0.5</v>
      </c>
      <c r="N132" s="7">
        <f>INDEX(products!$A$1:$G$49,MATCH($F132,products!$A$1:$A$49,0),MATCH(N$1,products!$A$1:$G$1,0))</f>
        <v>7.29</v>
      </c>
      <c r="O132" s="7">
        <f t="shared" si="2"/>
        <v>14.58</v>
      </c>
      <c r="P132" t="str" cm="1">
        <f t="array" ref="P132">_xlfn.IFS(K132="Rob","Robusta",K132="Exc","Excelsa",K132="Ara","Arabica",K132="Lib","Liberica")</f>
        <v>Excelsa</v>
      </c>
      <c r="Q132" t="str" cm="1">
        <f t="array" ref="Q132">_xlfn.IFS(L132="M","Medium",L132="L","Light",L132="D","Dark")</f>
        <v>Dark</v>
      </c>
      <c r="R132" t="str">
        <f>_xlfn.XLOOKUP(Orders[[#This Row],[Customer ID]],customers!$A$1:$A$1001,customers!$I$1:$I$1001)</f>
        <v>Yes</v>
      </c>
    </row>
    <row r="133" spans="1:18" x14ac:dyDescent="0.35">
      <c r="A133" s="2" t="s">
        <v>3100</v>
      </c>
      <c r="B133" s="4">
        <v>44124</v>
      </c>
      <c r="C133" s="23">
        <f>Orders[[#This Row],[Order Date]]</f>
        <v>44124</v>
      </c>
      <c r="D133" s="2">
        <f>YEAR(Orders[[#This Row],[Order Date]])</f>
        <v>2020</v>
      </c>
      <c r="E133" s="2" t="s">
        <v>3101</v>
      </c>
      <c r="F133" t="s">
        <v>6147</v>
      </c>
      <c r="G133" s="20">
        <v>5</v>
      </c>
      <c r="H133" s="2" t="str">
        <f>INDEX(customers!$A$1:$I$1001,MATCH($E133,customers!$A$1:$A$1001,),MATCH($H$1,customers!$A$1:$I$1,0))</f>
        <v>Borg Daile</v>
      </c>
      <c r="I133" s="2" t="str">
        <f>IF(INDEX(customers!$A$1:$I$1001,MATCH($E133,customers!$A$1:$A$1001,0),3)=0,"",INDEX(customers!$A$1:$I$1001,MATCH($E133,customers!$A$1:$A$1001,0),3))</f>
        <v>bdailecu@vistaprint.com</v>
      </c>
      <c r="J133" s="2" t="str">
        <f>_xlfn.XLOOKUP(E133,customers!$A$1:$A$1001,customers!$G$1:$G$1001)</f>
        <v>United States</v>
      </c>
      <c r="K133" t="str">
        <f>INDEX(products!$A$1:$G$49,MATCH($F133,products!$A$1:$A$49,0),MATCH(K$1,products!$A$1:$G$1,0))</f>
        <v>Ara</v>
      </c>
      <c r="L133" t="str">
        <f>INDEX(products!$A$1:$G$49,MATCH($F133,products!$A$1:$A$49,0),MATCH(L$1,products!$A$1:$G$1,0))</f>
        <v>D</v>
      </c>
      <c r="M133" s="5">
        <f>INDEX(products!$A$1:$G$49,MATCH($F133,products!$A$1:$A$49,0),MATCH(M$1,products!$A$1:$G$1,0))</f>
        <v>1</v>
      </c>
      <c r="N133" s="7">
        <f>INDEX(products!$A$1:$G$49,MATCH($F133,products!$A$1:$A$49,0),MATCH(N$1,products!$A$1:$G$1,0))</f>
        <v>9.9499999999999993</v>
      </c>
      <c r="O133" s="7">
        <f t="shared" si="2"/>
        <v>49.75</v>
      </c>
      <c r="P133" t="str" cm="1">
        <f t="array" ref="P133">_xlfn.IFS(K133="Rob","Robusta",K133="Exc","Excelsa",K133="Ara","Arabica",K133="Lib","Liberica")</f>
        <v>Arabica</v>
      </c>
      <c r="Q133" t="str" cm="1">
        <f t="array" ref="Q133">_xlfn.IFS(L133="M","Medium",L133="L","Light",L133="D","Dark")</f>
        <v>Dark</v>
      </c>
      <c r="R133" t="str">
        <f>_xlfn.XLOOKUP(Orders[[#This Row],[Customer ID]],customers!$A$1:$A$1001,customers!$I$1:$I$1001)</f>
        <v>Yes</v>
      </c>
    </row>
    <row r="134" spans="1:18" x14ac:dyDescent="0.35">
      <c r="A134" s="2" t="s">
        <v>5018</v>
      </c>
      <c r="B134" s="4">
        <v>44025</v>
      </c>
      <c r="C134" s="23">
        <f>Orders[[#This Row],[Order Date]]</f>
        <v>44025</v>
      </c>
      <c r="D134" s="2">
        <f>YEAR(Orders[[#This Row],[Order Date]])</f>
        <v>2020</v>
      </c>
      <c r="E134" s="2" t="s">
        <v>5019</v>
      </c>
      <c r="F134" t="s">
        <v>6149</v>
      </c>
      <c r="G134" s="20">
        <v>2</v>
      </c>
      <c r="H134" s="2" t="str">
        <f>INDEX(customers!$A$1:$I$1001,MATCH($E134,customers!$A$1:$A$1001,),MATCH($H$1,customers!$A$1:$I$1,0))</f>
        <v>Boyce Tarte</v>
      </c>
      <c r="I134" s="2" t="str">
        <f>IF(INDEX(customers!$A$1:$I$1001,MATCH($E134,customers!$A$1:$A$1001,0),3)=0,"",INDEX(customers!$A$1:$I$1001,MATCH($E134,customers!$A$1:$A$1001,0),3))</f>
        <v>btartem9@aol.com</v>
      </c>
      <c r="J134" s="2" t="str">
        <f>_xlfn.XLOOKUP(E134,customers!$A$1:$A$1001,customers!$G$1:$G$1001)</f>
        <v>United States</v>
      </c>
      <c r="K134" t="str">
        <f>INDEX(products!$A$1:$G$49,MATCH($F134,products!$A$1:$A$49,0),MATCH(K$1,products!$A$1:$G$1,0))</f>
        <v>Rob</v>
      </c>
      <c r="L134" t="str">
        <f>INDEX(products!$A$1:$G$49,MATCH($F134,products!$A$1:$A$49,0),MATCH(L$1,products!$A$1:$G$1,0))</f>
        <v>D</v>
      </c>
      <c r="M134" s="5">
        <f>INDEX(products!$A$1:$G$49,MATCH($F134,products!$A$1:$A$49,0),MATCH(M$1,products!$A$1:$G$1,0))</f>
        <v>2.5</v>
      </c>
      <c r="N134" s="7">
        <f>INDEX(products!$A$1:$G$49,MATCH($F134,products!$A$1:$A$49,0),MATCH(N$1,products!$A$1:$G$1,0))</f>
        <v>20.584999999999997</v>
      </c>
      <c r="O134" s="7">
        <f t="shared" si="2"/>
        <v>41.169999999999995</v>
      </c>
      <c r="P134" t="str" cm="1">
        <f t="array" ref="P134">_xlfn.IFS(K134="Rob","Robusta",K134="Exc","Excelsa",K134="Ara","Arabica",K134="Lib","Liberica")</f>
        <v>Robusta</v>
      </c>
      <c r="Q134" t="str" cm="1">
        <f t="array" ref="Q134">_xlfn.IFS(L134="M","Medium",L134="L","Light",L134="D","Dark")</f>
        <v>Dark</v>
      </c>
      <c r="R134" t="str">
        <f>_xlfn.XLOOKUP(Orders[[#This Row],[Customer ID]],customers!$A$1:$A$1001,customers!$I$1:$I$1001)</f>
        <v>Yes</v>
      </c>
    </row>
    <row r="135" spans="1:18" x14ac:dyDescent="0.35">
      <c r="A135" s="2" t="s">
        <v>1283</v>
      </c>
      <c r="B135" s="4">
        <v>43970</v>
      </c>
      <c r="C135" s="23">
        <f>Orders[[#This Row],[Order Date]]</f>
        <v>43970</v>
      </c>
      <c r="D135" s="2">
        <f>YEAR(Orders[[#This Row],[Order Date]])</f>
        <v>2020</v>
      </c>
      <c r="E135" s="2" t="s">
        <v>1284</v>
      </c>
      <c r="F135" t="s">
        <v>6167</v>
      </c>
      <c r="G135" s="20">
        <v>4</v>
      </c>
      <c r="H135" s="2" t="str">
        <f>INDEX(customers!$A$1:$I$1001,MATCH($E135,customers!$A$1:$A$1001,),MATCH($H$1,customers!$A$1:$I$1,0))</f>
        <v>Boyd Bett</v>
      </c>
      <c r="I135" s="2" t="str">
        <f>IF(INDEX(customers!$A$1:$I$1001,MATCH($E135,customers!$A$1:$A$1001,0),3)=0,"",INDEX(customers!$A$1:$I$1001,MATCH($E135,customers!$A$1:$A$1001,0),3))</f>
        <v>bbett3x@google.de</v>
      </c>
      <c r="J135" s="2" t="str">
        <f>_xlfn.XLOOKUP(E135,customers!$A$1:$A$1001,customers!$G$1:$G$1001)</f>
        <v>United States</v>
      </c>
      <c r="K135" t="str">
        <f>INDEX(products!$A$1:$G$49,MATCH($F135,products!$A$1:$A$49,0),MATCH(K$1,products!$A$1:$G$1,0))</f>
        <v>Ara</v>
      </c>
      <c r="L135" t="str">
        <f>INDEX(products!$A$1:$G$49,MATCH($F135,products!$A$1:$A$49,0),MATCH(L$1,products!$A$1:$G$1,0))</f>
        <v>L</v>
      </c>
      <c r="M135" s="5">
        <f>INDEX(products!$A$1:$G$49,MATCH($F135,products!$A$1:$A$49,0),MATCH(M$1,products!$A$1:$G$1,0))</f>
        <v>0.2</v>
      </c>
      <c r="N135" s="7">
        <f>INDEX(products!$A$1:$G$49,MATCH($F135,products!$A$1:$A$49,0),MATCH(N$1,products!$A$1:$G$1,0))</f>
        <v>3.8849999999999998</v>
      </c>
      <c r="O135" s="7">
        <f t="shared" si="2"/>
        <v>15.54</v>
      </c>
      <c r="P135" t="str" cm="1">
        <f t="array" ref="P135">_xlfn.IFS(K135="Rob","Robusta",K135="Exc","Excelsa",K135="Ara","Arabica",K135="Lib","Liberica")</f>
        <v>Arabica</v>
      </c>
      <c r="Q135" t="str" cm="1">
        <f t="array" ref="Q135">_xlfn.IFS(L135="M","Medium",L135="L","Light",L135="D","Dark")</f>
        <v>Light</v>
      </c>
      <c r="R135" t="str">
        <f>_xlfn.XLOOKUP(Orders[[#This Row],[Customer ID]],customers!$A$1:$A$1001,customers!$I$1:$I$1001)</f>
        <v>Yes</v>
      </c>
    </row>
    <row r="136" spans="1:18" x14ac:dyDescent="0.35">
      <c r="A136" s="2" t="s">
        <v>1065</v>
      </c>
      <c r="B136" s="4">
        <v>44750</v>
      </c>
      <c r="C136" s="23">
        <f>Orders[[#This Row],[Order Date]]</f>
        <v>44750</v>
      </c>
      <c r="D136" s="2">
        <f>YEAR(Orders[[#This Row],[Order Date]])</f>
        <v>2022</v>
      </c>
      <c r="E136" s="2" t="s">
        <v>1066</v>
      </c>
      <c r="F136" t="s">
        <v>6174</v>
      </c>
      <c r="G136" s="20">
        <v>4</v>
      </c>
      <c r="H136" s="2" t="str">
        <f>INDEX(customers!$A$1:$I$1001,MATCH($E136,customers!$A$1:$A$1001,),MATCH($H$1,customers!$A$1:$I$1,0))</f>
        <v>Bram Revel</v>
      </c>
      <c r="I136" s="2" t="str">
        <f>IF(INDEX(customers!$A$1:$I$1001,MATCH($E136,customers!$A$1:$A$1001,0),3)=0,"",INDEX(customers!$A$1:$I$1001,MATCH($E136,customers!$A$1:$A$1001,0),3))</f>
        <v>brevel2v@fastcompany.com</v>
      </c>
      <c r="J136" s="2" t="str">
        <f>_xlfn.XLOOKUP(E136,customers!$A$1:$A$1001,customers!$G$1:$G$1001)</f>
        <v>United States</v>
      </c>
      <c r="K136" t="str">
        <f>INDEX(products!$A$1:$G$49,MATCH($F136,products!$A$1:$A$49,0),MATCH(K$1,products!$A$1:$G$1,0))</f>
        <v>Rob</v>
      </c>
      <c r="L136" t="str">
        <f>INDEX(products!$A$1:$G$49,MATCH($F136,products!$A$1:$A$49,0),MATCH(L$1,products!$A$1:$G$1,0))</f>
        <v>M</v>
      </c>
      <c r="M136" s="5">
        <f>INDEX(products!$A$1:$G$49,MATCH($F136,products!$A$1:$A$49,0),MATCH(M$1,products!$A$1:$G$1,0))</f>
        <v>0.2</v>
      </c>
      <c r="N136" s="7">
        <f>INDEX(products!$A$1:$G$49,MATCH($F136,products!$A$1:$A$49,0),MATCH(N$1,products!$A$1:$G$1,0))</f>
        <v>2.9849999999999999</v>
      </c>
      <c r="O136" s="7">
        <f t="shared" si="2"/>
        <v>11.94</v>
      </c>
      <c r="P136" t="str" cm="1">
        <f t="array" ref="P136">_xlfn.IFS(K136="Rob","Robusta",K136="Exc","Excelsa",K136="Ara","Arabica",K136="Lib","Liberica")</f>
        <v>Robusta</v>
      </c>
      <c r="Q136" t="str" cm="1">
        <f t="array" ref="Q136">_xlfn.IFS(L136="M","Medium",L136="L","Light",L136="D","Dark")</f>
        <v>Medium</v>
      </c>
      <c r="R136" t="str">
        <f>_xlfn.XLOOKUP(Orders[[#This Row],[Customer ID]],customers!$A$1:$A$1001,customers!$I$1:$I$1001)</f>
        <v>No</v>
      </c>
    </row>
    <row r="137" spans="1:18" x14ac:dyDescent="0.35">
      <c r="A137" s="2" t="s">
        <v>4741</v>
      </c>
      <c r="B137" s="4">
        <v>43648</v>
      </c>
      <c r="C137" s="23">
        <f>Orders[[#This Row],[Order Date]]</f>
        <v>43648</v>
      </c>
      <c r="D137" s="2">
        <f>YEAR(Orders[[#This Row],[Order Date]])</f>
        <v>2019</v>
      </c>
      <c r="E137" s="2" t="s">
        <v>4742</v>
      </c>
      <c r="F137" t="s">
        <v>6141</v>
      </c>
      <c r="G137" s="20">
        <v>2</v>
      </c>
      <c r="H137" s="2" t="str">
        <f>INDEX(customers!$A$1:$I$1001,MATCH($E137,customers!$A$1:$A$1001,),MATCH($H$1,customers!$A$1:$I$1,0))</f>
        <v>Bran Sterke</v>
      </c>
      <c r="I137" s="2" t="str">
        <f>IF(INDEX(customers!$A$1:$I$1001,MATCH($E137,customers!$A$1:$A$1001,0),3)=0,"",INDEX(customers!$A$1:$I$1001,MATCH($E137,customers!$A$1:$A$1001,0),3))</f>
        <v>bsterkekw@biblegateway.com</v>
      </c>
      <c r="J137" s="2" t="str">
        <f>_xlfn.XLOOKUP(E137,customers!$A$1:$A$1001,customers!$G$1:$G$1001)</f>
        <v>United States</v>
      </c>
      <c r="K137" t="str">
        <f>INDEX(products!$A$1:$G$49,MATCH($F137,products!$A$1:$A$49,0),MATCH(K$1,products!$A$1:$G$1,0))</f>
        <v>Exc</v>
      </c>
      <c r="L137" t="str">
        <f>INDEX(products!$A$1:$G$49,MATCH($F137,products!$A$1:$A$49,0),MATCH(L$1,products!$A$1:$G$1,0))</f>
        <v>M</v>
      </c>
      <c r="M137" s="5">
        <f>INDEX(products!$A$1:$G$49,MATCH($F137,products!$A$1:$A$49,0),MATCH(M$1,products!$A$1:$G$1,0))</f>
        <v>1</v>
      </c>
      <c r="N137" s="7">
        <f>INDEX(products!$A$1:$G$49,MATCH($F137,products!$A$1:$A$49,0),MATCH(N$1,products!$A$1:$G$1,0))</f>
        <v>13.75</v>
      </c>
      <c r="O137" s="7">
        <f t="shared" si="2"/>
        <v>27.5</v>
      </c>
      <c r="P137" t="str" cm="1">
        <f t="array" ref="P137">_xlfn.IFS(K137="Rob","Robusta",K137="Exc","Excelsa",K137="Ara","Arabica",K137="Lib","Liberica")</f>
        <v>Excelsa</v>
      </c>
      <c r="Q137" t="str" cm="1">
        <f t="array" ref="Q137">_xlfn.IFS(L137="M","Medium",L137="L","Light",L137="D","Dark")</f>
        <v>Medium</v>
      </c>
      <c r="R137" t="str">
        <f>_xlfn.XLOOKUP(Orders[[#This Row],[Customer ID]],customers!$A$1:$A$1001,customers!$I$1:$I$1001)</f>
        <v>Yes</v>
      </c>
    </row>
    <row r="138" spans="1:18" x14ac:dyDescent="0.35">
      <c r="A138" s="2" t="s">
        <v>3665</v>
      </c>
      <c r="B138" s="4">
        <v>43669</v>
      </c>
      <c r="C138" s="23">
        <f>Orders[[#This Row],[Order Date]]</f>
        <v>43669</v>
      </c>
      <c r="D138" s="2">
        <f>YEAR(Orders[[#This Row],[Order Date]])</f>
        <v>2019</v>
      </c>
      <c r="E138" s="2" t="s">
        <v>3666</v>
      </c>
      <c r="F138" t="s">
        <v>6145</v>
      </c>
      <c r="G138" s="20">
        <v>6</v>
      </c>
      <c r="H138" s="2" t="str">
        <f>INDEX(customers!$A$1:$I$1001,MATCH($E138,customers!$A$1:$A$1001,),MATCH($H$1,customers!$A$1:$I$1,0))</f>
        <v>Brendan Grece</v>
      </c>
      <c r="I138" s="2" t="str">
        <f>IF(INDEX(customers!$A$1:$I$1001,MATCH($E138,customers!$A$1:$A$1001,0),3)=0,"",INDEX(customers!$A$1:$I$1001,MATCH($E138,customers!$A$1:$A$1001,0),3))</f>
        <v>bgrecefm@naver.com</v>
      </c>
      <c r="J138" s="2" t="str">
        <f>_xlfn.XLOOKUP(E138,customers!$A$1:$A$1001,customers!$G$1:$G$1001)</f>
        <v>United Kingdom</v>
      </c>
      <c r="K138" t="str">
        <f>INDEX(products!$A$1:$G$49,MATCH($F138,products!$A$1:$A$49,0),MATCH(K$1,products!$A$1:$G$1,0))</f>
        <v>Lib</v>
      </c>
      <c r="L138" t="str">
        <f>INDEX(products!$A$1:$G$49,MATCH($F138,products!$A$1:$A$49,0),MATCH(L$1,products!$A$1:$G$1,0))</f>
        <v>L</v>
      </c>
      <c r="M138" s="5">
        <f>INDEX(products!$A$1:$G$49,MATCH($F138,products!$A$1:$A$49,0),MATCH(M$1,products!$A$1:$G$1,0))</f>
        <v>0.2</v>
      </c>
      <c r="N138" s="7">
        <f>INDEX(products!$A$1:$G$49,MATCH($F138,products!$A$1:$A$49,0),MATCH(N$1,products!$A$1:$G$1,0))</f>
        <v>4.7549999999999999</v>
      </c>
      <c r="O138" s="7">
        <f t="shared" si="2"/>
        <v>28.53</v>
      </c>
      <c r="P138" t="str" cm="1">
        <f t="array" ref="P138">_xlfn.IFS(K138="Rob","Robusta",K138="Exc","Excelsa",K138="Ara","Arabica",K138="Lib","Liberica")</f>
        <v>Liberica</v>
      </c>
      <c r="Q138" t="str" cm="1">
        <f t="array" ref="Q138">_xlfn.IFS(L138="M","Medium",L138="L","Light",L138="D","Dark")</f>
        <v>Light</v>
      </c>
      <c r="R138" t="str">
        <f>_xlfn.XLOOKUP(Orders[[#This Row],[Customer ID]],customers!$A$1:$A$1001,customers!$I$1:$I$1001)</f>
        <v>No</v>
      </c>
    </row>
    <row r="139" spans="1:18" x14ac:dyDescent="0.35">
      <c r="A139" s="2" t="s">
        <v>5884</v>
      </c>
      <c r="B139" s="4">
        <v>44722</v>
      </c>
      <c r="C139" s="23">
        <f>Orders[[#This Row],[Order Date]]</f>
        <v>44722</v>
      </c>
      <c r="D139" s="2">
        <f>YEAR(Orders[[#This Row],[Order Date]])</f>
        <v>2022</v>
      </c>
      <c r="E139" s="2" t="s">
        <v>5764</v>
      </c>
      <c r="F139" t="s">
        <v>6185</v>
      </c>
      <c r="G139" s="20">
        <v>1</v>
      </c>
      <c r="H139" s="2" t="str">
        <f>INDEX(customers!$A$1:$I$1001,MATCH($E139,customers!$A$1:$A$1001,),MATCH($H$1,customers!$A$1:$I$1,0))</f>
        <v>Brenn Dundredge</v>
      </c>
      <c r="I139" s="2" t="str">
        <f>IF(INDEX(customers!$A$1:$I$1001,MATCH($E139,customers!$A$1:$A$1001,0),3)=0,"",INDEX(customers!$A$1:$I$1001,MATCH($E139,customers!$A$1:$A$1001,0),3))</f>
        <v/>
      </c>
      <c r="J139" s="2" t="str">
        <f>_xlfn.XLOOKUP(E139,customers!$A$1:$A$1001,customers!$G$1:$G$1001)</f>
        <v>United States</v>
      </c>
      <c r="K139" t="str">
        <f>INDEX(products!$A$1:$G$49,MATCH($F139,products!$A$1:$A$49,0),MATCH(K$1,products!$A$1:$G$1,0))</f>
        <v>Exc</v>
      </c>
      <c r="L139" t="str">
        <f>INDEX(products!$A$1:$G$49,MATCH($F139,products!$A$1:$A$49,0),MATCH(L$1,products!$A$1:$G$1,0))</f>
        <v>D</v>
      </c>
      <c r="M139" s="5">
        <f>INDEX(products!$A$1:$G$49,MATCH($F139,products!$A$1:$A$49,0),MATCH(M$1,products!$A$1:$G$1,0))</f>
        <v>2.5</v>
      </c>
      <c r="N139" s="7">
        <f>INDEX(products!$A$1:$G$49,MATCH($F139,products!$A$1:$A$49,0),MATCH(N$1,products!$A$1:$G$1,0))</f>
        <v>27.945</v>
      </c>
      <c r="O139" s="7">
        <f t="shared" si="2"/>
        <v>27.945</v>
      </c>
      <c r="P139" t="str" cm="1">
        <f t="array" ref="P139">_xlfn.IFS(K139="Rob","Robusta",K139="Exc","Excelsa",K139="Ara","Arabica",K139="Lib","Liberica")</f>
        <v>Excelsa</v>
      </c>
      <c r="Q139" t="str" cm="1">
        <f t="array" ref="Q139">_xlfn.IFS(L139="M","Medium",L139="L","Light",L139="D","Dark")</f>
        <v>Dark</v>
      </c>
      <c r="R139" t="str">
        <f>_xlfn.XLOOKUP(Orders[[#This Row],[Customer ID]],customers!$A$1:$A$1001,customers!$I$1:$I$1001)</f>
        <v>Yes</v>
      </c>
    </row>
    <row r="140" spans="1:18" x14ac:dyDescent="0.35">
      <c r="A140" s="2" t="s">
        <v>5878</v>
      </c>
      <c r="B140" s="4">
        <v>44582</v>
      </c>
      <c r="C140" s="23">
        <f>Orders[[#This Row],[Order Date]]</f>
        <v>44582</v>
      </c>
      <c r="D140" s="2">
        <f>YEAR(Orders[[#This Row],[Order Date]])</f>
        <v>2022</v>
      </c>
      <c r="E140" s="2" t="s">
        <v>5764</v>
      </c>
      <c r="F140" t="s">
        <v>6167</v>
      </c>
      <c r="G140" s="20">
        <v>1</v>
      </c>
      <c r="H140" s="2" t="str">
        <f>INDEX(customers!$A$1:$I$1001,MATCH($E140,customers!$A$1:$A$1001,),MATCH($H$1,customers!$A$1:$I$1,0))</f>
        <v>Brenn Dundredge</v>
      </c>
      <c r="I140" s="2" t="str">
        <f>IF(INDEX(customers!$A$1:$I$1001,MATCH($E140,customers!$A$1:$A$1001,0),3)=0,"",INDEX(customers!$A$1:$I$1001,MATCH($E140,customers!$A$1:$A$1001,0),3))</f>
        <v/>
      </c>
      <c r="J140" s="2" t="str">
        <f>_xlfn.XLOOKUP(E140,customers!$A$1:$A$1001,customers!$G$1:$G$1001)</f>
        <v>United States</v>
      </c>
      <c r="K140" t="str">
        <f>INDEX(products!$A$1:$G$49,MATCH($F140,products!$A$1:$A$49,0),MATCH(K$1,products!$A$1:$G$1,0))</f>
        <v>Ara</v>
      </c>
      <c r="L140" t="str">
        <f>INDEX(products!$A$1:$G$49,MATCH($F140,products!$A$1:$A$49,0),MATCH(L$1,products!$A$1:$G$1,0))</f>
        <v>L</v>
      </c>
      <c r="M140" s="5">
        <f>INDEX(products!$A$1:$G$49,MATCH($F140,products!$A$1:$A$49,0),MATCH(M$1,products!$A$1:$G$1,0))</f>
        <v>0.2</v>
      </c>
      <c r="N140" s="7">
        <f>INDEX(products!$A$1:$G$49,MATCH($F140,products!$A$1:$A$49,0),MATCH(N$1,products!$A$1:$G$1,0))</f>
        <v>3.8849999999999998</v>
      </c>
      <c r="O140" s="7">
        <f t="shared" si="2"/>
        <v>3.8849999999999998</v>
      </c>
      <c r="P140" t="str" cm="1">
        <f t="array" ref="P140">_xlfn.IFS(K140="Rob","Robusta",K140="Exc","Excelsa",K140="Ara","Arabica",K140="Lib","Liberica")</f>
        <v>Arabica</v>
      </c>
      <c r="Q140" t="str" cm="1">
        <f t="array" ref="Q140">_xlfn.IFS(L140="M","Medium",L140="L","Light",L140="D","Dark")</f>
        <v>Light</v>
      </c>
      <c r="R140" t="str">
        <f>_xlfn.XLOOKUP(Orders[[#This Row],[Customer ID]],customers!$A$1:$A$1001,customers!$I$1:$I$1001)</f>
        <v>Yes</v>
      </c>
    </row>
    <row r="141" spans="1:18" x14ac:dyDescent="0.35">
      <c r="A141" s="2" t="s">
        <v>5763</v>
      </c>
      <c r="B141" s="4">
        <v>44557</v>
      </c>
      <c r="C141" s="23">
        <f>Orders[[#This Row],[Order Date]]</f>
        <v>44557</v>
      </c>
      <c r="D141" s="2">
        <f>YEAR(Orders[[#This Row],[Order Date]])</f>
        <v>2021</v>
      </c>
      <c r="E141" s="2" t="s">
        <v>5764</v>
      </c>
      <c r="F141" t="s">
        <v>6177</v>
      </c>
      <c r="G141" s="20">
        <v>3</v>
      </c>
      <c r="H141" s="2" t="str">
        <f>INDEX(customers!$A$1:$I$1001,MATCH($E141,customers!$A$1:$A$1001,),MATCH($H$1,customers!$A$1:$I$1,0))</f>
        <v>Brenn Dundredge</v>
      </c>
      <c r="I141" s="2" t="str">
        <f>IF(INDEX(customers!$A$1:$I$1001,MATCH($E141,customers!$A$1:$A$1001,0),3)=0,"",INDEX(customers!$A$1:$I$1001,MATCH($E141,customers!$A$1:$A$1001,0),3))</f>
        <v/>
      </c>
      <c r="J141" s="2" t="str">
        <f>_xlfn.XLOOKUP(E141,customers!$A$1:$A$1001,customers!$G$1:$G$1001)</f>
        <v>United States</v>
      </c>
      <c r="K141" t="str">
        <f>INDEX(products!$A$1:$G$49,MATCH($F141,products!$A$1:$A$49,0),MATCH(K$1,products!$A$1:$G$1,0))</f>
        <v>Rob</v>
      </c>
      <c r="L141" t="str">
        <f>INDEX(products!$A$1:$G$49,MATCH($F141,products!$A$1:$A$49,0),MATCH(L$1,products!$A$1:$G$1,0))</f>
        <v>D</v>
      </c>
      <c r="M141" s="5">
        <f>INDEX(products!$A$1:$G$49,MATCH($F141,products!$A$1:$A$49,0),MATCH(M$1,products!$A$1:$G$1,0))</f>
        <v>1</v>
      </c>
      <c r="N141" s="7">
        <f>INDEX(products!$A$1:$G$49,MATCH($F141,products!$A$1:$A$49,0),MATCH(N$1,products!$A$1:$G$1,0))</f>
        <v>8.9499999999999993</v>
      </c>
      <c r="O141" s="7">
        <f t="shared" si="2"/>
        <v>26.849999999999998</v>
      </c>
      <c r="P141" t="str" cm="1">
        <f t="array" ref="P141">_xlfn.IFS(K141="Rob","Robusta",K141="Exc","Excelsa",K141="Ara","Arabica",K141="Lib","Liberica")</f>
        <v>Robusta</v>
      </c>
      <c r="Q141" t="str" cm="1">
        <f t="array" ref="Q141">_xlfn.IFS(L141="M","Medium",L141="L","Light",L141="D","Dark")</f>
        <v>Dark</v>
      </c>
      <c r="R141" t="str">
        <f>_xlfn.XLOOKUP(Orders[[#This Row],[Customer ID]],customers!$A$1:$A$1001,customers!$I$1:$I$1001)</f>
        <v>Yes</v>
      </c>
    </row>
    <row r="142" spans="1:18" x14ac:dyDescent="0.35">
      <c r="A142" s="2" t="s">
        <v>5890</v>
      </c>
      <c r="B142" s="4">
        <v>43582</v>
      </c>
      <c r="C142" s="23">
        <f>Orders[[#This Row],[Order Date]]</f>
        <v>43582</v>
      </c>
      <c r="D142" s="2">
        <f>YEAR(Orders[[#This Row],[Order Date]])</f>
        <v>2019</v>
      </c>
      <c r="E142" s="2" t="s">
        <v>5764</v>
      </c>
      <c r="F142" t="s">
        <v>6148</v>
      </c>
      <c r="G142" s="20">
        <v>5</v>
      </c>
      <c r="H142" s="2" t="str">
        <f>INDEX(customers!$A$1:$I$1001,MATCH($E142,customers!$A$1:$A$1001,),MATCH($H$1,customers!$A$1:$I$1,0))</f>
        <v>Brenn Dundredge</v>
      </c>
      <c r="I142" s="2" t="str">
        <f>IF(INDEX(customers!$A$1:$I$1001,MATCH($E142,customers!$A$1:$A$1001,0),3)=0,"",INDEX(customers!$A$1:$I$1001,MATCH($E142,customers!$A$1:$A$1001,0),3))</f>
        <v/>
      </c>
      <c r="J142" s="2" t="str">
        <f>_xlfn.XLOOKUP(E142,customers!$A$1:$A$1001,customers!$G$1:$G$1001)</f>
        <v>United States</v>
      </c>
      <c r="K142" t="str">
        <f>INDEX(products!$A$1:$G$49,MATCH($F142,products!$A$1:$A$49,0),MATCH(K$1,products!$A$1:$G$1,0))</f>
        <v>Exc</v>
      </c>
      <c r="L142" t="str">
        <f>INDEX(products!$A$1:$G$49,MATCH($F142,products!$A$1:$A$49,0),MATCH(L$1,products!$A$1:$G$1,0))</f>
        <v>L</v>
      </c>
      <c r="M142" s="5">
        <f>INDEX(products!$A$1:$G$49,MATCH($F142,products!$A$1:$A$49,0),MATCH(M$1,products!$A$1:$G$1,0))</f>
        <v>2.5</v>
      </c>
      <c r="N142" s="7">
        <f>INDEX(products!$A$1:$G$49,MATCH($F142,products!$A$1:$A$49,0),MATCH(N$1,products!$A$1:$G$1,0))</f>
        <v>34.154999999999994</v>
      </c>
      <c r="O142" s="7">
        <f t="shared" si="2"/>
        <v>170.77499999999998</v>
      </c>
      <c r="P142" t="str" cm="1">
        <f t="array" ref="P142">_xlfn.IFS(K142="Rob","Robusta",K142="Exc","Excelsa",K142="Ara","Arabica",K142="Lib","Liberica")</f>
        <v>Excelsa</v>
      </c>
      <c r="Q142" t="str" cm="1">
        <f t="array" ref="Q142">_xlfn.IFS(L142="M","Medium",L142="L","Light",L142="D","Dark")</f>
        <v>Light</v>
      </c>
      <c r="R142" t="str">
        <f>_xlfn.XLOOKUP(Orders[[#This Row],[Customer ID]],customers!$A$1:$A$1001,customers!$I$1:$I$1001)</f>
        <v>Yes</v>
      </c>
    </row>
    <row r="143" spans="1:18" x14ac:dyDescent="0.35">
      <c r="A143" s="2" t="s">
        <v>5890</v>
      </c>
      <c r="B143" s="4">
        <v>43582</v>
      </c>
      <c r="C143" s="23">
        <f>Orders[[#This Row],[Order Date]]</f>
        <v>43582</v>
      </c>
      <c r="D143" s="2">
        <f>YEAR(Orders[[#This Row],[Order Date]])</f>
        <v>2019</v>
      </c>
      <c r="E143" s="2" t="s">
        <v>5764</v>
      </c>
      <c r="F143" t="s">
        <v>6142</v>
      </c>
      <c r="G143" s="20">
        <v>2</v>
      </c>
      <c r="H143" s="2" t="str">
        <f>INDEX(customers!$A$1:$I$1001,MATCH($E143,customers!$A$1:$A$1001,),MATCH($H$1,customers!$A$1:$I$1,0))</f>
        <v>Brenn Dundredge</v>
      </c>
      <c r="I143" s="2" t="str">
        <f>IF(INDEX(customers!$A$1:$I$1001,MATCH($E143,customers!$A$1:$A$1001,0),3)=0,"",INDEX(customers!$A$1:$I$1001,MATCH($E143,customers!$A$1:$A$1001,0),3))</f>
        <v/>
      </c>
      <c r="J143" s="2" t="str">
        <f>_xlfn.XLOOKUP(E143,customers!$A$1:$A$1001,customers!$G$1:$G$1001)</f>
        <v>United States</v>
      </c>
      <c r="K143" t="str">
        <f>INDEX(products!$A$1:$G$49,MATCH($F143,products!$A$1:$A$49,0),MATCH(K$1,products!$A$1:$G$1,0))</f>
        <v>Rob</v>
      </c>
      <c r="L143" t="str">
        <f>INDEX(products!$A$1:$G$49,MATCH($F143,products!$A$1:$A$49,0),MATCH(L$1,products!$A$1:$G$1,0))</f>
        <v>L</v>
      </c>
      <c r="M143" s="5">
        <f>INDEX(products!$A$1:$G$49,MATCH($F143,products!$A$1:$A$49,0),MATCH(M$1,products!$A$1:$G$1,0))</f>
        <v>2.5</v>
      </c>
      <c r="N143" s="7">
        <f>INDEX(products!$A$1:$G$49,MATCH($F143,products!$A$1:$A$49,0),MATCH(N$1,products!$A$1:$G$1,0))</f>
        <v>27.484999999999996</v>
      </c>
      <c r="O143" s="7">
        <f t="shared" si="2"/>
        <v>54.969999999999992</v>
      </c>
      <c r="P143" t="str" cm="1">
        <f t="array" ref="P143">_xlfn.IFS(K143="Rob","Robusta",K143="Exc","Excelsa",K143="Ara","Arabica",K143="Lib","Liberica")</f>
        <v>Robusta</v>
      </c>
      <c r="Q143" t="str" cm="1">
        <f t="array" ref="Q143">_xlfn.IFS(L143="M","Medium",L143="L","Light",L143="D","Dark")</f>
        <v>Light</v>
      </c>
      <c r="R143" t="str">
        <f>_xlfn.XLOOKUP(Orders[[#This Row],[Customer ID]],customers!$A$1:$A$1001,customers!$I$1:$I$1001)</f>
        <v>Yes</v>
      </c>
    </row>
    <row r="144" spans="1:18" x14ac:dyDescent="0.35">
      <c r="A144" s="2" t="s">
        <v>5890</v>
      </c>
      <c r="B144" s="4">
        <v>43582</v>
      </c>
      <c r="C144" s="23">
        <f>Orders[[#This Row],[Order Date]]</f>
        <v>43582</v>
      </c>
      <c r="D144" s="2">
        <f>YEAR(Orders[[#This Row],[Order Date]])</f>
        <v>2019</v>
      </c>
      <c r="E144" s="2" t="s">
        <v>5764</v>
      </c>
      <c r="F144" t="s">
        <v>6171</v>
      </c>
      <c r="G144" s="20">
        <v>1</v>
      </c>
      <c r="H144" s="2" t="str">
        <f>INDEX(customers!$A$1:$I$1001,MATCH($E144,customers!$A$1:$A$1001,),MATCH($H$1,customers!$A$1:$I$1,0))</f>
        <v>Brenn Dundredge</v>
      </c>
      <c r="I144" s="2" t="str">
        <f>IF(INDEX(customers!$A$1:$I$1001,MATCH($E144,customers!$A$1:$A$1001,0),3)=0,"",INDEX(customers!$A$1:$I$1001,MATCH($E144,customers!$A$1:$A$1001,0),3))</f>
        <v/>
      </c>
      <c r="J144" s="2" t="str">
        <f>_xlfn.XLOOKUP(E144,customers!$A$1:$A$1001,customers!$G$1:$G$1001)</f>
        <v>United States</v>
      </c>
      <c r="K144" t="str">
        <f>INDEX(products!$A$1:$G$49,MATCH($F144,products!$A$1:$A$49,0),MATCH(K$1,products!$A$1:$G$1,0))</f>
        <v>Exc</v>
      </c>
      <c r="L144" t="str">
        <f>INDEX(products!$A$1:$G$49,MATCH($F144,products!$A$1:$A$49,0),MATCH(L$1,products!$A$1:$G$1,0))</f>
        <v>L</v>
      </c>
      <c r="M144" s="5">
        <f>INDEX(products!$A$1:$G$49,MATCH($F144,products!$A$1:$A$49,0),MATCH(M$1,products!$A$1:$G$1,0))</f>
        <v>1</v>
      </c>
      <c r="N144" s="7">
        <f>INDEX(products!$A$1:$G$49,MATCH($F144,products!$A$1:$A$49,0),MATCH(N$1,products!$A$1:$G$1,0))</f>
        <v>14.85</v>
      </c>
      <c r="O144" s="7">
        <f t="shared" si="2"/>
        <v>14.85</v>
      </c>
      <c r="P144" t="str" cm="1">
        <f t="array" ref="P144">_xlfn.IFS(K144="Rob","Robusta",K144="Exc","Excelsa",K144="Ara","Arabica",K144="Lib","Liberica")</f>
        <v>Excelsa</v>
      </c>
      <c r="Q144" t="str" cm="1">
        <f t="array" ref="Q144">_xlfn.IFS(L144="M","Medium",L144="L","Light",L144="D","Dark")</f>
        <v>Light</v>
      </c>
      <c r="R144" t="str">
        <f>_xlfn.XLOOKUP(Orders[[#This Row],[Customer ID]],customers!$A$1:$A$1001,customers!$I$1:$I$1001)</f>
        <v>Yes</v>
      </c>
    </row>
    <row r="145" spans="1:18" x14ac:dyDescent="0.35">
      <c r="A145" s="2" t="s">
        <v>5890</v>
      </c>
      <c r="B145" s="4">
        <v>43582</v>
      </c>
      <c r="C145" s="23">
        <f>Orders[[#This Row],[Order Date]]</f>
        <v>43582</v>
      </c>
      <c r="D145" s="2">
        <f>YEAR(Orders[[#This Row],[Order Date]])</f>
        <v>2019</v>
      </c>
      <c r="E145" s="2" t="s">
        <v>5764</v>
      </c>
      <c r="F145" t="s">
        <v>6167</v>
      </c>
      <c r="G145" s="20">
        <v>2</v>
      </c>
      <c r="H145" s="2" t="str">
        <f>INDEX(customers!$A$1:$I$1001,MATCH($E145,customers!$A$1:$A$1001,),MATCH($H$1,customers!$A$1:$I$1,0))</f>
        <v>Brenn Dundredge</v>
      </c>
      <c r="I145" s="2" t="str">
        <f>IF(INDEX(customers!$A$1:$I$1001,MATCH($E145,customers!$A$1:$A$1001,0),3)=0,"",INDEX(customers!$A$1:$I$1001,MATCH($E145,customers!$A$1:$A$1001,0),3))</f>
        <v/>
      </c>
      <c r="J145" s="2" t="str">
        <f>_xlfn.XLOOKUP(E145,customers!$A$1:$A$1001,customers!$G$1:$G$1001)</f>
        <v>United States</v>
      </c>
      <c r="K145" t="str">
        <f>INDEX(products!$A$1:$G$49,MATCH($F145,products!$A$1:$A$49,0),MATCH(K$1,products!$A$1:$G$1,0))</f>
        <v>Ara</v>
      </c>
      <c r="L145" t="str">
        <f>INDEX(products!$A$1:$G$49,MATCH($F145,products!$A$1:$A$49,0),MATCH(L$1,products!$A$1:$G$1,0))</f>
        <v>L</v>
      </c>
      <c r="M145" s="5">
        <f>INDEX(products!$A$1:$G$49,MATCH($F145,products!$A$1:$A$49,0),MATCH(M$1,products!$A$1:$G$1,0))</f>
        <v>0.2</v>
      </c>
      <c r="N145" s="7">
        <f>INDEX(products!$A$1:$G$49,MATCH($F145,products!$A$1:$A$49,0),MATCH(N$1,products!$A$1:$G$1,0))</f>
        <v>3.8849999999999998</v>
      </c>
      <c r="O145" s="7">
        <f t="shared" si="2"/>
        <v>7.77</v>
      </c>
      <c r="P145" t="str" cm="1">
        <f t="array" ref="P145">_xlfn.IFS(K145="Rob","Robusta",K145="Exc","Excelsa",K145="Ara","Arabica",K145="Lib","Liberica")</f>
        <v>Arabica</v>
      </c>
      <c r="Q145" t="str" cm="1">
        <f t="array" ref="Q145">_xlfn.IFS(L145="M","Medium",L145="L","Light",L145="D","Dark")</f>
        <v>Light</v>
      </c>
      <c r="R145" t="str">
        <f>_xlfn.XLOOKUP(Orders[[#This Row],[Customer ID]],customers!$A$1:$A$1001,customers!$I$1:$I$1001)</f>
        <v>Yes</v>
      </c>
    </row>
    <row r="146" spans="1:18" x14ac:dyDescent="0.35">
      <c r="A146" s="2" t="s">
        <v>5073</v>
      </c>
      <c r="B146" s="4">
        <v>44114</v>
      </c>
      <c r="C146" s="23">
        <f>Orders[[#This Row],[Order Date]]</f>
        <v>44114</v>
      </c>
      <c r="D146" s="2">
        <f>YEAR(Orders[[#This Row],[Order Date]])</f>
        <v>2020</v>
      </c>
      <c r="E146" s="2" t="s">
        <v>5074</v>
      </c>
      <c r="F146" t="s">
        <v>6155</v>
      </c>
      <c r="G146" s="20">
        <v>6</v>
      </c>
      <c r="H146" s="2" t="str">
        <f>INDEX(customers!$A$1:$I$1001,MATCH($E146,customers!$A$1:$A$1001,),MATCH($H$1,customers!$A$1:$I$1,0))</f>
        <v>Brice Romera</v>
      </c>
      <c r="I146" s="2" t="str">
        <f>IF(INDEX(customers!$A$1:$I$1001,MATCH($E146,customers!$A$1:$A$1001,0),3)=0,"",INDEX(customers!$A$1:$I$1001,MATCH($E146,customers!$A$1:$A$1001,0),3))</f>
        <v>bromeramj@list-manage.com</v>
      </c>
      <c r="J146" s="2" t="str">
        <f>_xlfn.XLOOKUP(E146,customers!$A$1:$A$1001,customers!$G$1:$G$1001)</f>
        <v>Ireland</v>
      </c>
      <c r="K146" t="str">
        <f>INDEX(products!$A$1:$G$49,MATCH($F146,products!$A$1:$A$49,0),MATCH(K$1,products!$A$1:$G$1,0))</f>
        <v>Ara</v>
      </c>
      <c r="L146" t="str">
        <f>INDEX(products!$A$1:$G$49,MATCH($F146,products!$A$1:$A$49,0),MATCH(L$1,products!$A$1:$G$1,0))</f>
        <v>M</v>
      </c>
      <c r="M146" s="5">
        <f>INDEX(products!$A$1:$G$49,MATCH($F146,products!$A$1:$A$49,0),MATCH(M$1,products!$A$1:$G$1,0))</f>
        <v>1</v>
      </c>
      <c r="N146" s="7">
        <f>INDEX(products!$A$1:$G$49,MATCH($F146,products!$A$1:$A$49,0),MATCH(N$1,products!$A$1:$G$1,0))</f>
        <v>11.25</v>
      </c>
      <c r="O146" s="7">
        <f t="shared" si="2"/>
        <v>67.5</v>
      </c>
      <c r="P146" t="str" cm="1">
        <f t="array" ref="P146">_xlfn.IFS(K146="Rob","Robusta",K146="Exc","Excelsa",K146="Ara","Arabica",K146="Lib","Liberica")</f>
        <v>Arabica</v>
      </c>
      <c r="Q146" t="str" cm="1">
        <f t="array" ref="Q146">_xlfn.IFS(L146="M","Medium",L146="L","Light",L146="D","Dark")</f>
        <v>Medium</v>
      </c>
      <c r="R146" t="str">
        <f>_xlfn.XLOOKUP(Orders[[#This Row],[Customer ID]],customers!$A$1:$A$1001,customers!$I$1:$I$1001)</f>
        <v>Yes</v>
      </c>
    </row>
    <row r="147" spans="1:18" x14ac:dyDescent="0.35">
      <c r="A147" s="2" t="s">
        <v>5073</v>
      </c>
      <c r="B147" s="4">
        <v>44114</v>
      </c>
      <c r="C147" s="23">
        <f>Orders[[#This Row],[Order Date]]</f>
        <v>44114</v>
      </c>
      <c r="D147" s="2">
        <f>YEAR(Orders[[#This Row],[Order Date]])</f>
        <v>2020</v>
      </c>
      <c r="E147" s="2" t="s">
        <v>5074</v>
      </c>
      <c r="F147" t="s">
        <v>6165</v>
      </c>
      <c r="G147" s="20">
        <v>6</v>
      </c>
      <c r="H147" s="2" t="str">
        <f>INDEX(customers!$A$1:$I$1001,MATCH($E147,customers!$A$1:$A$1001,),MATCH($H$1,customers!$A$1:$I$1,0))</f>
        <v>Brice Romera</v>
      </c>
      <c r="I147" s="2" t="str">
        <f>IF(INDEX(customers!$A$1:$I$1001,MATCH($E147,customers!$A$1:$A$1001,0),3)=0,"",INDEX(customers!$A$1:$I$1001,MATCH($E147,customers!$A$1:$A$1001,0),3))</f>
        <v>bromeramj@list-manage.com</v>
      </c>
      <c r="J147" s="2" t="str">
        <f>_xlfn.XLOOKUP(E147,customers!$A$1:$A$1001,customers!$G$1:$G$1001)</f>
        <v>Ireland</v>
      </c>
      <c r="K147" t="str">
        <f>INDEX(products!$A$1:$G$49,MATCH($F147,products!$A$1:$A$49,0),MATCH(K$1,products!$A$1:$G$1,0))</f>
        <v>Lib</v>
      </c>
      <c r="L147" t="str">
        <f>INDEX(products!$A$1:$G$49,MATCH($F147,products!$A$1:$A$49,0),MATCH(L$1,products!$A$1:$G$1,0))</f>
        <v>D</v>
      </c>
      <c r="M147" s="5">
        <f>INDEX(products!$A$1:$G$49,MATCH($F147,products!$A$1:$A$49,0),MATCH(M$1,products!$A$1:$G$1,0))</f>
        <v>2.5</v>
      </c>
      <c r="N147" s="7">
        <f>INDEX(products!$A$1:$G$49,MATCH($F147,products!$A$1:$A$49,0),MATCH(N$1,products!$A$1:$G$1,0))</f>
        <v>29.784999999999997</v>
      </c>
      <c r="O147" s="7">
        <f t="shared" si="2"/>
        <v>178.70999999999998</v>
      </c>
      <c r="P147" t="str" cm="1">
        <f t="array" ref="P147">_xlfn.IFS(K147="Rob","Robusta",K147="Exc","Excelsa",K147="Ara","Arabica",K147="Lib","Liberica")</f>
        <v>Liberica</v>
      </c>
      <c r="Q147" t="str" cm="1">
        <f t="array" ref="Q147">_xlfn.IFS(L147="M","Medium",L147="L","Light",L147="D","Dark")</f>
        <v>Dark</v>
      </c>
      <c r="R147" t="str">
        <f>_xlfn.XLOOKUP(Orders[[#This Row],[Customer ID]],customers!$A$1:$A$1001,customers!$I$1:$I$1001)</f>
        <v>Yes</v>
      </c>
    </row>
    <row r="148" spans="1:18" x14ac:dyDescent="0.35">
      <c r="A148" s="2" t="s">
        <v>5461</v>
      </c>
      <c r="B148" s="4">
        <v>43630</v>
      </c>
      <c r="C148" s="23">
        <f>Orders[[#This Row],[Order Date]]</f>
        <v>43630</v>
      </c>
      <c r="D148" s="2">
        <f>YEAR(Orders[[#This Row],[Order Date]])</f>
        <v>2019</v>
      </c>
      <c r="E148" s="2" t="s">
        <v>5462</v>
      </c>
      <c r="F148" t="s">
        <v>6153</v>
      </c>
      <c r="G148" s="20">
        <v>3</v>
      </c>
      <c r="H148" s="2" t="str">
        <f>INDEX(customers!$A$1:$I$1001,MATCH($E148,customers!$A$1:$A$1001,),MATCH($H$1,customers!$A$1:$I$1,0))</f>
        <v>Brittani Thoresbie</v>
      </c>
      <c r="I148" s="2" t="str">
        <f>IF(INDEX(customers!$A$1:$I$1001,MATCH($E148,customers!$A$1:$A$1001,0),3)=0,"",INDEX(customers!$A$1:$I$1001,MATCH($E148,customers!$A$1:$A$1001,0),3))</f>
        <v/>
      </c>
      <c r="J148" s="2" t="str">
        <f>_xlfn.XLOOKUP(E148,customers!$A$1:$A$1001,customers!$G$1:$G$1001)</f>
        <v>United States</v>
      </c>
      <c r="K148" t="str">
        <f>INDEX(products!$A$1:$G$49,MATCH($F148,products!$A$1:$A$49,0),MATCH(K$1,products!$A$1:$G$1,0))</f>
        <v>Exc</v>
      </c>
      <c r="L148" t="str">
        <f>INDEX(products!$A$1:$G$49,MATCH($F148,products!$A$1:$A$49,0),MATCH(L$1,products!$A$1:$G$1,0))</f>
        <v>D</v>
      </c>
      <c r="M148" s="5">
        <f>INDEX(products!$A$1:$G$49,MATCH($F148,products!$A$1:$A$49,0),MATCH(M$1,products!$A$1:$G$1,0))</f>
        <v>0.2</v>
      </c>
      <c r="N148" s="7">
        <f>INDEX(products!$A$1:$G$49,MATCH($F148,products!$A$1:$A$49,0),MATCH(N$1,products!$A$1:$G$1,0))</f>
        <v>3.645</v>
      </c>
      <c r="O148" s="7">
        <f t="shared" si="2"/>
        <v>10.935</v>
      </c>
      <c r="P148" t="str" cm="1">
        <f t="array" ref="P148">_xlfn.IFS(K148="Rob","Robusta",K148="Exc","Excelsa",K148="Ara","Arabica",K148="Lib","Liberica")</f>
        <v>Excelsa</v>
      </c>
      <c r="Q148" t="str" cm="1">
        <f t="array" ref="Q148">_xlfn.IFS(L148="M","Medium",L148="L","Light",L148="D","Dark")</f>
        <v>Dark</v>
      </c>
      <c r="R148" t="str">
        <f>_xlfn.XLOOKUP(Orders[[#This Row],[Customer ID]],customers!$A$1:$A$1001,customers!$I$1:$I$1001)</f>
        <v>No</v>
      </c>
    </row>
    <row r="149" spans="1:18" x14ac:dyDescent="0.35">
      <c r="A149" s="2" t="s">
        <v>2844</v>
      </c>
      <c r="B149" s="4">
        <v>44142</v>
      </c>
      <c r="C149" s="23">
        <f>Orders[[#This Row],[Order Date]]</f>
        <v>44142</v>
      </c>
      <c r="D149" s="2">
        <f>YEAR(Orders[[#This Row],[Order Date]])</f>
        <v>2020</v>
      </c>
      <c r="E149" s="2" t="s">
        <v>2845</v>
      </c>
      <c r="F149" t="s">
        <v>6182</v>
      </c>
      <c r="G149" s="20">
        <v>5</v>
      </c>
      <c r="H149" s="2" t="str">
        <f>INDEX(customers!$A$1:$I$1001,MATCH($E149,customers!$A$1:$A$1001,),MATCH($H$1,customers!$A$1:$I$1,0))</f>
        <v>Broderick McGilvra</v>
      </c>
      <c r="I149" s="2" t="str">
        <f>IF(INDEX(customers!$A$1:$I$1001,MATCH($E149,customers!$A$1:$A$1001,0),3)=0,"",INDEX(customers!$A$1:$I$1001,MATCH($E149,customers!$A$1:$A$1001,0),3))</f>
        <v>bmcgilvrabm@so-net.ne.jp</v>
      </c>
      <c r="J149" s="2" t="str">
        <f>_xlfn.XLOOKUP(E149,customers!$A$1:$A$1001,customers!$G$1:$G$1001)</f>
        <v>United States</v>
      </c>
      <c r="K149" t="str">
        <f>INDEX(products!$A$1:$G$49,MATCH($F149,products!$A$1:$A$49,0),MATCH(K$1,products!$A$1:$G$1,0))</f>
        <v>Ara</v>
      </c>
      <c r="L149" t="str">
        <f>INDEX(products!$A$1:$G$49,MATCH($F149,products!$A$1:$A$49,0),MATCH(L$1,products!$A$1:$G$1,0))</f>
        <v>L</v>
      </c>
      <c r="M149" s="5">
        <f>INDEX(products!$A$1:$G$49,MATCH($F149,products!$A$1:$A$49,0),MATCH(M$1,products!$A$1:$G$1,0))</f>
        <v>2.5</v>
      </c>
      <c r="N149" s="7">
        <f>INDEX(products!$A$1:$G$49,MATCH($F149,products!$A$1:$A$49,0),MATCH(N$1,products!$A$1:$G$1,0))</f>
        <v>29.784999999999997</v>
      </c>
      <c r="O149" s="7">
        <f t="shared" si="2"/>
        <v>148.92499999999998</v>
      </c>
      <c r="P149" t="str" cm="1">
        <f t="array" ref="P149">_xlfn.IFS(K149="Rob","Robusta",K149="Exc","Excelsa",K149="Ara","Arabica",K149="Lib","Liberica")</f>
        <v>Arabica</v>
      </c>
      <c r="Q149" t="str" cm="1">
        <f t="array" ref="Q149">_xlfn.IFS(L149="M","Medium",L149="L","Light",L149="D","Dark")</f>
        <v>Light</v>
      </c>
      <c r="R149" t="str">
        <f>_xlfn.XLOOKUP(Orders[[#This Row],[Customer ID]],customers!$A$1:$A$1001,customers!$I$1:$I$1001)</f>
        <v>Yes</v>
      </c>
    </row>
    <row r="150" spans="1:18" x14ac:dyDescent="0.35">
      <c r="A150" s="2" t="s">
        <v>1146</v>
      </c>
      <c r="B150" s="4">
        <v>44656</v>
      </c>
      <c r="C150" s="23">
        <f>Orders[[#This Row],[Order Date]]</f>
        <v>44656</v>
      </c>
      <c r="D150" s="2">
        <f>YEAR(Orders[[#This Row],[Order Date]])</f>
        <v>2022</v>
      </c>
      <c r="E150" s="2" t="s">
        <v>1147</v>
      </c>
      <c r="F150" t="s">
        <v>6161</v>
      </c>
      <c r="G150" s="20">
        <v>4</v>
      </c>
      <c r="H150" s="2" t="str">
        <f>INDEX(customers!$A$1:$I$1001,MATCH($E150,customers!$A$1:$A$1001,),MATCH($H$1,customers!$A$1:$I$1,0))</f>
        <v>Brook Drage</v>
      </c>
      <c r="I150" s="2" t="str">
        <f>IF(INDEX(customers!$A$1:$I$1001,MATCH($E150,customers!$A$1:$A$1001,0),3)=0,"",INDEX(customers!$A$1:$I$1001,MATCH($E150,customers!$A$1:$A$1001,0),3))</f>
        <v>bdrage39@youku.com</v>
      </c>
      <c r="J150" s="2" t="str">
        <f>_xlfn.XLOOKUP(E150,customers!$A$1:$A$1001,customers!$G$1:$G$1001)</f>
        <v>United States</v>
      </c>
      <c r="K150" t="str">
        <f>INDEX(products!$A$1:$G$49,MATCH($F150,products!$A$1:$A$49,0),MATCH(K$1,products!$A$1:$G$1,0))</f>
        <v>Lib</v>
      </c>
      <c r="L150" t="str">
        <f>INDEX(products!$A$1:$G$49,MATCH($F150,products!$A$1:$A$49,0),MATCH(L$1,products!$A$1:$G$1,0))</f>
        <v>L</v>
      </c>
      <c r="M150" s="5">
        <f>INDEX(products!$A$1:$G$49,MATCH($F150,products!$A$1:$A$49,0),MATCH(M$1,products!$A$1:$G$1,0))</f>
        <v>0.5</v>
      </c>
      <c r="N150" s="7">
        <f>INDEX(products!$A$1:$G$49,MATCH($F150,products!$A$1:$A$49,0),MATCH(N$1,products!$A$1:$G$1,0))</f>
        <v>9.51</v>
      </c>
      <c r="O150" s="7">
        <f t="shared" si="2"/>
        <v>38.04</v>
      </c>
      <c r="P150" t="str" cm="1">
        <f t="array" ref="P150">_xlfn.IFS(K150="Rob","Robusta",K150="Exc","Excelsa",K150="Ara","Arabica",K150="Lib","Liberica")</f>
        <v>Liberica</v>
      </c>
      <c r="Q150" t="str" cm="1">
        <f t="array" ref="Q150">_xlfn.IFS(L150="M","Medium",L150="L","Light",L150="D","Dark")</f>
        <v>Light</v>
      </c>
      <c r="R150" t="str">
        <f>_xlfn.XLOOKUP(Orders[[#This Row],[Customer ID]],customers!$A$1:$A$1001,customers!$I$1:$I$1001)</f>
        <v>No</v>
      </c>
    </row>
    <row r="151" spans="1:18" x14ac:dyDescent="0.35">
      <c r="A151" s="2" t="s">
        <v>954</v>
      </c>
      <c r="B151" s="4">
        <v>43721</v>
      </c>
      <c r="C151" s="23">
        <f>Orders[[#This Row],[Order Date]]</f>
        <v>43721</v>
      </c>
      <c r="D151" s="2">
        <f>YEAR(Orders[[#This Row],[Order Date]])</f>
        <v>2019</v>
      </c>
      <c r="E151" s="2" t="s">
        <v>955</v>
      </c>
      <c r="F151" t="s">
        <v>6181</v>
      </c>
      <c r="G151" s="20">
        <v>3</v>
      </c>
      <c r="H151" s="2" t="str">
        <f>INDEX(customers!$A$1:$I$1001,MATCH($E151,customers!$A$1:$A$1001,),MATCH($H$1,customers!$A$1:$I$1,0))</f>
        <v>Bunny Naulls</v>
      </c>
      <c r="I151" s="2" t="str">
        <f>IF(INDEX(customers!$A$1:$I$1001,MATCH($E151,customers!$A$1:$A$1001,0),3)=0,"",INDEX(customers!$A$1:$I$1001,MATCH($E151,customers!$A$1:$A$1001,0),3))</f>
        <v>bnaulls2a@tiny.cc</v>
      </c>
      <c r="J151" s="2" t="str">
        <f>_xlfn.XLOOKUP(E151,customers!$A$1:$A$1001,customers!$G$1:$G$1001)</f>
        <v>Ireland</v>
      </c>
      <c r="K151" t="str">
        <f>INDEX(products!$A$1:$G$49,MATCH($F151,products!$A$1:$A$49,0),MATCH(K$1,products!$A$1:$G$1,0))</f>
        <v>Lib</v>
      </c>
      <c r="L151" t="str">
        <f>INDEX(products!$A$1:$G$49,MATCH($F151,products!$A$1:$A$49,0),MATCH(L$1,products!$A$1:$G$1,0))</f>
        <v>M</v>
      </c>
      <c r="M151" s="5">
        <f>INDEX(products!$A$1:$G$49,MATCH($F151,products!$A$1:$A$49,0),MATCH(M$1,products!$A$1:$G$1,0))</f>
        <v>2.5</v>
      </c>
      <c r="N151" s="7">
        <f>INDEX(products!$A$1:$G$49,MATCH($F151,products!$A$1:$A$49,0),MATCH(N$1,products!$A$1:$G$1,0))</f>
        <v>33.464999999999996</v>
      </c>
      <c r="O151" s="7">
        <f t="shared" si="2"/>
        <v>100.39499999999998</v>
      </c>
      <c r="P151" t="str" cm="1">
        <f t="array" ref="P151">_xlfn.IFS(K151="Rob","Robusta",K151="Exc","Excelsa",K151="Ara","Arabica",K151="Lib","Liberica")</f>
        <v>Liberica</v>
      </c>
      <c r="Q151" t="str" cm="1">
        <f t="array" ref="Q151">_xlfn.IFS(L151="M","Medium",L151="L","Light",L151="D","Dark")</f>
        <v>Medium</v>
      </c>
      <c r="R151" t="str">
        <f>_xlfn.XLOOKUP(Orders[[#This Row],[Customer ID]],customers!$A$1:$A$1001,customers!$I$1:$I$1001)</f>
        <v>Yes</v>
      </c>
    </row>
    <row r="152" spans="1:18" x14ac:dyDescent="0.35">
      <c r="A152" s="2" t="s">
        <v>1555</v>
      </c>
      <c r="B152" s="4">
        <v>43813</v>
      </c>
      <c r="C152" s="23">
        <f>Orders[[#This Row],[Order Date]]</f>
        <v>43813</v>
      </c>
      <c r="D152" s="2">
        <f>YEAR(Orders[[#This Row],[Order Date]])</f>
        <v>2019</v>
      </c>
      <c r="E152" s="2" t="s">
        <v>1556</v>
      </c>
      <c r="F152" t="s">
        <v>6162</v>
      </c>
      <c r="G152" s="20">
        <v>3</v>
      </c>
      <c r="H152" s="2" t="str">
        <f>INDEX(customers!$A$1:$I$1001,MATCH($E152,customers!$A$1:$A$1001,),MATCH($H$1,customers!$A$1:$I$1,0))</f>
        <v>Burnard Bartholin</v>
      </c>
      <c r="I152" s="2" t="str">
        <f>IF(INDEX(customers!$A$1:$I$1001,MATCH($E152,customers!$A$1:$A$1001,0),3)=0,"",INDEX(customers!$A$1:$I$1001,MATCH($E152,customers!$A$1:$A$1001,0),3))</f>
        <v>bbartholin59@xinhuanet.com</v>
      </c>
      <c r="J152" s="2" t="str">
        <f>_xlfn.XLOOKUP(E152,customers!$A$1:$A$1001,customers!$G$1:$G$1001)</f>
        <v>United States</v>
      </c>
      <c r="K152" t="str">
        <f>INDEX(products!$A$1:$G$49,MATCH($F152,products!$A$1:$A$49,0),MATCH(K$1,products!$A$1:$G$1,0))</f>
        <v>Lib</v>
      </c>
      <c r="L152" t="str">
        <f>INDEX(products!$A$1:$G$49,MATCH($F152,products!$A$1:$A$49,0),MATCH(L$1,products!$A$1:$G$1,0))</f>
        <v>M</v>
      </c>
      <c r="M152" s="5">
        <f>INDEX(products!$A$1:$G$49,MATCH($F152,products!$A$1:$A$49,0),MATCH(M$1,products!$A$1:$G$1,0))</f>
        <v>1</v>
      </c>
      <c r="N152" s="7">
        <f>INDEX(products!$A$1:$G$49,MATCH($F152,products!$A$1:$A$49,0),MATCH(N$1,products!$A$1:$G$1,0))</f>
        <v>14.55</v>
      </c>
      <c r="O152" s="7">
        <f t="shared" si="2"/>
        <v>43.650000000000006</v>
      </c>
      <c r="P152" t="str" cm="1">
        <f t="array" ref="P152">_xlfn.IFS(K152="Rob","Robusta",K152="Exc","Excelsa",K152="Ara","Arabica",K152="Lib","Liberica")</f>
        <v>Liberica</v>
      </c>
      <c r="Q152" t="str" cm="1">
        <f t="array" ref="Q152">_xlfn.IFS(L152="M","Medium",L152="L","Light",L152="D","Dark")</f>
        <v>Medium</v>
      </c>
      <c r="R152" t="str">
        <f>_xlfn.XLOOKUP(Orders[[#This Row],[Customer ID]],customers!$A$1:$A$1001,customers!$I$1:$I$1001)</f>
        <v>Yes</v>
      </c>
    </row>
    <row r="153" spans="1:18" x14ac:dyDescent="0.35">
      <c r="A153" s="2" t="s">
        <v>2107</v>
      </c>
      <c r="B153" s="4">
        <v>43755</v>
      </c>
      <c r="C153" s="23">
        <f>Orders[[#This Row],[Order Date]]</f>
        <v>43755</v>
      </c>
      <c r="D153" s="2">
        <f>YEAR(Orders[[#This Row],[Order Date]])</f>
        <v>2019</v>
      </c>
      <c r="E153" s="2" t="s">
        <v>2108</v>
      </c>
      <c r="F153" t="s">
        <v>6152</v>
      </c>
      <c r="G153" s="20">
        <v>4</v>
      </c>
      <c r="H153" s="2" t="str">
        <f>INDEX(customers!$A$1:$I$1001,MATCH($E153,customers!$A$1:$A$1001,),MATCH($H$1,customers!$A$1:$I$1,0))</f>
        <v>Byram Mergue</v>
      </c>
      <c r="I153" s="2" t="str">
        <f>IF(INDEX(customers!$A$1:$I$1001,MATCH($E153,customers!$A$1:$A$1001,0),3)=0,"",INDEX(customers!$A$1:$I$1001,MATCH($E153,customers!$A$1:$A$1001,0),3))</f>
        <v>bmergue7y@umn.edu</v>
      </c>
      <c r="J153" s="2" t="str">
        <f>_xlfn.XLOOKUP(E153,customers!$A$1:$A$1001,customers!$G$1:$G$1001)</f>
        <v>United States</v>
      </c>
      <c r="K153" t="str">
        <f>INDEX(products!$A$1:$G$49,MATCH($F153,products!$A$1:$A$49,0),MATCH(K$1,products!$A$1:$G$1,0))</f>
        <v>Ara</v>
      </c>
      <c r="L153" t="str">
        <f>INDEX(products!$A$1:$G$49,MATCH($F153,products!$A$1:$A$49,0),MATCH(L$1,products!$A$1:$G$1,0))</f>
        <v>M</v>
      </c>
      <c r="M153" s="5">
        <f>INDEX(products!$A$1:$G$49,MATCH($F153,products!$A$1:$A$49,0),MATCH(M$1,products!$A$1:$G$1,0))</f>
        <v>0.2</v>
      </c>
      <c r="N153" s="7">
        <f>INDEX(products!$A$1:$G$49,MATCH($F153,products!$A$1:$A$49,0),MATCH(N$1,products!$A$1:$G$1,0))</f>
        <v>3.375</v>
      </c>
      <c r="O153" s="7">
        <f t="shared" si="2"/>
        <v>13.5</v>
      </c>
      <c r="P153" t="str" cm="1">
        <f t="array" ref="P153">_xlfn.IFS(K153="Rob","Robusta",K153="Exc","Excelsa",K153="Ara","Arabica",K153="Lib","Liberica")</f>
        <v>Arabica</v>
      </c>
      <c r="Q153" t="str" cm="1">
        <f t="array" ref="Q153">_xlfn.IFS(L153="M","Medium",L153="L","Light",L153="D","Dark")</f>
        <v>Medium</v>
      </c>
      <c r="R153" t="str">
        <f>_xlfn.XLOOKUP(Orders[[#This Row],[Customer ID]],customers!$A$1:$A$1001,customers!$I$1:$I$1001)</f>
        <v>Yes</v>
      </c>
    </row>
    <row r="154" spans="1:18" x14ac:dyDescent="0.35">
      <c r="A154" s="2" t="s">
        <v>4029</v>
      </c>
      <c r="B154" s="4">
        <v>44682</v>
      </c>
      <c r="C154" s="23">
        <f>Orders[[#This Row],[Order Date]]</f>
        <v>44682</v>
      </c>
      <c r="D154" s="2">
        <f>YEAR(Orders[[#This Row],[Order Date]])</f>
        <v>2022</v>
      </c>
      <c r="E154" s="2" t="s">
        <v>4030</v>
      </c>
      <c r="F154" t="s">
        <v>6166</v>
      </c>
      <c r="G154" s="20">
        <v>2</v>
      </c>
      <c r="H154" s="2" t="str">
        <f>INDEX(customers!$A$1:$I$1001,MATCH($E154,customers!$A$1:$A$1001,),MATCH($H$1,customers!$A$1:$I$1,0))</f>
        <v>Byron Acarson</v>
      </c>
      <c r="I154" s="2" t="str">
        <f>IF(INDEX(customers!$A$1:$I$1001,MATCH($E154,customers!$A$1:$A$1001,0),3)=0,"",INDEX(customers!$A$1:$I$1001,MATCH($E154,customers!$A$1:$A$1001,0),3))</f>
        <v>bacarsonhf@cnn.com</v>
      </c>
      <c r="J154" s="2" t="str">
        <f>_xlfn.XLOOKUP(E154,customers!$A$1:$A$1001,customers!$G$1:$G$1001)</f>
        <v>United States</v>
      </c>
      <c r="K154" t="str">
        <f>INDEX(products!$A$1:$G$49,MATCH($F154,products!$A$1:$A$49,0),MATCH(K$1,products!$A$1:$G$1,0))</f>
        <v>Exc</v>
      </c>
      <c r="L154" t="str">
        <f>INDEX(products!$A$1:$G$49,MATCH($F154,products!$A$1:$A$49,0),MATCH(L$1,products!$A$1:$G$1,0))</f>
        <v>M</v>
      </c>
      <c r="M154" s="5">
        <f>INDEX(products!$A$1:$G$49,MATCH($F154,products!$A$1:$A$49,0),MATCH(M$1,products!$A$1:$G$1,0))</f>
        <v>2.5</v>
      </c>
      <c r="N154" s="7">
        <f>INDEX(products!$A$1:$G$49,MATCH($F154,products!$A$1:$A$49,0),MATCH(N$1,products!$A$1:$G$1,0))</f>
        <v>31.624999999999996</v>
      </c>
      <c r="O154" s="7">
        <f t="shared" si="2"/>
        <v>63.249999999999993</v>
      </c>
      <c r="P154" t="str" cm="1">
        <f t="array" ref="P154">_xlfn.IFS(K154="Rob","Robusta",K154="Exc","Excelsa",K154="Ara","Arabica",K154="Lib","Liberica")</f>
        <v>Excelsa</v>
      </c>
      <c r="Q154" t="str" cm="1">
        <f t="array" ref="Q154">_xlfn.IFS(L154="M","Medium",L154="L","Light",L154="D","Dark")</f>
        <v>Medium</v>
      </c>
      <c r="R154" t="str">
        <f>_xlfn.XLOOKUP(Orders[[#This Row],[Customer ID]],customers!$A$1:$A$1001,customers!$I$1:$I$1001)</f>
        <v>Yes</v>
      </c>
    </row>
    <row r="155" spans="1:18" x14ac:dyDescent="0.35">
      <c r="A155" s="2" t="s">
        <v>5117</v>
      </c>
      <c r="B155" s="4">
        <v>44008</v>
      </c>
      <c r="C155" s="23">
        <f>Orders[[#This Row],[Order Date]]</f>
        <v>44008</v>
      </c>
      <c r="D155" s="2">
        <f>YEAR(Orders[[#This Row],[Order Date]])</f>
        <v>2020</v>
      </c>
      <c r="E155" s="2" t="s">
        <v>5118</v>
      </c>
      <c r="F155" t="s">
        <v>6145</v>
      </c>
      <c r="G155" s="20">
        <v>1</v>
      </c>
      <c r="H155" s="2" t="str">
        <f>INDEX(customers!$A$1:$I$1001,MATCH($E155,customers!$A$1:$A$1001,),MATCH($H$1,customers!$A$1:$I$1,0))</f>
        <v>Caddric Atcheson</v>
      </c>
      <c r="I155" s="2" t="str">
        <f>IF(INDEX(customers!$A$1:$I$1001,MATCH($E155,customers!$A$1:$A$1001,0),3)=0,"",INDEX(customers!$A$1:$I$1001,MATCH($E155,customers!$A$1:$A$1001,0),3))</f>
        <v>catchesonmr@xinhuanet.com</v>
      </c>
      <c r="J155" s="2" t="str">
        <f>_xlfn.XLOOKUP(E155,customers!$A$1:$A$1001,customers!$G$1:$G$1001)</f>
        <v>United States</v>
      </c>
      <c r="K155" t="str">
        <f>INDEX(products!$A$1:$G$49,MATCH($F155,products!$A$1:$A$49,0),MATCH(K$1,products!$A$1:$G$1,0))</f>
        <v>Lib</v>
      </c>
      <c r="L155" t="str">
        <f>INDEX(products!$A$1:$G$49,MATCH($F155,products!$A$1:$A$49,0),MATCH(L$1,products!$A$1:$G$1,0))</f>
        <v>L</v>
      </c>
      <c r="M155" s="5">
        <f>INDEX(products!$A$1:$G$49,MATCH($F155,products!$A$1:$A$49,0),MATCH(M$1,products!$A$1:$G$1,0))</f>
        <v>0.2</v>
      </c>
      <c r="N155" s="7">
        <f>INDEX(products!$A$1:$G$49,MATCH($F155,products!$A$1:$A$49,0),MATCH(N$1,products!$A$1:$G$1,0))</f>
        <v>4.7549999999999999</v>
      </c>
      <c r="O155" s="7">
        <f t="shared" si="2"/>
        <v>4.7549999999999999</v>
      </c>
      <c r="P155" t="str" cm="1">
        <f t="array" ref="P155">_xlfn.IFS(K155="Rob","Robusta",K155="Exc","Excelsa",K155="Ara","Arabica",K155="Lib","Liberica")</f>
        <v>Liberica</v>
      </c>
      <c r="Q155" t="str" cm="1">
        <f t="array" ref="Q155">_xlfn.IFS(L155="M","Medium",L155="L","Light",L155="D","Dark")</f>
        <v>Light</v>
      </c>
      <c r="R155" t="str">
        <f>_xlfn.XLOOKUP(Orders[[#This Row],[Customer ID]],customers!$A$1:$A$1001,customers!$I$1:$I$1001)</f>
        <v>Yes</v>
      </c>
    </row>
    <row r="156" spans="1:18" x14ac:dyDescent="0.35">
      <c r="A156" s="2" t="s">
        <v>5024</v>
      </c>
      <c r="B156" s="4">
        <v>43902</v>
      </c>
      <c r="C156" s="23">
        <f>Orders[[#This Row],[Order Date]]</f>
        <v>43902</v>
      </c>
      <c r="D156" s="2">
        <f>YEAR(Orders[[#This Row],[Order Date]])</f>
        <v>2020</v>
      </c>
      <c r="E156" s="2" t="s">
        <v>5025</v>
      </c>
      <c r="F156" t="s">
        <v>6163</v>
      </c>
      <c r="G156" s="20">
        <v>4</v>
      </c>
      <c r="H156" s="2" t="str">
        <f>INDEX(customers!$A$1:$I$1001,MATCH($E156,customers!$A$1:$A$1001,),MATCH($H$1,customers!$A$1:$I$1,0))</f>
        <v>Caddric Krzysztofiak</v>
      </c>
      <c r="I156" s="2" t="str">
        <f>IF(INDEX(customers!$A$1:$I$1001,MATCH($E156,customers!$A$1:$A$1001,0),3)=0,"",INDEX(customers!$A$1:$I$1001,MATCH($E156,customers!$A$1:$A$1001,0),3))</f>
        <v>ckrzysztofiakma@skyrock.com</v>
      </c>
      <c r="J156" s="2" t="str">
        <f>_xlfn.XLOOKUP(E156,customers!$A$1:$A$1001,customers!$G$1:$G$1001)</f>
        <v>United States</v>
      </c>
      <c r="K156" t="str">
        <f>INDEX(products!$A$1:$G$49,MATCH($F156,products!$A$1:$A$49,0),MATCH(K$1,products!$A$1:$G$1,0))</f>
        <v>Rob</v>
      </c>
      <c r="L156" t="str">
        <f>INDEX(products!$A$1:$G$49,MATCH($F156,products!$A$1:$A$49,0),MATCH(L$1,products!$A$1:$G$1,0))</f>
        <v>D</v>
      </c>
      <c r="M156" s="5">
        <f>INDEX(products!$A$1:$G$49,MATCH($F156,products!$A$1:$A$49,0),MATCH(M$1,products!$A$1:$G$1,0))</f>
        <v>0.2</v>
      </c>
      <c r="N156" s="7">
        <f>INDEX(products!$A$1:$G$49,MATCH($F156,products!$A$1:$A$49,0),MATCH(N$1,products!$A$1:$G$1,0))</f>
        <v>2.6849999999999996</v>
      </c>
      <c r="O156" s="7">
        <f t="shared" si="2"/>
        <v>10.739999999999998</v>
      </c>
      <c r="P156" t="str" cm="1">
        <f t="array" ref="P156">_xlfn.IFS(K156="Rob","Robusta",K156="Exc","Excelsa",K156="Ara","Arabica",K156="Lib","Liberica")</f>
        <v>Robusta</v>
      </c>
      <c r="Q156" t="str" cm="1">
        <f t="array" ref="Q156">_xlfn.IFS(L156="M","Medium",L156="L","Light",L156="D","Dark")</f>
        <v>Dark</v>
      </c>
      <c r="R156" t="str">
        <f>_xlfn.XLOOKUP(Orders[[#This Row],[Customer ID]],customers!$A$1:$A$1001,customers!$I$1:$I$1001)</f>
        <v>No</v>
      </c>
    </row>
    <row r="157" spans="1:18" x14ac:dyDescent="0.35">
      <c r="A157" s="2" t="s">
        <v>4886</v>
      </c>
      <c r="B157" s="4">
        <v>43889</v>
      </c>
      <c r="C157" s="23">
        <f>Orders[[#This Row],[Order Date]]</f>
        <v>43889</v>
      </c>
      <c r="D157" s="2">
        <f>YEAR(Orders[[#This Row],[Order Date]])</f>
        <v>2020</v>
      </c>
      <c r="E157" s="2" t="s">
        <v>4933</v>
      </c>
      <c r="F157" t="s">
        <v>6161</v>
      </c>
      <c r="G157" s="20">
        <v>2</v>
      </c>
      <c r="H157" s="2" t="str">
        <f>INDEX(customers!$A$1:$I$1001,MATCH($E157,customers!$A$1:$A$1001,),MATCH($H$1,customers!$A$1:$I$1,0))</f>
        <v>Cam Jewster</v>
      </c>
      <c r="I157" s="2" t="str">
        <f>IF(INDEX(customers!$A$1:$I$1001,MATCH($E157,customers!$A$1:$A$1001,0),3)=0,"",INDEX(customers!$A$1:$I$1001,MATCH($E157,customers!$A$1:$A$1001,0),3))</f>
        <v>cjewsterlu@moonfruit.com</v>
      </c>
      <c r="J157" s="2" t="str">
        <f>_xlfn.XLOOKUP(E157,customers!$A$1:$A$1001,customers!$G$1:$G$1001)</f>
        <v>United States</v>
      </c>
      <c r="K157" t="str">
        <f>INDEX(products!$A$1:$G$49,MATCH($F157,products!$A$1:$A$49,0),MATCH(K$1,products!$A$1:$G$1,0))</f>
        <v>Lib</v>
      </c>
      <c r="L157" t="str">
        <f>INDEX(products!$A$1:$G$49,MATCH($F157,products!$A$1:$A$49,0),MATCH(L$1,products!$A$1:$G$1,0))</f>
        <v>L</v>
      </c>
      <c r="M157" s="5">
        <f>INDEX(products!$A$1:$G$49,MATCH($F157,products!$A$1:$A$49,0),MATCH(M$1,products!$A$1:$G$1,0))</f>
        <v>0.5</v>
      </c>
      <c r="N157" s="7">
        <f>INDEX(products!$A$1:$G$49,MATCH($F157,products!$A$1:$A$49,0),MATCH(N$1,products!$A$1:$G$1,0))</f>
        <v>9.51</v>
      </c>
      <c r="O157" s="7">
        <f t="shared" si="2"/>
        <v>19.02</v>
      </c>
      <c r="P157" t="str" cm="1">
        <f t="array" ref="P157">_xlfn.IFS(K157="Rob","Robusta",K157="Exc","Excelsa",K157="Ara","Arabica",K157="Lib","Liberica")</f>
        <v>Liberica</v>
      </c>
      <c r="Q157" t="str" cm="1">
        <f t="array" ref="Q157">_xlfn.IFS(L157="M","Medium",L157="L","Light",L157="D","Dark")</f>
        <v>Light</v>
      </c>
      <c r="R157" t="str">
        <f>_xlfn.XLOOKUP(Orders[[#This Row],[Customer ID]],customers!$A$1:$A$1001,customers!$I$1:$I$1001)</f>
        <v>Yes</v>
      </c>
    </row>
    <row r="158" spans="1:18" x14ac:dyDescent="0.35">
      <c r="A158" s="2" t="s">
        <v>4932</v>
      </c>
      <c r="B158" s="4">
        <v>43888</v>
      </c>
      <c r="C158" s="23">
        <f>Orders[[#This Row],[Order Date]]</f>
        <v>43888</v>
      </c>
      <c r="D158" s="2">
        <f>YEAR(Orders[[#This Row],[Order Date]])</f>
        <v>2020</v>
      </c>
      <c r="E158" s="2" t="s">
        <v>4933</v>
      </c>
      <c r="F158" t="s">
        <v>6185</v>
      </c>
      <c r="G158" s="20">
        <v>1</v>
      </c>
      <c r="H158" s="2" t="str">
        <f>INDEX(customers!$A$1:$I$1001,MATCH($E158,customers!$A$1:$A$1001,),MATCH($H$1,customers!$A$1:$I$1,0))</f>
        <v>Cam Jewster</v>
      </c>
      <c r="I158" s="2" t="str">
        <f>IF(INDEX(customers!$A$1:$I$1001,MATCH($E158,customers!$A$1:$A$1001,0),3)=0,"",INDEX(customers!$A$1:$I$1001,MATCH($E158,customers!$A$1:$A$1001,0),3))</f>
        <v>cjewsterlu@moonfruit.com</v>
      </c>
      <c r="J158" s="2" t="str">
        <f>_xlfn.XLOOKUP(E158,customers!$A$1:$A$1001,customers!$G$1:$G$1001)</f>
        <v>United States</v>
      </c>
      <c r="K158" t="str">
        <f>INDEX(products!$A$1:$G$49,MATCH($F158,products!$A$1:$A$49,0),MATCH(K$1,products!$A$1:$G$1,0))</f>
        <v>Exc</v>
      </c>
      <c r="L158" t="str">
        <f>INDEX(products!$A$1:$G$49,MATCH($F158,products!$A$1:$A$49,0),MATCH(L$1,products!$A$1:$G$1,0))</f>
        <v>D</v>
      </c>
      <c r="M158" s="5">
        <f>INDEX(products!$A$1:$G$49,MATCH($F158,products!$A$1:$A$49,0),MATCH(M$1,products!$A$1:$G$1,0))</f>
        <v>2.5</v>
      </c>
      <c r="N158" s="7">
        <f>INDEX(products!$A$1:$G$49,MATCH($F158,products!$A$1:$A$49,0),MATCH(N$1,products!$A$1:$G$1,0))</f>
        <v>27.945</v>
      </c>
      <c r="O158" s="7">
        <f t="shared" si="2"/>
        <v>27.945</v>
      </c>
      <c r="P158" t="str" cm="1">
        <f t="array" ref="P158">_xlfn.IFS(K158="Rob","Robusta",K158="Exc","Excelsa",K158="Ara","Arabica",K158="Lib","Liberica")</f>
        <v>Excelsa</v>
      </c>
      <c r="Q158" t="str" cm="1">
        <f t="array" ref="Q158">_xlfn.IFS(L158="M","Medium",L158="L","Light",L158="D","Dark")</f>
        <v>Dark</v>
      </c>
      <c r="R158" t="str">
        <f>_xlfn.XLOOKUP(Orders[[#This Row],[Customer ID]],customers!$A$1:$A$1001,customers!$I$1:$I$1001)</f>
        <v>Yes</v>
      </c>
    </row>
    <row r="159" spans="1:18" x14ac:dyDescent="0.35">
      <c r="A159" s="2" t="s">
        <v>3373</v>
      </c>
      <c r="B159" s="4">
        <v>43803</v>
      </c>
      <c r="C159" s="23">
        <f>Orders[[#This Row],[Order Date]]</f>
        <v>43803</v>
      </c>
      <c r="D159" s="2">
        <f>YEAR(Orders[[#This Row],[Order Date]])</f>
        <v>2019</v>
      </c>
      <c r="E159" s="2" t="s">
        <v>3374</v>
      </c>
      <c r="F159" t="s">
        <v>6178</v>
      </c>
      <c r="G159" s="20">
        <v>3</v>
      </c>
      <c r="H159" s="2" t="str">
        <f>INDEX(customers!$A$1:$I$1001,MATCH($E159,customers!$A$1:$A$1001,),MATCH($H$1,customers!$A$1:$I$1,0))</f>
        <v>Camellia Kid</v>
      </c>
      <c r="I159" s="2" t="str">
        <f>IF(INDEX(customers!$A$1:$I$1001,MATCH($E159,customers!$A$1:$A$1001,0),3)=0,"",INDEX(customers!$A$1:$I$1001,MATCH($E159,customers!$A$1:$A$1001,0),3))</f>
        <v>ckide6@narod.ru</v>
      </c>
      <c r="J159" s="2" t="str">
        <f>_xlfn.XLOOKUP(E159,customers!$A$1:$A$1001,customers!$G$1:$G$1001)</f>
        <v>Ireland</v>
      </c>
      <c r="K159" t="str">
        <f>INDEX(products!$A$1:$G$49,MATCH($F159,products!$A$1:$A$49,0),MATCH(K$1,products!$A$1:$G$1,0))</f>
        <v>Rob</v>
      </c>
      <c r="L159" t="str">
        <f>INDEX(products!$A$1:$G$49,MATCH($F159,products!$A$1:$A$49,0),MATCH(L$1,products!$A$1:$G$1,0))</f>
        <v>L</v>
      </c>
      <c r="M159" s="5">
        <f>INDEX(products!$A$1:$G$49,MATCH($F159,products!$A$1:$A$49,0),MATCH(M$1,products!$A$1:$G$1,0))</f>
        <v>0.2</v>
      </c>
      <c r="N159" s="7">
        <f>INDEX(products!$A$1:$G$49,MATCH($F159,products!$A$1:$A$49,0),MATCH(N$1,products!$A$1:$G$1,0))</f>
        <v>3.5849999999999995</v>
      </c>
      <c r="O159" s="7">
        <f t="shared" si="2"/>
        <v>10.754999999999999</v>
      </c>
      <c r="P159" t="str" cm="1">
        <f t="array" ref="P159">_xlfn.IFS(K159="Rob","Robusta",K159="Exc","Excelsa",K159="Ara","Arabica",K159="Lib","Liberica")</f>
        <v>Robusta</v>
      </c>
      <c r="Q159" t="str" cm="1">
        <f t="array" ref="Q159">_xlfn.IFS(L159="M","Medium",L159="L","Light",L159="D","Dark")</f>
        <v>Light</v>
      </c>
      <c r="R159" t="str">
        <f>_xlfn.XLOOKUP(Orders[[#This Row],[Customer ID]],customers!$A$1:$A$1001,customers!$I$1:$I$1001)</f>
        <v>Yes</v>
      </c>
    </row>
    <row r="160" spans="1:18" x14ac:dyDescent="0.35">
      <c r="A160" s="2" t="s">
        <v>1822</v>
      </c>
      <c r="B160" s="4">
        <v>43873</v>
      </c>
      <c r="C160" s="23">
        <f>Orders[[#This Row],[Order Date]]</f>
        <v>43873</v>
      </c>
      <c r="D160" s="2">
        <f>YEAR(Orders[[#This Row],[Order Date]])</f>
        <v>2020</v>
      </c>
      <c r="E160" s="2" t="s">
        <v>1823</v>
      </c>
      <c r="F160" t="s">
        <v>6165</v>
      </c>
      <c r="G160" s="20">
        <v>3</v>
      </c>
      <c r="H160" s="2" t="str">
        <f>INDEX(customers!$A$1:$I$1001,MATCH($E160,customers!$A$1:$A$1001,),MATCH($H$1,customers!$A$1:$I$1,0))</f>
        <v>Carlie Harce</v>
      </c>
      <c r="I160" s="2" t="str">
        <f>IF(INDEX(customers!$A$1:$I$1001,MATCH($E160,customers!$A$1:$A$1001,0),3)=0,"",INDEX(customers!$A$1:$I$1001,MATCH($E160,customers!$A$1:$A$1001,0),3))</f>
        <v>charce6k@cafepress.com</v>
      </c>
      <c r="J160" s="2" t="str">
        <f>_xlfn.XLOOKUP(E160,customers!$A$1:$A$1001,customers!$G$1:$G$1001)</f>
        <v>Ireland</v>
      </c>
      <c r="K160" t="str">
        <f>INDEX(products!$A$1:$G$49,MATCH($F160,products!$A$1:$A$49,0),MATCH(K$1,products!$A$1:$G$1,0))</f>
        <v>Lib</v>
      </c>
      <c r="L160" t="str">
        <f>INDEX(products!$A$1:$G$49,MATCH($F160,products!$A$1:$A$49,0),MATCH(L$1,products!$A$1:$G$1,0))</f>
        <v>D</v>
      </c>
      <c r="M160" s="5">
        <f>INDEX(products!$A$1:$G$49,MATCH($F160,products!$A$1:$A$49,0),MATCH(M$1,products!$A$1:$G$1,0))</f>
        <v>2.5</v>
      </c>
      <c r="N160" s="7">
        <f>INDEX(products!$A$1:$G$49,MATCH($F160,products!$A$1:$A$49,0),MATCH(N$1,products!$A$1:$G$1,0))</f>
        <v>29.784999999999997</v>
      </c>
      <c r="O160" s="7">
        <f t="shared" si="2"/>
        <v>89.35499999999999</v>
      </c>
      <c r="P160" t="str" cm="1">
        <f t="array" ref="P160">_xlfn.IFS(K160="Rob","Robusta",K160="Exc","Excelsa",K160="Ara","Arabica",K160="Lib","Liberica")</f>
        <v>Liberica</v>
      </c>
      <c r="Q160" t="str" cm="1">
        <f t="array" ref="Q160">_xlfn.IFS(L160="M","Medium",L160="L","Light",L160="D","Dark")</f>
        <v>Dark</v>
      </c>
      <c r="R160" t="str">
        <f>_xlfn.XLOOKUP(Orders[[#This Row],[Customer ID]],customers!$A$1:$A$1001,customers!$I$1:$I$1001)</f>
        <v>No</v>
      </c>
    </row>
    <row r="161" spans="1:18" x14ac:dyDescent="0.35">
      <c r="A161" s="2" t="s">
        <v>4653</v>
      </c>
      <c r="B161" s="4">
        <v>44447</v>
      </c>
      <c r="C161" s="23">
        <f>Orders[[#This Row],[Order Date]]</f>
        <v>44447</v>
      </c>
      <c r="D161" s="2">
        <f>YEAR(Orders[[#This Row],[Order Date]])</f>
        <v>2021</v>
      </c>
      <c r="E161" s="2" t="s">
        <v>4654</v>
      </c>
      <c r="F161" t="s">
        <v>6155</v>
      </c>
      <c r="G161" s="20">
        <v>5</v>
      </c>
      <c r="H161" s="2" t="str">
        <f>INDEX(customers!$A$1:$I$1001,MATCH($E161,customers!$A$1:$A$1001,),MATCH($H$1,customers!$A$1:$I$1,0))</f>
        <v>Carlie Linskill</v>
      </c>
      <c r="I161" s="2" t="str">
        <f>IF(INDEX(customers!$A$1:$I$1001,MATCH($E161,customers!$A$1:$A$1001,0),3)=0,"",INDEX(customers!$A$1:$I$1001,MATCH($E161,customers!$A$1:$A$1001,0),3))</f>
        <v>clinskillkh@sphinn.com</v>
      </c>
      <c r="J161" s="2" t="str">
        <f>_xlfn.XLOOKUP(E161,customers!$A$1:$A$1001,customers!$G$1:$G$1001)</f>
        <v>United States</v>
      </c>
      <c r="K161" t="str">
        <f>INDEX(products!$A$1:$G$49,MATCH($F161,products!$A$1:$A$49,0),MATCH(K$1,products!$A$1:$G$1,0))</f>
        <v>Ara</v>
      </c>
      <c r="L161" t="str">
        <f>INDEX(products!$A$1:$G$49,MATCH($F161,products!$A$1:$A$49,0),MATCH(L$1,products!$A$1:$G$1,0))</f>
        <v>M</v>
      </c>
      <c r="M161" s="5">
        <f>INDEX(products!$A$1:$G$49,MATCH($F161,products!$A$1:$A$49,0),MATCH(M$1,products!$A$1:$G$1,0))</f>
        <v>1</v>
      </c>
      <c r="N161" s="7">
        <f>INDEX(products!$A$1:$G$49,MATCH($F161,products!$A$1:$A$49,0),MATCH(N$1,products!$A$1:$G$1,0))</f>
        <v>11.25</v>
      </c>
      <c r="O161" s="7">
        <f t="shared" si="2"/>
        <v>56.25</v>
      </c>
      <c r="P161" t="str" cm="1">
        <f t="array" ref="P161">_xlfn.IFS(K161="Rob","Robusta",K161="Exc","Excelsa",K161="Ara","Arabica",K161="Lib","Liberica")</f>
        <v>Arabica</v>
      </c>
      <c r="Q161" t="str" cm="1">
        <f t="array" ref="Q161">_xlfn.IFS(L161="M","Medium",L161="L","Light",L161="D","Dark")</f>
        <v>Medium</v>
      </c>
      <c r="R161" t="str">
        <f>_xlfn.XLOOKUP(Orders[[#This Row],[Customer ID]],customers!$A$1:$A$1001,customers!$I$1:$I$1001)</f>
        <v>No</v>
      </c>
    </row>
    <row r="162" spans="1:18" x14ac:dyDescent="0.35">
      <c r="A162" s="2" t="s">
        <v>3070</v>
      </c>
      <c r="B162" s="4">
        <v>43671</v>
      </c>
      <c r="C162" s="23">
        <f>Orders[[#This Row],[Order Date]]</f>
        <v>43671</v>
      </c>
      <c r="D162" s="2">
        <f>YEAR(Orders[[#This Row],[Order Date]])</f>
        <v>2019</v>
      </c>
      <c r="E162" s="2" t="s">
        <v>3071</v>
      </c>
      <c r="F162" t="s">
        <v>6161</v>
      </c>
      <c r="G162" s="20">
        <v>5</v>
      </c>
      <c r="H162" s="2" t="str">
        <f>INDEX(customers!$A$1:$I$1001,MATCH($E162,customers!$A$1:$A$1001,),MATCH($H$1,customers!$A$1:$I$1,0))</f>
        <v>Carmelita Thowes</v>
      </c>
      <c r="I162" s="2" t="str">
        <f>IF(INDEX(customers!$A$1:$I$1001,MATCH($E162,customers!$A$1:$A$1001,0),3)=0,"",INDEX(customers!$A$1:$I$1001,MATCH($E162,customers!$A$1:$A$1001,0),3))</f>
        <v>cthowescp@craigslist.org</v>
      </c>
      <c r="J162" s="2" t="str">
        <f>_xlfn.XLOOKUP(E162,customers!$A$1:$A$1001,customers!$G$1:$G$1001)</f>
        <v>United States</v>
      </c>
      <c r="K162" t="str">
        <f>INDEX(products!$A$1:$G$49,MATCH($F162,products!$A$1:$A$49,0),MATCH(K$1,products!$A$1:$G$1,0))</f>
        <v>Lib</v>
      </c>
      <c r="L162" t="str">
        <f>INDEX(products!$A$1:$G$49,MATCH($F162,products!$A$1:$A$49,0),MATCH(L$1,products!$A$1:$G$1,0))</f>
        <v>L</v>
      </c>
      <c r="M162" s="5">
        <f>INDEX(products!$A$1:$G$49,MATCH($F162,products!$A$1:$A$49,0),MATCH(M$1,products!$A$1:$G$1,0))</f>
        <v>0.5</v>
      </c>
      <c r="N162" s="7">
        <f>INDEX(products!$A$1:$G$49,MATCH($F162,products!$A$1:$A$49,0),MATCH(N$1,products!$A$1:$G$1,0))</f>
        <v>9.51</v>
      </c>
      <c r="O162" s="7">
        <f t="shared" si="2"/>
        <v>47.55</v>
      </c>
      <c r="P162" t="str" cm="1">
        <f t="array" ref="P162">_xlfn.IFS(K162="Rob","Robusta",K162="Exc","Excelsa",K162="Ara","Arabica",K162="Lib","Liberica")</f>
        <v>Liberica</v>
      </c>
      <c r="Q162" t="str" cm="1">
        <f t="array" ref="Q162">_xlfn.IFS(L162="M","Medium",L162="L","Light",L162="D","Dark")</f>
        <v>Light</v>
      </c>
      <c r="R162" t="str">
        <f>_xlfn.XLOOKUP(Orders[[#This Row],[Customer ID]],customers!$A$1:$A$1001,customers!$I$1:$I$1001)</f>
        <v>No</v>
      </c>
    </row>
    <row r="163" spans="1:18" x14ac:dyDescent="0.35">
      <c r="A163" s="2" t="s">
        <v>1129</v>
      </c>
      <c r="B163" s="4">
        <v>44265</v>
      </c>
      <c r="C163" s="23">
        <f>Orders[[#This Row],[Order Date]]</f>
        <v>44265</v>
      </c>
      <c r="D163" s="2">
        <f>YEAR(Orders[[#This Row],[Order Date]])</f>
        <v>2021</v>
      </c>
      <c r="E163" s="2" t="s">
        <v>1130</v>
      </c>
      <c r="F163" t="s">
        <v>6178</v>
      </c>
      <c r="G163" s="20">
        <v>4</v>
      </c>
      <c r="H163" s="2" t="str">
        <f>INDEX(customers!$A$1:$I$1001,MATCH($E163,customers!$A$1:$A$1001,),MATCH($H$1,customers!$A$1:$I$1,0))</f>
        <v>Carmina Hubbuck</v>
      </c>
      <c r="I163" s="2" t="str">
        <f>IF(INDEX(customers!$A$1:$I$1001,MATCH($E163,customers!$A$1:$A$1001,0),3)=0,"",INDEX(customers!$A$1:$I$1001,MATCH($E163,customers!$A$1:$A$1001,0),3))</f>
        <v/>
      </c>
      <c r="J163" s="2" t="str">
        <f>_xlfn.XLOOKUP(E163,customers!$A$1:$A$1001,customers!$G$1:$G$1001)</f>
        <v>United States</v>
      </c>
      <c r="K163" t="str">
        <f>INDEX(products!$A$1:$G$49,MATCH($F163,products!$A$1:$A$49,0),MATCH(K$1,products!$A$1:$G$1,0))</f>
        <v>Rob</v>
      </c>
      <c r="L163" t="str">
        <f>INDEX(products!$A$1:$G$49,MATCH($F163,products!$A$1:$A$49,0),MATCH(L$1,products!$A$1:$G$1,0))</f>
        <v>L</v>
      </c>
      <c r="M163" s="5">
        <f>INDEX(products!$A$1:$G$49,MATCH($F163,products!$A$1:$A$49,0),MATCH(M$1,products!$A$1:$G$1,0))</f>
        <v>0.2</v>
      </c>
      <c r="N163" s="7">
        <f>INDEX(products!$A$1:$G$49,MATCH($F163,products!$A$1:$A$49,0),MATCH(N$1,products!$A$1:$G$1,0))</f>
        <v>3.5849999999999995</v>
      </c>
      <c r="O163" s="7">
        <f t="shared" si="2"/>
        <v>14.339999999999998</v>
      </c>
      <c r="P163" t="str" cm="1">
        <f t="array" ref="P163">_xlfn.IFS(K163="Rob","Robusta",K163="Exc","Excelsa",K163="Ara","Arabica",K163="Lib","Liberica")</f>
        <v>Robusta</v>
      </c>
      <c r="Q163" t="str" cm="1">
        <f t="array" ref="Q163">_xlfn.IFS(L163="M","Medium",L163="L","Light",L163="D","Dark")</f>
        <v>Light</v>
      </c>
      <c r="R163" t="str">
        <f>_xlfn.XLOOKUP(Orders[[#This Row],[Customer ID]],customers!$A$1:$A$1001,customers!$I$1:$I$1001)</f>
        <v>No</v>
      </c>
    </row>
    <row r="164" spans="1:18" x14ac:dyDescent="0.35">
      <c r="A164" s="2" t="s">
        <v>3773</v>
      </c>
      <c r="B164" s="4">
        <v>44190</v>
      </c>
      <c r="C164" s="23">
        <f>Orders[[#This Row],[Order Date]]</f>
        <v>44190</v>
      </c>
      <c r="D164" s="2">
        <f>YEAR(Orders[[#This Row],[Order Date]])</f>
        <v>2020</v>
      </c>
      <c r="E164" s="2" t="s">
        <v>3774</v>
      </c>
      <c r="F164" t="s">
        <v>6176</v>
      </c>
      <c r="G164" s="20">
        <v>5</v>
      </c>
      <c r="H164" s="2" t="str">
        <f>INDEX(customers!$A$1:$I$1001,MATCH($E164,customers!$A$1:$A$1001,),MATCH($H$1,customers!$A$1:$I$1,0))</f>
        <v>Carney Clemencet</v>
      </c>
      <c r="I164" s="2" t="str">
        <f>IF(INDEX(customers!$A$1:$I$1001,MATCH($E164,customers!$A$1:$A$1001,0),3)=0,"",INDEX(customers!$A$1:$I$1001,MATCH($E164,customers!$A$1:$A$1001,0),3))</f>
        <v>cclemencetg5@weather.com</v>
      </c>
      <c r="J164" s="2" t="str">
        <f>_xlfn.XLOOKUP(E164,customers!$A$1:$A$1001,customers!$G$1:$G$1001)</f>
        <v>United Kingdom</v>
      </c>
      <c r="K164" t="str">
        <f>INDEX(products!$A$1:$G$49,MATCH($F164,products!$A$1:$A$49,0),MATCH(K$1,products!$A$1:$G$1,0))</f>
        <v>Exc</v>
      </c>
      <c r="L164" t="str">
        <f>INDEX(products!$A$1:$G$49,MATCH($F164,products!$A$1:$A$49,0),MATCH(L$1,products!$A$1:$G$1,0))</f>
        <v>L</v>
      </c>
      <c r="M164" s="5">
        <f>INDEX(products!$A$1:$G$49,MATCH($F164,products!$A$1:$A$49,0),MATCH(M$1,products!$A$1:$G$1,0))</f>
        <v>0.5</v>
      </c>
      <c r="N164" s="7">
        <f>INDEX(products!$A$1:$G$49,MATCH($F164,products!$A$1:$A$49,0),MATCH(N$1,products!$A$1:$G$1,0))</f>
        <v>8.91</v>
      </c>
      <c r="O164" s="7">
        <f t="shared" si="2"/>
        <v>44.55</v>
      </c>
      <c r="P164" t="str" cm="1">
        <f t="array" ref="P164">_xlfn.IFS(K164="Rob","Robusta",K164="Exc","Excelsa",K164="Ara","Arabica",K164="Lib","Liberica")</f>
        <v>Excelsa</v>
      </c>
      <c r="Q164" t="str" cm="1">
        <f t="array" ref="Q164">_xlfn.IFS(L164="M","Medium",L164="L","Light",L164="D","Dark")</f>
        <v>Light</v>
      </c>
      <c r="R164" t="str">
        <f>_xlfn.XLOOKUP(Orders[[#This Row],[Customer ID]],customers!$A$1:$A$1001,customers!$I$1:$I$1001)</f>
        <v>Yes</v>
      </c>
    </row>
    <row r="165" spans="1:18" x14ac:dyDescent="0.35">
      <c r="A165" s="2" t="s">
        <v>3379</v>
      </c>
      <c r="B165" s="4">
        <v>44043</v>
      </c>
      <c r="C165" s="23">
        <f>Orders[[#This Row],[Order Date]]</f>
        <v>44043</v>
      </c>
      <c r="D165" s="2">
        <f>YEAR(Orders[[#This Row],[Order Date]])</f>
        <v>2020</v>
      </c>
      <c r="E165" s="2" t="s">
        <v>3380</v>
      </c>
      <c r="F165" t="s">
        <v>6152</v>
      </c>
      <c r="G165" s="20">
        <v>4</v>
      </c>
      <c r="H165" s="2" t="str">
        <f>INDEX(customers!$A$1:$I$1001,MATCH($E165,customers!$A$1:$A$1001,),MATCH($H$1,customers!$A$1:$I$1,0))</f>
        <v>Carolann Beine</v>
      </c>
      <c r="I165" s="2" t="str">
        <f>IF(INDEX(customers!$A$1:$I$1001,MATCH($E165,customers!$A$1:$A$1001,0),3)=0,"",INDEX(customers!$A$1:$I$1001,MATCH($E165,customers!$A$1:$A$1001,0),3))</f>
        <v>cbeinee7@xinhuanet.com</v>
      </c>
      <c r="J165" s="2" t="str">
        <f>_xlfn.XLOOKUP(E165,customers!$A$1:$A$1001,customers!$G$1:$G$1001)</f>
        <v>United States</v>
      </c>
      <c r="K165" t="str">
        <f>INDEX(products!$A$1:$G$49,MATCH($F165,products!$A$1:$A$49,0),MATCH(K$1,products!$A$1:$G$1,0))</f>
        <v>Ara</v>
      </c>
      <c r="L165" t="str">
        <f>INDEX(products!$A$1:$G$49,MATCH($F165,products!$A$1:$A$49,0),MATCH(L$1,products!$A$1:$G$1,0))</f>
        <v>M</v>
      </c>
      <c r="M165" s="5">
        <f>INDEX(products!$A$1:$G$49,MATCH($F165,products!$A$1:$A$49,0),MATCH(M$1,products!$A$1:$G$1,0))</f>
        <v>0.2</v>
      </c>
      <c r="N165" s="7">
        <f>INDEX(products!$A$1:$G$49,MATCH($F165,products!$A$1:$A$49,0),MATCH(N$1,products!$A$1:$G$1,0))</f>
        <v>3.375</v>
      </c>
      <c r="O165" s="7">
        <f t="shared" si="2"/>
        <v>13.5</v>
      </c>
      <c r="P165" t="str" cm="1">
        <f t="array" ref="P165">_xlfn.IFS(K165="Rob","Robusta",K165="Exc","Excelsa",K165="Ara","Arabica",K165="Lib","Liberica")</f>
        <v>Arabica</v>
      </c>
      <c r="Q165" t="str" cm="1">
        <f t="array" ref="Q165">_xlfn.IFS(L165="M","Medium",L165="L","Light",L165="D","Dark")</f>
        <v>Medium</v>
      </c>
      <c r="R165" t="str">
        <f>_xlfn.XLOOKUP(Orders[[#This Row],[Customer ID]],customers!$A$1:$A$1001,customers!$I$1:$I$1001)</f>
        <v>Yes</v>
      </c>
    </row>
    <row r="166" spans="1:18" x14ac:dyDescent="0.35">
      <c r="A166" s="2" t="s">
        <v>4080</v>
      </c>
      <c r="B166" s="4">
        <v>43487</v>
      </c>
      <c r="C166" s="23">
        <f>Orders[[#This Row],[Order Date]]</f>
        <v>43487</v>
      </c>
      <c r="D166" s="2">
        <f>YEAR(Orders[[#This Row],[Order Date]])</f>
        <v>2019</v>
      </c>
      <c r="E166" s="2" t="s">
        <v>4081</v>
      </c>
      <c r="F166" t="s">
        <v>6170</v>
      </c>
      <c r="G166" s="20">
        <v>6</v>
      </c>
      <c r="H166" s="2" t="str">
        <f>INDEX(customers!$A$1:$I$1001,MATCH($E166,customers!$A$1:$A$1001,),MATCH($H$1,customers!$A$1:$I$1,0))</f>
        <v>Carolee Winchcombe</v>
      </c>
      <c r="I166" s="2" t="str">
        <f>IF(INDEX(customers!$A$1:$I$1001,MATCH($E166,customers!$A$1:$A$1001,0),3)=0,"",INDEX(customers!$A$1:$I$1001,MATCH($E166,customers!$A$1:$A$1001,0),3))</f>
        <v>cwinchcombeho@jiathis.com</v>
      </c>
      <c r="J166" s="2" t="str">
        <f>_xlfn.XLOOKUP(E166,customers!$A$1:$A$1001,customers!$G$1:$G$1001)</f>
        <v>United States</v>
      </c>
      <c r="K166" t="str">
        <f>INDEX(products!$A$1:$G$49,MATCH($F166,products!$A$1:$A$49,0),MATCH(K$1,products!$A$1:$G$1,0))</f>
        <v>Lib</v>
      </c>
      <c r="L166" t="str">
        <f>INDEX(products!$A$1:$G$49,MATCH($F166,products!$A$1:$A$49,0),MATCH(L$1,products!$A$1:$G$1,0))</f>
        <v>L</v>
      </c>
      <c r="M166" s="5">
        <f>INDEX(products!$A$1:$G$49,MATCH($F166,products!$A$1:$A$49,0),MATCH(M$1,products!$A$1:$G$1,0))</f>
        <v>1</v>
      </c>
      <c r="N166" s="7">
        <f>INDEX(products!$A$1:$G$49,MATCH($F166,products!$A$1:$A$49,0),MATCH(N$1,products!$A$1:$G$1,0))</f>
        <v>15.85</v>
      </c>
      <c r="O166" s="7">
        <f t="shared" si="2"/>
        <v>95.1</v>
      </c>
      <c r="P166" t="str" cm="1">
        <f t="array" ref="P166">_xlfn.IFS(K166="Rob","Robusta",K166="Exc","Excelsa",K166="Ara","Arabica",K166="Lib","Liberica")</f>
        <v>Liberica</v>
      </c>
      <c r="Q166" t="str" cm="1">
        <f t="array" ref="Q166">_xlfn.IFS(L166="M","Medium",L166="L","Light",L166="D","Dark")</f>
        <v>Light</v>
      </c>
      <c r="R166" t="str">
        <f>_xlfn.XLOOKUP(Orders[[#This Row],[Customer ID]],customers!$A$1:$A$1001,customers!$I$1:$I$1001)</f>
        <v>Yes</v>
      </c>
    </row>
    <row r="167" spans="1:18" x14ac:dyDescent="0.35">
      <c r="A167" s="2" t="s">
        <v>2549</v>
      </c>
      <c r="B167" s="4">
        <v>44464</v>
      </c>
      <c r="C167" s="23">
        <f>Orders[[#This Row],[Order Date]]</f>
        <v>44464</v>
      </c>
      <c r="D167" s="2">
        <f>YEAR(Orders[[#This Row],[Order Date]])</f>
        <v>2021</v>
      </c>
      <c r="E167" s="2" t="s">
        <v>2550</v>
      </c>
      <c r="F167" t="s">
        <v>6169</v>
      </c>
      <c r="G167" s="20">
        <v>1</v>
      </c>
      <c r="H167" s="2" t="str">
        <f>INDEX(customers!$A$1:$I$1001,MATCH($E167,customers!$A$1:$A$1001,),MATCH($H$1,customers!$A$1:$I$1,0))</f>
        <v>Casi Gwinnett</v>
      </c>
      <c r="I167" s="2" t="str">
        <f>IF(INDEX(customers!$A$1:$I$1001,MATCH($E167,customers!$A$1:$A$1001,0),3)=0,"",INDEX(customers!$A$1:$I$1001,MATCH($E167,customers!$A$1:$A$1001,0),3))</f>
        <v>cgwinnetta5@behance.net</v>
      </c>
      <c r="J167" s="2" t="str">
        <f>_xlfn.XLOOKUP(E167,customers!$A$1:$A$1001,customers!$G$1:$G$1001)</f>
        <v>United States</v>
      </c>
      <c r="K167" t="str">
        <f>INDEX(products!$A$1:$G$49,MATCH($F167,products!$A$1:$A$49,0),MATCH(K$1,products!$A$1:$G$1,0))</f>
        <v>Lib</v>
      </c>
      <c r="L167" t="str">
        <f>INDEX(products!$A$1:$G$49,MATCH($F167,products!$A$1:$A$49,0),MATCH(L$1,products!$A$1:$G$1,0))</f>
        <v>D</v>
      </c>
      <c r="M167" s="5">
        <f>INDEX(products!$A$1:$G$49,MATCH($F167,products!$A$1:$A$49,0),MATCH(M$1,products!$A$1:$G$1,0))</f>
        <v>0.5</v>
      </c>
      <c r="N167" s="7">
        <f>INDEX(products!$A$1:$G$49,MATCH($F167,products!$A$1:$A$49,0),MATCH(N$1,products!$A$1:$G$1,0))</f>
        <v>7.77</v>
      </c>
      <c r="O167" s="7">
        <f t="shared" si="2"/>
        <v>7.77</v>
      </c>
      <c r="P167" t="str" cm="1">
        <f t="array" ref="P167">_xlfn.IFS(K167="Rob","Robusta",K167="Exc","Excelsa",K167="Ara","Arabica",K167="Lib","Liberica")</f>
        <v>Liberica</v>
      </c>
      <c r="Q167" t="str" cm="1">
        <f t="array" ref="Q167">_xlfn.IFS(L167="M","Medium",L167="L","Light",L167="D","Dark")</f>
        <v>Dark</v>
      </c>
      <c r="R167" t="str">
        <f>_xlfn.XLOOKUP(Orders[[#This Row],[Customer ID]],customers!$A$1:$A$1001,customers!$I$1:$I$1001)</f>
        <v>No</v>
      </c>
    </row>
    <row r="168" spans="1:18" x14ac:dyDescent="0.35">
      <c r="A168" s="2" t="s">
        <v>2142</v>
      </c>
      <c r="B168" s="4">
        <v>44275</v>
      </c>
      <c r="C168" s="23">
        <f>Orders[[#This Row],[Order Date]]</f>
        <v>44275</v>
      </c>
      <c r="D168" s="2">
        <f>YEAR(Orders[[#This Row],[Order Date]])</f>
        <v>2021</v>
      </c>
      <c r="E168" s="2" t="s">
        <v>2143</v>
      </c>
      <c r="F168" t="s">
        <v>6158</v>
      </c>
      <c r="G168" s="20">
        <v>5</v>
      </c>
      <c r="H168" s="2" t="str">
        <f>INDEX(customers!$A$1:$I$1001,MATCH($E168,customers!$A$1:$A$1001,),MATCH($H$1,customers!$A$1:$I$1,0))</f>
        <v>Cassie Pinkerton</v>
      </c>
      <c r="I168" s="2" t="str">
        <f>IF(INDEX(customers!$A$1:$I$1001,MATCH($E168,customers!$A$1:$A$1001,0),3)=0,"",INDEX(customers!$A$1:$I$1001,MATCH($E168,customers!$A$1:$A$1001,0),3))</f>
        <v>cpinkerton85@upenn.edu</v>
      </c>
      <c r="J168" s="2" t="str">
        <f>_xlfn.XLOOKUP(E168,customers!$A$1:$A$1001,customers!$G$1:$G$1001)</f>
        <v>United States</v>
      </c>
      <c r="K168" t="str">
        <f>INDEX(products!$A$1:$G$49,MATCH($F168,products!$A$1:$A$49,0),MATCH(K$1,products!$A$1:$G$1,0))</f>
        <v>Ara</v>
      </c>
      <c r="L168" t="str">
        <f>INDEX(products!$A$1:$G$49,MATCH($F168,products!$A$1:$A$49,0),MATCH(L$1,products!$A$1:$G$1,0))</f>
        <v>D</v>
      </c>
      <c r="M168" s="5">
        <f>INDEX(products!$A$1:$G$49,MATCH($F168,products!$A$1:$A$49,0),MATCH(M$1,products!$A$1:$G$1,0))</f>
        <v>0.5</v>
      </c>
      <c r="N168" s="7">
        <f>INDEX(products!$A$1:$G$49,MATCH($F168,products!$A$1:$A$49,0),MATCH(N$1,products!$A$1:$G$1,0))</f>
        <v>5.97</v>
      </c>
      <c r="O168" s="7">
        <f t="shared" si="2"/>
        <v>29.849999999999998</v>
      </c>
      <c r="P168" t="str" cm="1">
        <f t="array" ref="P168">_xlfn.IFS(K168="Rob","Robusta",K168="Exc","Excelsa",K168="Ara","Arabica",K168="Lib","Liberica")</f>
        <v>Arabica</v>
      </c>
      <c r="Q168" t="str" cm="1">
        <f t="array" ref="Q168">_xlfn.IFS(L168="M","Medium",L168="L","Light",L168="D","Dark")</f>
        <v>Dark</v>
      </c>
      <c r="R168" t="str">
        <f>_xlfn.XLOOKUP(Orders[[#This Row],[Customer ID]],customers!$A$1:$A$1001,customers!$I$1:$I$1001)</f>
        <v>No</v>
      </c>
    </row>
    <row r="169" spans="1:18" x14ac:dyDescent="0.35">
      <c r="A169" s="2" t="s">
        <v>2429</v>
      </c>
      <c r="B169" s="4">
        <v>44529</v>
      </c>
      <c r="C169" s="23">
        <f>Orders[[#This Row],[Order Date]]</f>
        <v>44529</v>
      </c>
      <c r="D169" s="2">
        <f>YEAR(Orders[[#This Row],[Order Date]])</f>
        <v>2021</v>
      </c>
      <c r="E169" s="2" t="s">
        <v>2430</v>
      </c>
      <c r="F169" t="s">
        <v>6138</v>
      </c>
      <c r="G169" s="20">
        <v>2</v>
      </c>
      <c r="H169" s="2" t="str">
        <f>INDEX(customers!$A$1:$I$1001,MATCH($E169,customers!$A$1:$A$1001,),MATCH($H$1,customers!$A$1:$I$1,0))</f>
        <v>Catarina Donn</v>
      </c>
      <c r="I169" s="2" t="str">
        <f>IF(INDEX(customers!$A$1:$I$1001,MATCH($E169,customers!$A$1:$A$1001,0),3)=0,"",INDEX(customers!$A$1:$I$1001,MATCH($E169,customers!$A$1:$A$1001,0),3))</f>
        <v/>
      </c>
      <c r="J169" s="2" t="str">
        <f>_xlfn.XLOOKUP(E169,customers!$A$1:$A$1001,customers!$G$1:$G$1001)</f>
        <v>Ireland</v>
      </c>
      <c r="K169" t="str">
        <f>INDEX(products!$A$1:$G$49,MATCH($F169,products!$A$1:$A$49,0),MATCH(K$1,products!$A$1:$G$1,0))</f>
        <v>Rob</v>
      </c>
      <c r="L169" t="str">
        <f>INDEX(products!$A$1:$G$49,MATCH($F169,products!$A$1:$A$49,0),MATCH(L$1,products!$A$1:$G$1,0))</f>
        <v>M</v>
      </c>
      <c r="M169" s="5">
        <f>INDEX(products!$A$1:$G$49,MATCH($F169,products!$A$1:$A$49,0),MATCH(M$1,products!$A$1:$G$1,0))</f>
        <v>1</v>
      </c>
      <c r="N169" s="7">
        <f>INDEX(products!$A$1:$G$49,MATCH($F169,products!$A$1:$A$49,0),MATCH(N$1,products!$A$1:$G$1,0))</f>
        <v>9.9499999999999993</v>
      </c>
      <c r="O169" s="7">
        <f t="shared" si="2"/>
        <v>19.899999999999999</v>
      </c>
      <c r="P169" t="str" cm="1">
        <f t="array" ref="P169">_xlfn.IFS(K169="Rob","Robusta",K169="Exc","Excelsa",K169="Ara","Arabica",K169="Lib","Liberica")</f>
        <v>Robusta</v>
      </c>
      <c r="Q169" t="str" cm="1">
        <f t="array" ref="Q169">_xlfn.IFS(L169="M","Medium",L169="L","Light",L169="D","Dark")</f>
        <v>Medium</v>
      </c>
      <c r="R169" t="str">
        <f>_xlfn.XLOOKUP(Orders[[#This Row],[Customer ID]],customers!$A$1:$A$1001,customers!$I$1:$I$1001)</f>
        <v>Yes</v>
      </c>
    </row>
    <row r="170" spans="1:18" x14ac:dyDescent="0.35">
      <c r="A170" s="2" t="s">
        <v>6106</v>
      </c>
      <c r="B170" s="4">
        <v>44244</v>
      </c>
      <c r="C170" s="23">
        <f>Orders[[#This Row],[Order Date]]</f>
        <v>44244</v>
      </c>
      <c r="D170" s="2">
        <f>YEAR(Orders[[#This Row],[Order Date]])</f>
        <v>2021</v>
      </c>
      <c r="E170" s="2" t="s">
        <v>6107</v>
      </c>
      <c r="F170" t="s">
        <v>6154</v>
      </c>
      <c r="G170" s="20">
        <v>3</v>
      </c>
      <c r="H170" s="2" t="str">
        <f>INDEX(customers!$A$1:$I$1001,MATCH($E170,customers!$A$1:$A$1001,),MATCH($H$1,customers!$A$1:$I$1,0))</f>
        <v>Catharine Scoines</v>
      </c>
      <c r="I170" s="2" t="str">
        <f>IF(INDEX(customers!$A$1:$I$1001,MATCH($E170,customers!$A$1:$A$1001,0),3)=0,"",INDEX(customers!$A$1:$I$1001,MATCH($E170,customers!$A$1:$A$1001,0),3))</f>
        <v/>
      </c>
      <c r="J170" s="2" t="str">
        <f>_xlfn.XLOOKUP(E170,customers!$A$1:$A$1001,customers!$G$1:$G$1001)</f>
        <v>Ireland</v>
      </c>
      <c r="K170" t="str">
        <f>INDEX(products!$A$1:$G$49,MATCH($F170,products!$A$1:$A$49,0),MATCH(K$1,products!$A$1:$G$1,0))</f>
        <v>Ara</v>
      </c>
      <c r="L170" t="str">
        <f>INDEX(products!$A$1:$G$49,MATCH($F170,products!$A$1:$A$49,0),MATCH(L$1,products!$A$1:$G$1,0))</f>
        <v>D</v>
      </c>
      <c r="M170" s="5">
        <f>INDEX(products!$A$1:$G$49,MATCH($F170,products!$A$1:$A$49,0),MATCH(M$1,products!$A$1:$G$1,0))</f>
        <v>0.2</v>
      </c>
      <c r="N170" s="7">
        <f>INDEX(products!$A$1:$G$49,MATCH($F170,products!$A$1:$A$49,0),MATCH(N$1,products!$A$1:$G$1,0))</f>
        <v>2.9849999999999999</v>
      </c>
      <c r="O170" s="7">
        <f t="shared" si="2"/>
        <v>8.9550000000000001</v>
      </c>
      <c r="P170" t="str" cm="1">
        <f t="array" ref="P170">_xlfn.IFS(K170="Rob","Robusta",K170="Exc","Excelsa",K170="Ara","Arabica",K170="Lib","Liberica")</f>
        <v>Arabica</v>
      </c>
      <c r="Q170" t="str" cm="1">
        <f t="array" ref="Q170">_xlfn.IFS(L170="M","Medium",L170="L","Light",L170="D","Dark")</f>
        <v>Dark</v>
      </c>
      <c r="R170" t="str">
        <f>_xlfn.XLOOKUP(Orders[[#This Row],[Customer ID]],customers!$A$1:$A$1001,customers!$I$1:$I$1001)</f>
        <v>No</v>
      </c>
    </row>
    <row r="171" spans="1:18" x14ac:dyDescent="0.35">
      <c r="A171" s="2" t="s">
        <v>5351</v>
      </c>
      <c r="B171" s="4">
        <v>44707</v>
      </c>
      <c r="C171" s="23">
        <f>Orders[[#This Row],[Order Date]]</f>
        <v>44707</v>
      </c>
      <c r="D171" s="2">
        <f>YEAR(Orders[[#This Row],[Order Date]])</f>
        <v>2022</v>
      </c>
      <c r="E171" s="2" t="s">
        <v>5352</v>
      </c>
      <c r="F171" t="s">
        <v>6175</v>
      </c>
      <c r="G171" s="20">
        <v>1</v>
      </c>
      <c r="H171" s="2" t="str">
        <f>INDEX(customers!$A$1:$I$1001,MATCH($E171,customers!$A$1:$A$1001,),MATCH($H$1,customers!$A$1:$I$1,0))</f>
        <v>Cece Inker</v>
      </c>
      <c r="I171" s="2" t="str">
        <f>IF(INDEX(customers!$A$1:$I$1001,MATCH($E171,customers!$A$1:$A$1001,0),3)=0,"",INDEX(customers!$A$1:$I$1001,MATCH($E171,customers!$A$1:$A$1001,0),3))</f>
        <v/>
      </c>
      <c r="J171" s="2" t="str">
        <f>_xlfn.XLOOKUP(E171,customers!$A$1:$A$1001,customers!$G$1:$G$1001)</f>
        <v>United States</v>
      </c>
      <c r="K171" t="str">
        <f>INDEX(products!$A$1:$G$49,MATCH($F171,products!$A$1:$A$49,0),MATCH(K$1,products!$A$1:$G$1,0))</f>
        <v>Ara</v>
      </c>
      <c r="L171" t="str">
        <f>INDEX(products!$A$1:$G$49,MATCH($F171,products!$A$1:$A$49,0),MATCH(L$1,products!$A$1:$G$1,0))</f>
        <v>M</v>
      </c>
      <c r="M171" s="5">
        <f>INDEX(products!$A$1:$G$49,MATCH($F171,products!$A$1:$A$49,0),MATCH(M$1,products!$A$1:$G$1,0))</f>
        <v>2.5</v>
      </c>
      <c r="N171" s="7">
        <f>INDEX(products!$A$1:$G$49,MATCH($F171,products!$A$1:$A$49,0),MATCH(N$1,products!$A$1:$G$1,0))</f>
        <v>25.874999999999996</v>
      </c>
      <c r="O171" s="7">
        <f t="shared" si="2"/>
        <v>25.874999999999996</v>
      </c>
      <c r="P171" t="str" cm="1">
        <f t="array" ref="P171">_xlfn.IFS(K171="Rob","Robusta",K171="Exc","Excelsa",K171="Ara","Arabica",K171="Lib","Liberica")</f>
        <v>Arabica</v>
      </c>
      <c r="Q171" t="str" cm="1">
        <f t="array" ref="Q171">_xlfn.IFS(L171="M","Medium",L171="L","Light",L171="D","Dark")</f>
        <v>Medium</v>
      </c>
      <c r="R171" t="str">
        <f>_xlfn.XLOOKUP(Orders[[#This Row],[Customer ID]],customers!$A$1:$A$1001,customers!$I$1:$I$1001)</f>
        <v>No</v>
      </c>
    </row>
    <row r="172" spans="1:18" x14ac:dyDescent="0.35">
      <c r="A172" s="2" t="s">
        <v>4274</v>
      </c>
      <c r="B172" s="4">
        <v>43606</v>
      </c>
      <c r="C172" s="23">
        <f>Orders[[#This Row],[Order Date]]</f>
        <v>43606</v>
      </c>
      <c r="D172" s="2">
        <f>YEAR(Orders[[#This Row],[Order Date]])</f>
        <v>2019</v>
      </c>
      <c r="E172" s="2" t="s">
        <v>4275</v>
      </c>
      <c r="F172" t="s">
        <v>6159</v>
      </c>
      <c r="G172" s="20">
        <v>3</v>
      </c>
      <c r="H172" s="2" t="str">
        <f>INDEX(customers!$A$1:$I$1001,MATCH($E172,customers!$A$1:$A$1001,),MATCH($H$1,customers!$A$1:$I$1,0))</f>
        <v>Cecil Weatherall</v>
      </c>
      <c r="I172" s="2" t="str">
        <f>IF(INDEX(customers!$A$1:$I$1001,MATCH($E172,customers!$A$1:$A$1001,0),3)=0,"",INDEX(customers!$A$1:$I$1001,MATCH($E172,customers!$A$1:$A$1001,0),3))</f>
        <v>cweatherallim@toplist.cz</v>
      </c>
      <c r="J172" s="2" t="str">
        <f>_xlfn.XLOOKUP(E172,customers!$A$1:$A$1001,customers!$G$1:$G$1001)</f>
        <v>United States</v>
      </c>
      <c r="K172" t="str">
        <f>INDEX(products!$A$1:$G$49,MATCH($F172,products!$A$1:$A$49,0),MATCH(K$1,products!$A$1:$G$1,0))</f>
        <v>Lib</v>
      </c>
      <c r="L172" t="str">
        <f>INDEX(products!$A$1:$G$49,MATCH($F172,products!$A$1:$A$49,0),MATCH(L$1,products!$A$1:$G$1,0))</f>
        <v>M</v>
      </c>
      <c r="M172" s="5">
        <f>INDEX(products!$A$1:$G$49,MATCH($F172,products!$A$1:$A$49,0),MATCH(M$1,products!$A$1:$G$1,0))</f>
        <v>0.2</v>
      </c>
      <c r="N172" s="7">
        <f>INDEX(products!$A$1:$G$49,MATCH($F172,products!$A$1:$A$49,0),MATCH(N$1,products!$A$1:$G$1,0))</f>
        <v>4.3650000000000002</v>
      </c>
      <c r="O172" s="7">
        <f t="shared" si="2"/>
        <v>13.095000000000001</v>
      </c>
      <c r="P172" t="str" cm="1">
        <f t="array" ref="P172">_xlfn.IFS(K172="Rob","Robusta",K172="Exc","Excelsa",K172="Ara","Arabica",K172="Lib","Liberica")</f>
        <v>Liberica</v>
      </c>
      <c r="Q172" t="str" cm="1">
        <f t="array" ref="Q172">_xlfn.IFS(L172="M","Medium",L172="L","Light",L172="D","Dark")</f>
        <v>Medium</v>
      </c>
      <c r="R172" t="str">
        <f>_xlfn.XLOOKUP(Orders[[#This Row],[Customer ID]],customers!$A$1:$A$1001,customers!$I$1:$I$1001)</f>
        <v>Yes</v>
      </c>
    </row>
    <row r="173" spans="1:18" x14ac:dyDescent="0.35">
      <c r="A173" s="2" t="s">
        <v>4163</v>
      </c>
      <c r="B173" s="4">
        <v>43507</v>
      </c>
      <c r="C173" s="23">
        <f>Orders[[#This Row],[Order Date]]</f>
        <v>43507</v>
      </c>
      <c r="D173" s="2">
        <f>YEAR(Orders[[#This Row],[Order Date]])</f>
        <v>2019</v>
      </c>
      <c r="E173" s="2" t="s">
        <v>4164</v>
      </c>
      <c r="F173" t="s">
        <v>6172</v>
      </c>
      <c r="G173" s="20">
        <v>1</v>
      </c>
      <c r="H173" s="2" t="str">
        <f>INDEX(customers!$A$1:$I$1001,MATCH($E173,customers!$A$1:$A$1001,),MATCH($H$1,customers!$A$1:$I$1,0))</f>
        <v>Cecily Stebbings</v>
      </c>
      <c r="I173" s="2" t="str">
        <f>IF(INDEX(customers!$A$1:$I$1001,MATCH($E173,customers!$A$1:$A$1001,0),3)=0,"",INDEX(customers!$A$1:$I$1001,MATCH($E173,customers!$A$1:$A$1001,0),3))</f>
        <v>cstebbingsi2@drupal.org</v>
      </c>
      <c r="J173" s="2" t="str">
        <f>_xlfn.XLOOKUP(E173,customers!$A$1:$A$1001,customers!$G$1:$G$1001)</f>
        <v>United States</v>
      </c>
      <c r="K173" t="str">
        <f>INDEX(products!$A$1:$G$49,MATCH($F173,products!$A$1:$A$49,0),MATCH(K$1,products!$A$1:$G$1,0))</f>
        <v>Rob</v>
      </c>
      <c r="L173" t="str">
        <f>INDEX(products!$A$1:$G$49,MATCH($F173,products!$A$1:$A$49,0),MATCH(L$1,products!$A$1:$G$1,0))</f>
        <v>D</v>
      </c>
      <c r="M173" s="5">
        <f>INDEX(products!$A$1:$G$49,MATCH($F173,products!$A$1:$A$49,0),MATCH(M$1,products!$A$1:$G$1,0))</f>
        <v>0.5</v>
      </c>
      <c r="N173" s="7">
        <f>INDEX(products!$A$1:$G$49,MATCH($F173,products!$A$1:$A$49,0),MATCH(N$1,products!$A$1:$G$1,0))</f>
        <v>5.3699999999999992</v>
      </c>
      <c r="O173" s="7">
        <f t="shared" si="2"/>
        <v>5.3699999999999992</v>
      </c>
      <c r="P173" t="str" cm="1">
        <f t="array" ref="P173">_xlfn.IFS(K173="Rob","Robusta",K173="Exc","Excelsa",K173="Ara","Arabica",K173="Lib","Liberica")</f>
        <v>Robusta</v>
      </c>
      <c r="Q173" t="str" cm="1">
        <f t="array" ref="Q173">_xlfn.IFS(L173="M","Medium",L173="L","Light",L173="D","Dark")</f>
        <v>Dark</v>
      </c>
      <c r="R173" t="str">
        <f>_xlfn.XLOOKUP(Orders[[#This Row],[Customer ID]],customers!$A$1:$A$1001,customers!$I$1:$I$1001)</f>
        <v>Yes</v>
      </c>
    </row>
    <row r="174" spans="1:18" x14ac:dyDescent="0.35">
      <c r="A174" s="2" t="s">
        <v>5531</v>
      </c>
      <c r="B174" s="4">
        <v>44469</v>
      </c>
      <c r="C174" s="23">
        <f>Orders[[#This Row],[Order Date]]</f>
        <v>44469</v>
      </c>
      <c r="D174" s="2">
        <f>YEAR(Orders[[#This Row],[Order Date]])</f>
        <v>2021</v>
      </c>
      <c r="E174" s="2" t="s">
        <v>5532</v>
      </c>
      <c r="F174" t="s">
        <v>6168</v>
      </c>
      <c r="G174" s="20">
        <v>5</v>
      </c>
      <c r="H174" s="2" t="str">
        <f>INDEX(customers!$A$1:$I$1001,MATCH($E174,customers!$A$1:$A$1001,),MATCH($H$1,customers!$A$1:$I$1,0))</f>
        <v>Celestia Dolohunty</v>
      </c>
      <c r="I174" s="2" t="str">
        <f>IF(INDEX(customers!$A$1:$I$1001,MATCH($E174,customers!$A$1:$A$1001,0),3)=0,"",INDEX(customers!$A$1:$I$1001,MATCH($E174,customers!$A$1:$A$1001,0),3))</f>
        <v>cdolohuntyor@dailymail.co.uk</v>
      </c>
      <c r="J174" s="2" t="str">
        <f>_xlfn.XLOOKUP(E174,customers!$A$1:$A$1001,customers!$G$1:$G$1001)</f>
        <v>United States</v>
      </c>
      <c r="K174" t="str">
        <f>INDEX(products!$A$1:$G$49,MATCH($F174,products!$A$1:$A$49,0),MATCH(K$1,products!$A$1:$G$1,0))</f>
        <v>Ara</v>
      </c>
      <c r="L174" t="str">
        <f>INDEX(products!$A$1:$G$49,MATCH($F174,products!$A$1:$A$49,0),MATCH(L$1,products!$A$1:$G$1,0))</f>
        <v>D</v>
      </c>
      <c r="M174" s="5">
        <f>INDEX(products!$A$1:$G$49,MATCH($F174,products!$A$1:$A$49,0),MATCH(M$1,products!$A$1:$G$1,0))</f>
        <v>2.5</v>
      </c>
      <c r="N174" s="7">
        <f>INDEX(products!$A$1:$G$49,MATCH($F174,products!$A$1:$A$49,0),MATCH(N$1,products!$A$1:$G$1,0))</f>
        <v>22.884999999999998</v>
      </c>
      <c r="O174" s="7">
        <f t="shared" si="2"/>
        <v>114.42499999999998</v>
      </c>
      <c r="P174" t="str" cm="1">
        <f t="array" ref="P174">_xlfn.IFS(K174="Rob","Robusta",K174="Exc","Excelsa",K174="Ara","Arabica",K174="Lib","Liberica")</f>
        <v>Arabica</v>
      </c>
      <c r="Q174" t="str" cm="1">
        <f t="array" ref="Q174">_xlfn.IFS(L174="M","Medium",L174="L","Light",L174="D","Dark")</f>
        <v>Dark</v>
      </c>
      <c r="R174" t="str">
        <f>_xlfn.XLOOKUP(Orders[[#This Row],[Customer ID]],customers!$A$1:$A$1001,customers!$I$1:$I$1001)</f>
        <v>Yes</v>
      </c>
    </row>
    <row r="175" spans="1:18" x14ac:dyDescent="0.35">
      <c r="A175" s="2" t="s">
        <v>3385</v>
      </c>
      <c r="B175" s="4">
        <v>43535</v>
      </c>
      <c r="C175" s="23">
        <f>Orders[[#This Row],[Order Date]]</f>
        <v>43535</v>
      </c>
      <c r="D175" s="2">
        <f>YEAR(Orders[[#This Row],[Order Date]])</f>
        <v>2019</v>
      </c>
      <c r="E175" s="2" t="s">
        <v>3386</v>
      </c>
      <c r="F175" t="s">
        <v>6170</v>
      </c>
      <c r="G175" s="20">
        <v>3</v>
      </c>
      <c r="H175" s="2" t="str">
        <f>INDEX(customers!$A$1:$I$1001,MATCH($E175,customers!$A$1:$A$1001,),MATCH($H$1,customers!$A$1:$I$1,0))</f>
        <v>Celia Bakeup</v>
      </c>
      <c r="I175" s="2" t="str">
        <f>IF(INDEX(customers!$A$1:$I$1001,MATCH($E175,customers!$A$1:$A$1001,0),3)=0,"",INDEX(customers!$A$1:$I$1001,MATCH($E175,customers!$A$1:$A$1001,0),3))</f>
        <v>cbakeupe8@globo.com</v>
      </c>
      <c r="J175" s="2" t="str">
        <f>_xlfn.XLOOKUP(E175,customers!$A$1:$A$1001,customers!$G$1:$G$1001)</f>
        <v>United States</v>
      </c>
      <c r="K175" t="str">
        <f>INDEX(products!$A$1:$G$49,MATCH($F175,products!$A$1:$A$49,0),MATCH(K$1,products!$A$1:$G$1,0))</f>
        <v>Lib</v>
      </c>
      <c r="L175" t="str">
        <f>INDEX(products!$A$1:$G$49,MATCH($F175,products!$A$1:$A$49,0),MATCH(L$1,products!$A$1:$G$1,0))</f>
        <v>L</v>
      </c>
      <c r="M175" s="5">
        <f>INDEX(products!$A$1:$G$49,MATCH($F175,products!$A$1:$A$49,0),MATCH(M$1,products!$A$1:$G$1,0))</f>
        <v>1</v>
      </c>
      <c r="N175" s="7">
        <f>INDEX(products!$A$1:$G$49,MATCH($F175,products!$A$1:$A$49,0),MATCH(N$1,products!$A$1:$G$1,0))</f>
        <v>15.85</v>
      </c>
      <c r="O175" s="7">
        <f t="shared" si="2"/>
        <v>47.55</v>
      </c>
      <c r="P175" t="str" cm="1">
        <f t="array" ref="P175">_xlfn.IFS(K175="Rob","Robusta",K175="Exc","Excelsa",K175="Ara","Arabica",K175="Lib","Liberica")</f>
        <v>Liberica</v>
      </c>
      <c r="Q175" t="str" cm="1">
        <f t="array" ref="Q175">_xlfn.IFS(L175="M","Medium",L175="L","Light",L175="D","Dark")</f>
        <v>Light</v>
      </c>
      <c r="R175" t="str">
        <f>_xlfn.XLOOKUP(Orders[[#This Row],[Customer ID]],customers!$A$1:$A$1001,customers!$I$1:$I$1001)</f>
        <v>No</v>
      </c>
    </row>
    <row r="176" spans="1:18" x14ac:dyDescent="0.35">
      <c r="A176" s="2" t="s">
        <v>5715</v>
      </c>
      <c r="B176" s="4">
        <v>44451</v>
      </c>
      <c r="C176" s="23">
        <f>Orders[[#This Row],[Order Date]]</f>
        <v>44451</v>
      </c>
      <c r="D176" s="2">
        <f>YEAR(Orders[[#This Row],[Order Date]])</f>
        <v>2021</v>
      </c>
      <c r="E176" s="2" t="s">
        <v>5716</v>
      </c>
      <c r="F176" t="s">
        <v>6182</v>
      </c>
      <c r="G176" s="20">
        <v>3</v>
      </c>
      <c r="H176" s="2" t="str">
        <f>INDEX(customers!$A$1:$I$1001,MATCH($E176,customers!$A$1:$A$1001,),MATCH($H$1,customers!$A$1:$I$1,0))</f>
        <v>Celie MacCourt</v>
      </c>
      <c r="I176" s="2" t="str">
        <f>IF(INDEX(customers!$A$1:$I$1001,MATCH($E176,customers!$A$1:$A$1001,0),3)=0,"",INDEX(customers!$A$1:$I$1001,MATCH($E176,customers!$A$1:$A$1001,0),3))</f>
        <v>cmaccourtpo@amazon.com</v>
      </c>
      <c r="J176" s="2" t="str">
        <f>_xlfn.XLOOKUP(E176,customers!$A$1:$A$1001,customers!$G$1:$G$1001)</f>
        <v>United States</v>
      </c>
      <c r="K176" t="str">
        <f>INDEX(products!$A$1:$G$49,MATCH($F176,products!$A$1:$A$49,0),MATCH(K$1,products!$A$1:$G$1,0))</f>
        <v>Ara</v>
      </c>
      <c r="L176" t="str">
        <f>INDEX(products!$A$1:$G$49,MATCH($F176,products!$A$1:$A$49,0),MATCH(L$1,products!$A$1:$G$1,0))</f>
        <v>L</v>
      </c>
      <c r="M176" s="5">
        <f>INDEX(products!$A$1:$G$49,MATCH($F176,products!$A$1:$A$49,0),MATCH(M$1,products!$A$1:$G$1,0))</f>
        <v>2.5</v>
      </c>
      <c r="N176" s="7">
        <f>INDEX(products!$A$1:$G$49,MATCH($F176,products!$A$1:$A$49,0),MATCH(N$1,products!$A$1:$G$1,0))</f>
        <v>29.784999999999997</v>
      </c>
      <c r="O176" s="7">
        <f t="shared" si="2"/>
        <v>89.35499999999999</v>
      </c>
      <c r="P176" t="str" cm="1">
        <f t="array" ref="P176">_xlfn.IFS(K176="Rob","Robusta",K176="Exc","Excelsa",K176="Ara","Arabica",K176="Lib","Liberica")</f>
        <v>Arabica</v>
      </c>
      <c r="Q176" t="str" cm="1">
        <f t="array" ref="Q176">_xlfn.IFS(L176="M","Medium",L176="L","Light",L176="D","Dark")</f>
        <v>Light</v>
      </c>
      <c r="R176" t="str">
        <f>_xlfn.XLOOKUP(Orders[[#This Row],[Customer ID]],customers!$A$1:$A$1001,customers!$I$1:$I$1001)</f>
        <v>No</v>
      </c>
    </row>
    <row r="177" spans="1:18" x14ac:dyDescent="0.35">
      <c r="A177" s="2" t="s">
        <v>5915</v>
      </c>
      <c r="B177" s="4">
        <v>44591</v>
      </c>
      <c r="C177" s="23">
        <f>Orders[[#This Row],[Order Date]]</f>
        <v>44591</v>
      </c>
      <c r="D177" s="2">
        <f>YEAR(Orders[[#This Row],[Order Date]])</f>
        <v>2022</v>
      </c>
      <c r="E177" s="2" t="s">
        <v>5916</v>
      </c>
      <c r="F177" t="s">
        <v>6170</v>
      </c>
      <c r="G177" s="20">
        <v>5</v>
      </c>
      <c r="H177" s="2" t="str">
        <f>INDEX(customers!$A$1:$I$1001,MATCH($E177,customers!$A$1:$A$1001,),MATCH($H$1,customers!$A$1:$I$1,0))</f>
        <v>Chad Miguel</v>
      </c>
      <c r="I177" s="2" t="str">
        <f>IF(INDEX(customers!$A$1:$I$1001,MATCH($E177,customers!$A$1:$A$1001,0),3)=0,"",INDEX(customers!$A$1:$I$1001,MATCH($E177,customers!$A$1:$A$1001,0),3))</f>
        <v>cmiguelqo@exblog.jp</v>
      </c>
      <c r="J177" s="2" t="str">
        <f>_xlfn.XLOOKUP(E177,customers!$A$1:$A$1001,customers!$G$1:$G$1001)</f>
        <v>United States</v>
      </c>
      <c r="K177" t="str">
        <f>INDEX(products!$A$1:$G$49,MATCH($F177,products!$A$1:$A$49,0),MATCH(K$1,products!$A$1:$G$1,0))</f>
        <v>Lib</v>
      </c>
      <c r="L177" t="str">
        <f>INDEX(products!$A$1:$G$49,MATCH($F177,products!$A$1:$A$49,0),MATCH(L$1,products!$A$1:$G$1,0))</f>
        <v>L</v>
      </c>
      <c r="M177" s="5">
        <f>INDEX(products!$A$1:$G$49,MATCH($F177,products!$A$1:$A$49,0),MATCH(M$1,products!$A$1:$G$1,0))</f>
        <v>1</v>
      </c>
      <c r="N177" s="7">
        <f>INDEX(products!$A$1:$G$49,MATCH($F177,products!$A$1:$A$49,0),MATCH(N$1,products!$A$1:$G$1,0))</f>
        <v>15.85</v>
      </c>
      <c r="O177" s="7">
        <f t="shared" si="2"/>
        <v>79.25</v>
      </c>
      <c r="P177" t="str" cm="1">
        <f t="array" ref="P177">_xlfn.IFS(K177="Rob","Robusta",K177="Exc","Excelsa",K177="Ara","Arabica",K177="Lib","Liberica")</f>
        <v>Liberica</v>
      </c>
      <c r="Q177" t="str" cm="1">
        <f t="array" ref="Q177">_xlfn.IFS(L177="M","Medium",L177="L","Light",L177="D","Dark")</f>
        <v>Light</v>
      </c>
      <c r="R177" t="str">
        <f>_xlfn.XLOOKUP(Orders[[#This Row],[Customer ID]],customers!$A$1:$A$1001,customers!$I$1:$I$1001)</f>
        <v>Yes</v>
      </c>
    </row>
    <row r="178" spans="1:18" x14ac:dyDescent="0.35">
      <c r="A178" s="2" t="s">
        <v>5062</v>
      </c>
      <c r="B178" s="4">
        <v>44235</v>
      </c>
      <c r="C178" s="23">
        <f>Orders[[#This Row],[Order Date]]</f>
        <v>44235</v>
      </c>
      <c r="D178" s="2">
        <f>YEAR(Orders[[#This Row],[Order Date]])</f>
        <v>2021</v>
      </c>
      <c r="E178" s="2" t="s">
        <v>5063</v>
      </c>
      <c r="F178" t="s">
        <v>6163</v>
      </c>
      <c r="G178" s="20">
        <v>3</v>
      </c>
      <c r="H178" s="2" t="str">
        <f>INDEX(customers!$A$1:$I$1001,MATCH($E178,customers!$A$1:$A$1001,),MATCH($H$1,customers!$A$1:$I$1,0))</f>
        <v>Chaddie Bennie</v>
      </c>
      <c r="I178" s="2" t="str">
        <f>IF(INDEX(customers!$A$1:$I$1001,MATCH($E178,customers!$A$1:$A$1001,0),3)=0,"",INDEX(customers!$A$1:$I$1001,MATCH($E178,customers!$A$1:$A$1001,0),3))</f>
        <v/>
      </c>
      <c r="J178" s="2" t="str">
        <f>_xlfn.XLOOKUP(E178,customers!$A$1:$A$1001,customers!$G$1:$G$1001)</f>
        <v>United States</v>
      </c>
      <c r="K178" t="str">
        <f>INDEX(products!$A$1:$G$49,MATCH($F178,products!$A$1:$A$49,0),MATCH(K$1,products!$A$1:$G$1,0))</f>
        <v>Rob</v>
      </c>
      <c r="L178" t="str">
        <f>INDEX(products!$A$1:$G$49,MATCH($F178,products!$A$1:$A$49,0),MATCH(L$1,products!$A$1:$G$1,0))</f>
        <v>D</v>
      </c>
      <c r="M178" s="5">
        <f>INDEX(products!$A$1:$G$49,MATCH($F178,products!$A$1:$A$49,0),MATCH(M$1,products!$A$1:$G$1,0))</f>
        <v>0.2</v>
      </c>
      <c r="N178" s="7">
        <f>INDEX(products!$A$1:$G$49,MATCH($F178,products!$A$1:$A$49,0),MATCH(N$1,products!$A$1:$G$1,0))</f>
        <v>2.6849999999999996</v>
      </c>
      <c r="O178" s="7">
        <f t="shared" si="2"/>
        <v>8.0549999999999997</v>
      </c>
      <c r="P178" t="str" cm="1">
        <f t="array" ref="P178">_xlfn.IFS(K178="Rob","Robusta",K178="Exc","Excelsa",K178="Ara","Arabica",K178="Lib","Liberica")</f>
        <v>Robusta</v>
      </c>
      <c r="Q178" t="str" cm="1">
        <f t="array" ref="Q178">_xlfn.IFS(L178="M","Medium",L178="L","Light",L178="D","Dark")</f>
        <v>Dark</v>
      </c>
      <c r="R178" t="str">
        <f>_xlfn.XLOOKUP(Orders[[#This Row],[Customer ID]],customers!$A$1:$A$1001,customers!$I$1:$I$1001)</f>
        <v>Yes</v>
      </c>
    </row>
    <row r="179" spans="1:18" x14ac:dyDescent="0.35">
      <c r="A179" s="2" t="s">
        <v>2939</v>
      </c>
      <c r="B179" s="4">
        <v>44528</v>
      </c>
      <c r="C179" s="23">
        <f>Orders[[#This Row],[Order Date]]</f>
        <v>44528</v>
      </c>
      <c r="D179" s="2">
        <f>YEAR(Orders[[#This Row],[Order Date]])</f>
        <v>2021</v>
      </c>
      <c r="E179" s="2" t="s">
        <v>2940</v>
      </c>
      <c r="F179" t="s">
        <v>6139</v>
      </c>
      <c r="G179" s="20">
        <v>1</v>
      </c>
      <c r="H179" s="2" t="str">
        <f>INDEX(customers!$A$1:$I$1001,MATCH($E179,customers!$A$1:$A$1001,),MATCH($H$1,customers!$A$1:$I$1,0))</f>
        <v>Chance Rowthorn</v>
      </c>
      <c r="I179" s="2" t="str">
        <f>IF(INDEX(customers!$A$1:$I$1001,MATCH($E179,customers!$A$1:$A$1001,0),3)=0,"",INDEX(customers!$A$1:$I$1001,MATCH($E179,customers!$A$1:$A$1001,0),3))</f>
        <v>crowthornc3@msn.com</v>
      </c>
      <c r="J179" s="2" t="str">
        <f>_xlfn.XLOOKUP(E179,customers!$A$1:$A$1001,customers!$G$1:$G$1001)</f>
        <v>United States</v>
      </c>
      <c r="K179" t="str">
        <f>INDEX(products!$A$1:$G$49,MATCH($F179,products!$A$1:$A$49,0),MATCH(K$1,products!$A$1:$G$1,0))</f>
        <v>Exc</v>
      </c>
      <c r="L179" t="str">
        <f>INDEX(products!$A$1:$G$49,MATCH($F179,products!$A$1:$A$49,0),MATCH(L$1,products!$A$1:$G$1,0))</f>
        <v>M</v>
      </c>
      <c r="M179" s="5">
        <f>INDEX(products!$A$1:$G$49,MATCH($F179,products!$A$1:$A$49,0),MATCH(M$1,products!$A$1:$G$1,0))</f>
        <v>0.5</v>
      </c>
      <c r="N179" s="7">
        <f>INDEX(products!$A$1:$G$49,MATCH($F179,products!$A$1:$A$49,0),MATCH(N$1,products!$A$1:$G$1,0))</f>
        <v>8.25</v>
      </c>
      <c r="O179" s="7">
        <f t="shared" si="2"/>
        <v>8.25</v>
      </c>
      <c r="P179" t="str" cm="1">
        <f t="array" ref="P179">_xlfn.IFS(K179="Rob","Robusta",K179="Exc","Excelsa",K179="Ara","Arabica",K179="Lib","Liberica")</f>
        <v>Excelsa</v>
      </c>
      <c r="Q179" t="str" cm="1">
        <f t="array" ref="Q179">_xlfn.IFS(L179="M","Medium",L179="L","Light",L179="D","Dark")</f>
        <v>Medium</v>
      </c>
      <c r="R179" t="str">
        <f>_xlfn.XLOOKUP(Orders[[#This Row],[Customer ID]],customers!$A$1:$A$1001,customers!$I$1:$I$1001)</f>
        <v>No</v>
      </c>
    </row>
    <row r="180" spans="1:18" x14ac:dyDescent="0.35">
      <c r="A180" s="2" t="s">
        <v>3413</v>
      </c>
      <c r="B180" s="4">
        <v>44678</v>
      </c>
      <c r="C180" s="23">
        <f>Orders[[#This Row],[Order Date]]</f>
        <v>44678</v>
      </c>
      <c r="D180" s="2">
        <f>YEAR(Orders[[#This Row],[Order Date]])</f>
        <v>2022</v>
      </c>
      <c r="E180" s="2" t="s">
        <v>3414</v>
      </c>
      <c r="F180" t="s">
        <v>6150</v>
      </c>
      <c r="G180" s="20">
        <v>2</v>
      </c>
      <c r="H180" s="2" t="str">
        <f>INDEX(customers!$A$1:$I$1001,MATCH($E180,customers!$A$1:$A$1001,),MATCH($H$1,customers!$A$1:$I$1,0))</f>
        <v>Channa Belamy</v>
      </c>
      <c r="I180" s="2" t="str">
        <f>IF(INDEX(customers!$A$1:$I$1001,MATCH($E180,customers!$A$1:$A$1001,0),3)=0,"",INDEX(customers!$A$1:$I$1001,MATCH($E180,customers!$A$1:$A$1001,0),3))</f>
        <v/>
      </c>
      <c r="J180" s="2" t="str">
        <f>_xlfn.XLOOKUP(E180,customers!$A$1:$A$1001,customers!$G$1:$G$1001)</f>
        <v>United States</v>
      </c>
      <c r="K180" t="str">
        <f>INDEX(products!$A$1:$G$49,MATCH($F180,products!$A$1:$A$49,0),MATCH(K$1,products!$A$1:$G$1,0))</f>
        <v>Lib</v>
      </c>
      <c r="L180" t="str">
        <f>INDEX(products!$A$1:$G$49,MATCH($F180,products!$A$1:$A$49,0),MATCH(L$1,products!$A$1:$G$1,0))</f>
        <v>D</v>
      </c>
      <c r="M180" s="5">
        <f>INDEX(products!$A$1:$G$49,MATCH($F180,products!$A$1:$A$49,0),MATCH(M$1,products!$A$1:$G$1,0))</f>
        <v>0.2</v>
      </c>
      <c r="N180" s="7">
        <f>INDEX(products!$A$1:$G$49,MATCH($F180,products!$A$1:$A$49,0),MATCH(N$1,products!$A$1:$G$1,0))</f>
        <v>3.8849999999999998</v>
      </c>
      <c r="O180" s="7">
        <f t="shared" si="2"/>
        <v>7.77</v>
      </c>
      <c r="P180" t="str" cm="1">
        <f t="array" ref="P180">_xlfn.IFS(K180="Rob","Robusta",K180="Exc","Excelsa",K180="Ara","Arabica",K180="Lib","Liberica")</f>
        <v>Liberica</v>
      </c>
      <c r="Q180" t="str" cm="1">
        <f t="array" ref="Q180">_xlfn.IFS(L180="M","Medium",L180="L","Light",L180="D","Dark")</f>
        <v>Dark</v>
      </c>
      <c r="R180" t="str">
        <f>_xlfn.XLOOKUP(Orders[[#This Row],[Customer ID]],customers!$A$1:$A$1001,customers!$I$1:$I$1001)</f>
        <v>No</v>
      </c>
    </row>
    <row r="181" spans="1:18" x14ac:dyDescent="0.35">
      <c r="A181" s="2" t="s">
        <v>3300</v>
      </c>
      <c r="B181" s="4">
        <v>44351</v>
      </c>
      <c r="C181" s="23">
        <f>Orders[[#This Row],[Order Date]]</f>
        <v>44351</v>
      </c>
      <c r="D181" s="2">
        <f>YEAR(Orders[[#This Row],[Order Date]])</f>
        <v>2021</v>
      </c>
      <c r="E181" s="2" t="s">
        <v>3301</v>
      </c>
      <c r="F181" t="s">
        <v>6147</v>
      </c>
      <c r="G181" s="20">
        <v>4</v>
      </c>
      <c r="H181" s="2" t="str">
        <f>INDEX(customers!$A$1:$I$1001,MATCH($E181,customers!$A$1:$A$1001,),MATCH($H$1,customers!$A$1:$I$1,0))</f>
        <v>Chantal Mersh</v>
      </c>
      <c r="I181" s="2" t="str">
        <f>IF(INDEX(customers!$A$1:$I$1001,MATCH($E181,customers!$A$1:$A$1001,0),3)=0,"",INDEX(customers!$A$1:$I$1001,MATCH($E181,customers!$A$1:$A$1001,0),3))</f>
        <v>cmershdt@drupal.org</v>
      </c>
      <c r="J181" s="2" t="str">
        <f>_xlfn.XLOOKUP(E181,customers!$A$1:$A$1001,customers!$G$1:$G$1001)</f>
        <v>Ireland</v>
      </c>
      <c r="K181" t="str">
        <f>INDEX(products!$A$1:$G$49,MATCH($F181,products!$A$1:$A$49,0),MATCH(K$1,products!$A$1:$G$1,0))</f>
        <v>Ara</v>
      </c>
      <c r="L181" t="str">
        <f>INDEX(products!$A$1:$G$49,MATCH($F181,products!$A$1:$A$49,0),MATCH(L$1,products!$A$1:$G$1,0))</f>
        <v>D</v>
      </c>
      <c r="M181" s="5">
        <f>INDEX(products!$A$1:$G$49,MATCH($F181,products!$A$1:$A$49,0),MATCH(M$1,products!$A$1:$G$1,0))</f>
        <v>1</v>
      </c>
      <c r="N181" s="7">
        <f>INDEX(products!$A$1:$G$49,MATCH($F181,products!$A$1:$A$49,0),MATCH(N$1,products!$A$1:$G$1,0))</f>
        <v>9.9499999999999993</v>
      </c>
      <c r="O181" s="7">
        <f t="shared" si="2"/>
        <v>39.799999999999997</v>
      </c>
      <c r="P181" t="str" cm="1">
        <f t="array" ref="P181">_xlfn.IFS(K181="Rob","Robusta",K181="Exc","Excelsa",K181="Ara","Arabica",K181="Lib","Liberica")</f>
        <v>Arabica</v>
      </c>
      <c r="Q181" t="str" cm="1">
        <f t="array" ref="Q181">_xlfn.IFS(L181="M","Medium",L181="L","Light",L181="D","Dark")</f>
        <v>Dark</v>
      </c>
      <c r="R181" t="str">
        <f>_xlfn.XLOOKUP(Orders[[#This Row],[Customer ID]],customers!$A$1:$A$1001,customers!$I$1:$I$1001)</f>
        <v>No</v>
      </c>
    </row>
    <row r="182" spans="1:18" x14ac:dyDescent="0.35">
      <c r="A182" s="2" t="s">
        <v>5705</v>
      </c>
      <c r="B182" s="4">
        <v>44659</v>
      </c>
      <c r="C182" s="23">
        <f>Orders[[#This Row],[Order Date]]</f>
        <v>44659</v>
      </c>
      <c r="D182" s="2">
        <f>YEAR(Orders[[#This Row],[Order Date]])</f>
        <v>2022</v>
      </c>
      <c r="E182" s="2" t="s">
        <v>5706</v>
      </c>
      <c r="F182" t="s">
        <v>6155</v>
      </c>
      <c r="G182" s="20">
        <v>6</v>
      </c>
      <c r="H182" s="2" t="str">
        <f>INDEX(customers!$A$1:$I$1001,MATCH($E182,customers!$A$1:$A$1001,),MATCH($H$1,customers!$A$1:$I$1,0))</f>
        <v>Charin Maplethorp</v>
      </c>
      <c r="I182" s="2" t="str">
        <f>IF(INDEX(customers!$A$1:$I$1001,MATCH($E182,customers!$A$1:$A$1001,0),3)=0,"",INDEX(customers!$A$1:$I$1001,MATCH($E182,customers!$A$1:$A$1001,0),3))</f>
        <v/>
      </c>
      <c r="J182" s="2" t="str">
        <f>_xlfn.XLOOKUP(E182,customers!$A$1:$A$1001,customers!$G$1:$G$1001)</f>
        <v>United States</v>
      </c>
      <c r="K182" t="str">
        <f>INDEX(products!$A$1:$G$49,MATCH($F182,products!$A$1:$A$49,0),MATCH(K$1,products!$A$1:$G$1,0))</f>
        <v>Ara</v>
      </c>
      <c r="L182" t="str">
        <f>INDEX(products!$A$1:$G$49,MATCH($F182,products!$A$1:$A$49,0),MATCH(L$1,products!$A$1:$G$1,0))</f>
        <v>M</v>
      </c>
      <c r="M182" s="5">
        <f>INDEX(products!$A$1:$G$49,MATCH($F182,products!$A$1:$A$49,0),MATCH(M$1,products!$A$1:$G$1,0))</f>
        <v>1</v>
      </c>
      <c r="N182" s="7">
        <f>INDEX(products!$A$1:$G$49,MATCH($F182,products!$A$1:$A$49,0),MATCH(N$1,products!$A$1:$G$1,0))</f>
        <v>11.25</v>
      </c>
      <c r="O182" s="7">
        <f t="shared" si="2"/>
        <v>67.5</v>
      </c>
      <c r="P182" t="str" cm="1">
        <f t="array" ref="P182">_xlfn.IFS(K182="Rob","Robusta",K182="Exc","Excelsa",K182="Ara","Arabica",K182="Lib","Liberica")</f>
        <v>Arabica</v>
      </c>
      <c r="Q182" t="str" cm="1">
        <f t="array" ref="Q182">_xlfn.IFS(L182="M","Medium",L182="L","Light",L182="D","Dark")</f>
        <v>Medium</v>
      </c>
      <c r="R182" t="str">
        <f>_xlfn.XLOOKUP(Orders[[#This Row],[Customer ID]],customers!$A$1:$A$1001,customers!$I$1:$I$1001)</f>
        <v>Yes</v>
      </c>
    </row>
    <row r="183" spans="1:18" x14ac:dyDescent="0.35">
      <c r="A183" s="2" t="s">
        <v>4313</v>
      </c>
      <c r="B183" s="4">
        <v>44206</v>
      </c>
      <c r="C183" s="23">
        <f>Orders[[#This Row],[Order Date]]</f>
        <v>44206</v>
      </c>
      <c r="D183" s="2">
        <f>YEAR(Orders[[#This Row],[Order Date]])</f>
        <v>2021</v>
      </c>
      <c r="E183" s="2" t="s">
        <v>4314</v>
      </c>
      <c r="F183" t="s">
        <v>6160</v>
      </c>
      <c r="G183" s="20">
        <v>5</v>
      </c>
      <c r="H183" s="2" t="str">
        <f>INDEX(customers!$A$1:$I$1001,MATCH($E183,customers!$A$1:$A$1001,),MATCH($H$1,customers!$A$1:$I$1,0))</f>
        <v>Charin Penwarden</v>
      </c>
      <c r="I183" s="2" t="str">
        <f>IF(INDEX(customers!$A$1:$I$1001,MATCH($E183,customers!$A$1:$A$1001,0),3)=0,"",INDEX(customers!$A$1:$I$1001,MATCH($E183,customers!$A$1:$A$1001,0),3))</f>
        <v>cpenwardenit@mlb.com</v>
      </c>
      <c r="J183" s="2" t="str">
        <f>_xlfn.XLOOKUP(E183,customers!$A$1:$A$1001,customers!$G$1:$G$1001)</f>
        <v>Ireland</v>
      </c>
      <c r="K183" t="str">
        <f>INDEX(products!$A$1:$G$49,MATCH($F183,products!$A$1:$A$49,0),MATCH(K$1,products!$A$1:$G$1,0))</f>
        <v>Lib</v>
      </c>
      <c r="L183" t="str">
        <f>INDEX(products!$A$1:$G$49,MATCH($F183,products!$A$1:$A$49,0),MATCH(L$1,products!$A$1:$G$1,0))</f>
        <v>M</v>
      </c>
      <c r="M183" s="5">
        <f>INDEX(products!$A$1:$G$49,MATCH($F183,products!$A$1:$A$49,0),MATCH(M$1,products!$A$1:$G$1,0))</f>
        <v>0.5</v>
      </c>
      <c r="N183" s="7">
        <f>INDEX(products!$A$1:$G$49,MATCH($F183,products!$A$1:$A$49,0),MATCH(N$1,products!$A$1:$G$1,0))</f>
        <v>8.73</v>
      </c>
      <c r="O183" s="7">
        <f t="shared" si="2"/>
        <v>43.650000000000006</v>
      </c>
      <c r="P183" t="str" cm="1">
        <f t="array" ref="P183">_xlfn.IFS(K183="Rob","Robusta",K183="Exc","Excelsa",K183="Ara","Arabica",K183="Lib","Liberica")</f>
        <v>Liberica</v>
      </c>
      <c r="Q183" t="str" cm="1">
        <f t="array" ref="Q183">_xlfn.IFS(L183="M","Medium",L183="L","Light",L183="D","Dark")</f>
        <v>Medium</v>
      </c>
      <c r="R183" t="str">
        <f>_xlfn.XLOOKUP(Orders[[#This Row],[Customer ID]],customers!$A$1:$A$1001,customers!$I$1:$I$1001)</f>
        <v>No</v>
      </c>
    </row>
    <row r="184" spans="1:18" x14ac:dyDescent="0.35">
      <c r="A184" s="2" t="s">
        <v>1725</v>
      </c>
      <c r="B184" s="4">
        <v>44777</v>
      </c>
      <c r="C184" s="23">
        <f>Orders[[#This Row],[Order Date]]</f>
        <v>44777</v>
      </c>
      <c r="D184" s="2">
        <f>YEAR(Orders[[#This Row],[Order Date]])</f>
        <v>2022</v>
      </c>
      <c r="E184" s="2" t="s">
        <v>1726</v>
      </c>
      <c r="F184" t="s">
        <v>6178</v>
      </c>
      <c r="G184" s="20">
        <v>3</v>
      </c>
      <c r="H184" s="2" t="str">
        <f>INDEX(customers!$A$1:$I$1001,MATCH($E184,customers!$A$1:$A$1001,),MATCH($H$1,customers!$A$1:$I$1,0))</f>
        <v>Charis Crosier</v>
      </c>
      <c r="I184" s="2" t="str">
        <f>IF(INDEX(customers!$A$1:$I$1001,MATCH($E184,customers!$A$1:$A$1001,0),3)=0,"",INDEX(customers!$A$1:$I$1001,MATCH($E184,customers!$A$1:$A$1001,0),3))</f>
        <v>ccrosier63@xrea.com</v>
      </c>
      <c r="J184" s="2" t="str">
        <f>_xlfn.XLOOKUP(E184,customers!$A$1:$A$1001,customers!$G$1:$G$1001)</f>
        <v>United States</v>
      </c>
      <c r="K184" t="str">
        <f>INDEX(products!$A$1:$G$49,MATCH($F184,products!$A$1:$A$49,0),MATCH(K$1,products!$A$1:$G$1,0))</f>
        <v>Rob</v>
      </c>
      <c r="L184" t="str">
        <f>INDEX(products!$A$1:$G$49,MATCH($F184,products!$A$1:$A$49,0),MATCH(L$1,products!$A$1:$G$1,0))</f>
        <v>L</v>
      </c>
      <c r="M184" s="5">
        <f>INDEX(products!$A$1:$G$49,MATCH($F184,products!$A$1:$A$49,0),MATCH(M$1,products!$A$1:$G$1,0))</f>
        <v>0.2</v>
      </c>
      <c r="N184" s="7">
        <f>INDEX(products!$A$1:$G$49,MATCH($F184,products!$A$1:$A$49,0),MATCH(N$1,products!$A$1:$G$1,0))</f>
        <v>3.5849999999999995</v>
      </c>
      <c r="O184" s="7">
        <f t="shared" si="2"/>
        <v>10.754999999999999</v>
      </c>
      <c r="P184" t="str" cm="1">
        <f t="array" ref="P184">_xlfn.IFS(K184="Rob","Robusta",K184="Exc","Excelsa",K184="Ara","Arabica",K184="Lib","Liberica")</f>
        <v>Robusta</v>
      </c>
      <c r="Q184" t="str" cm="1">
        <f t="array" ref="Q184">_xlfn.IFS(L184="M","Medium",L184="L","Light",L184="D","Dark")</f>
        <v>Light</v>
      </c>
      <c r="R184" t="str">
        <f>_xlfn.XLOOKUP(Orders[[#This Row],[Customer ID]],customers!$A$1:$A$1001,customers!$I$1:$I$1001)</f>
        <v>No</v>
      </c>
    </row>
    <row r="185" spans="1:18" x14ac:dyDescent="0.35">
      <c r="A185" s="2" t="s">
        <v>1725</v>
      </c>
      <c r="B185" s="4">
        <v>44777</v>
      </c>
      <c r="C185" s="23">
        <f>Orders[[#This Row],[Order Date]]</f>
        <v>44777</v>
      </c>
      <c r="D185" s="2">
        <f>YEAR(Orders[[#This Row],[Order Date]])</f>
        <v>2022</v>
      </c>
      <c r="E185" s="2" t="s">
        <v>1726</v>
      </c>
      <c r="F185" t="s">
        <v>6174</v>
      </c>
      <c r="G185" s="20">
        <v>5</v>
      </c>
      <c r="H185" s="2" t="str">
        <f>INDEX(customers!$A$1:$I$1001,MATCH($E185,customers!$A$1:$A$1001,),MATCH($H$1,customers!$A$1:$I$1,0))</f>
        <v>Charis Crosier</v>
      </c>
      <c r="I185" s="2" t="str">
        <f>IF(INDEX(customers!$A$1:$I$1001,MATCH($E185,customers!$A$1:$A$1001,0),3)=0,"",INDEX(customers!$A$1:$I$1001,MATCH($E185,customers!$A$1:$A$1001,0),3))</f>
        <v>ccrosier63@xrea.com</v>
      </c>
      <c r="J185" s="2" t="str">
        <f>_xlfn.XLOOKUP(E185,customers!$A$1:$A$1001,customers!$G$1:$G$1001)</f>
        <v>United States</v>
      </c>
      <c r="K185" t="str">
        <f>INDEX(products!$A$1:$G$49,MATCH($F185,products!$A$1:$A$49,0),MATCH(K$1,products!$A$1:$G$1,0))</f>
        <v>Rob</v>
      </c>
      <c r="L185" t="str">
        <f>INDEX(products!$A$1:$G$49,MATCH($F185,products!$A$1:$A$49,0),MATCH(L$1,products!$A$1:$G$1,0))</f>
        <v>M</v>
      </c>
      <c r="M185" s="5">
        <f>INDEX(products!$A$1:$G$49,MATCH($F185,products!$A$1:$A$49,0),MATCH(M$1,products!$A$1:$G$1,0))</f>
        <v>0.2</v>
      </c>
      <c r="N185" s="7">
        <f>INDEX(products!$A$1:$G$49,MATCH($F185,products!$A$1:$A$49,0),MATCH(N$1,products!$A$1:$G$1,0))</f>
        <v>2.9849999999999999</v>
      </c>
      <c r="O185" s="7">
        <f t="shared" si="2"/>
        <v>14.924999999999999</v>
      </c>
      <c r="P185" t="str" cm="1">
        <f t="array" ref="P185">_xlfn.IFS(K185="Rob","Robusta",K185="Exc","Excelsa",K185="Ara","Arabica",K185="Lib","Liberica")</f>
        <v>Robusta</v>
      </c>
      <c r="Q185" t="str" cm="1">
        <f t="array" ref="Q185">_xlfn.IFS(L185="M","Medium",L185="L","Light",L185="D","Dark")</f>
        <v>Medium</v>
      </c>
      <c r="R185" t="str">
        <f>_xlfn.XLOOKUP(Orders[[#This Row],[Customer ID]],customers!$A$1:$A$1001,customers!$I$1:$I$1001)</f>
        <v>No</v>
      </c>
    </row>
    <row r="186" spans="1:18" x14ac:dyDescent="0.35">
      <c r="A186" s="2" t="s">
        <v>5989</v>
      </c>
      <c r="B186" s="4">
        <v>44493</v>
      </c>
      <c r="C186" s="23">
        <f>Orders[[#This Row],[Order Date]]</f>
        <v>44493</v>
      </c>
      <c r="D186" s="2">
        <f>YEAR(Orders[[#This Row],[Order Date]])</f>
        <v>2021</v>
      </c>
      <c r="E186" s="2" t="s">
        <v>5990</v>
      </c>
      <c r="F186" t="s">
        <v>6162</v>
      </c>
      <c r="G186" s="20">
        <v>6</v>
      </c>
      <c r="H186" s="2" t="str">
        <f>INDEX(customers!$A$1:$I$1001,MATCH($E186,customers!$A$1:$A$1001,),MATCH($H$1,customers!$A$1:$I$1,0))</f>
        <v>Charlean Keave</v>
      </c>
      <c r="I186" s="2" t="str">
        <f>IF(INDEX(customers!$A$1:$I$1001,MATCH($E186,customers!$A$1:$A$1001,0),3)=0,"",INDEX(customers!$A$1:$I$1001,MATCH($E186,customers!$A$1:$A$1001,0),3))</f>
        <v>ckeaver1@ucoz.com</v>
      </c>
      <c r="J186" s="2" t="str">
        <f>_xlfn.XLOOKUP(E186,customers!$A$1:$A$1001,customers!$G$1:$G$1001)</f>
        <v>United States</v>
      </c>
      <c r="K186" t="str">
        <f>INDEX(products!$A$1:$G$49,MATCH($F186,products!$A$1:$A$49,0),MATCH(K$1,products!$A$1:$G$1,0))</f>
        <v>Lib</v>
      </c>
      <c r="L186" t="str">
        <f>INDEX(products!$A$1:$G$49,MATCH($F186,products!$A$1:$A$49,0),MATCH(L$1,products!$A$1:$G$1,0))</f>
        <v>M</v>
      </c>
      <c r="M186" s="5">
        <f>INDEX(products!$A$1:$G$49,MATCH($F186,products!$A$1:$A$49,0),MATCH(M$1,products!$A$1:$G$1,0))</f>
        <v>1</v>
      </c>
      <c r="N186" s="7">
        <f>INDEX(products!$A$1:$G$49,MATCH($F186,products!$A$1:$A$49,0),MATCH(N$1,products!$A$1:$G$1,0))</f>
        <v>14.55</v>
      </c>
      <c r="O186" s="7">
        <f t="shared" si="2"/>
        <v>87.300000000000011</v>
      </c>
      <c r="P186" t="str" cm="1">
        <f t="array" ref="P186">_xlfn.IFS(K186="Rob","Robusta",K186="Exc","Excelsa",K186="Ara","Arabica",K186="Lib","Liberica")</f>
        <v>Liberica</v>
      </c>
      <c r="Q186" t="str" cm="1">
        <f t="array" ref="Q186">_xlfn.IFS(L186="M","Medium",L186="L","Light",L186="D","Dark")</f>
        <v>Medium</v>
      </c>
      <c r="R186" t="str">
        <f>_xlfn.XLOOKUP(Orders[[#This Row],[Customer ID]],customers!$A$1:$A$1001,customers!$I$1:$I$1001)</f>
        <v>No</v>
      </c>
    </row>
    <row r="187" spans="1:18" x14ac:dyDescent="0.35">
      <c r="A187" s="2" t="s">
        <v>6019</v>
      </c>
      <c r="B187" s="4">
        <v>43913</v>
      </c>
      <c r="C187" s="23">
        <f>Orders[[#This Row],[Order Date]]</f>
        <v>43913</v>
      </c>
      <c r="D187" s="2">
        <f>YEAR(Orders[[#This Row],[Order Date]])</f>
        <v>2020</v>
      </c>
      <c r="E187" s="2" t="s">
        <v>5990</v>
      </c>
      <c r="F187" t="s">
        <v>6180</v>
      </c>
      <c r="G187" s="20">
        <v>3</v>
      </c>
      <c r="H187" s="2" t="str">
        <f>INDEX(customers!$A$1:$I$1001,MATCH($E187,customers!$A$1:$A$1001,),MATCH($H$1,customers!$A$1:$I$1,0))</f>
        <v>Charlean Keave</v>
      </c>
      <c r="I187" s="2" t="str">
        <f>IF(INDEX(customers!$A$1:$I$1001,MATCH($E187,customers!$A$1:$A$1001,0),3)=0,"",INDEX(customers!$A$1:$I$1001,MATCH($E187,customers!$A$1:$A$1001,0),3))</f>
        <v>ckeaver1@ucoz.com</v>
      </c>
      <c r="J187" s="2" t="str">
        <f>_xlfn.XLOOKUP(E187,customers!$A$1:$A$1001,customers!$G$1:$G$1001)</f>
        <v>United States</v>
      </c>
      <c r="K187" t="str">
        <f>INDEX(products!$A$1:$G$49,MATCH($F187,products!$A$1:$A$49,0),MATCH(K$1,products!$A$1:$G$1,0))</f>
        <v>Ara</v>
      </c>
      <c r="L187" t="str">
        <f>INDEX(products!$A$1:$G$49,MATCH($F187,products!$A$1:$A$49,0),MATCH(L$1,products!$A$1:$G$1,0))</f>
        <v>L</v>
      </c>
      <c r="M187" s="5">
        <f>INDEX(products!$A$1:$G$49,MATCH($F187,products!$A$1:$A$49,0),MATCH(M$1,products!$A$1:$G$1,0))</f>
        <v>0.5</v>
      </c>
      <c r="N187" s="7">
        <f>INDEX(products!$A$1:$G$49,MATCH($F187,products!$A$1:$A$49,0),MATCH(N$1,products!$A$1:$G$1,0))</f>
        <v>7.77</v>
      </c>
      <c r="O187" s="7">
        <f t="shared" si="2"/>
        <v>23.31</v>
      </c>
      <c r="P187" t="str" cm="1">
        <f t="array" ref="P187">_xlfn.IFS(K187="Rob","Robusta",K187="Exc","Excelsa",K187="Ara","Arabica",K187="Lib","Liberica")</f>
        <v>Arabica</v>
      </c>
      <c r="Q187" t="str" cm="1">
        <f t="array" ref="Q187">_xlfn.IFS(L187="M","Medium",L187="L","Light",L187="D","Dark")</f>
        <v>Light</v>
      </c>
      <c r="R187" t="str">
        <f>_xlfn.XLOOKUP(Orders[[#This Row],[Customer ID]],customers!$A$1:$A$1001,customers!$I$1:$I$1001)</f>
        <v>No</v>
      </c>
    </row>
    <row r="188" spans="1:18" x14ac:dyDescent="0.35">
      <c r="A188" s="2" t="s">
        <v>4157</v>
      </c>
      <c r="B188" s="4">
        <v>44015</v>
      </c>
      <c r="C188" s="23">
        <f>Orders[[#This Row],[Order Date]]</f>
        <v>44015</v>
      </c>
      <c r="D188" s="2">
        <f>YEAR(Orders[[#This Row],[Order Date]])</f>
        <v>2020</v>
      </c>
      <c r="E188" s="2" t="s">
        <v>4158</v>
      </c>
      <c r="F188" t="s">
        <v>6170</v>
      </c>
      <c r="G188" s="20">
        <v>6</v>
      </c>
      <c r="H188" s="2" t="str">
        <f>INDEX(customers!$A$1:$I$1001,MATCH($E188,customers!$A$1:$A$1001,),MATCH($H$1,customers!$A$1:$I$1,0))</f>
        <v>Charmane Denys</v>
      </c>
      <c r="I188" s="2" t="str">
        <f>IF(INDEX(customers!$A$1:$I$1001,MATCH($E188,customers!$A$1:$A$1001,0),3)=0,"",INDEX(customers!$A$1:$I$1001,MATCH($E188,customers!$A$1:$A$1001,0),3))</f>
        <v>cdenysi1@is.gd</v>
      </c>
      <c r="J188" s="2" t="str">
        <f>_xlfn.XLOOKUP(E188,customers!$A$1:$A$1001,customers!$G$1:$G$1001)</f>
        <v>United Kingdom</v>
      </c>
      <c r="K188" t="str">
        <f>INDEX(products!$A$1:$G$49,MATCH($F188,products!$A$1:$A$49,0),MATCH(K$1,products!$A$1:$G$1,0))</f>
        <v>Lib</v>
      </c>
      <c r="L188" t="str">
        <f>INDEX(products!$A$1:$G$49,MATCH($F188,products!$A$1:$A$49,0),MATCH(L$1,products!$A$1:$G$1,0))</f>
        <v>L</v>
      </c>
      <c r="M188" s="5">
        <f>INDEX(products!$A$1:$G$49,MATCH($F188,products!$A$1:$A$49,0),MATCH(M$1,products!$A$1:$G$1,0))</f>
        <v>1</v>
      </c>
      <c r="N188" s="7">
        <f>INDEX(products!$A$1:$G$49,MATCH($F188,products!$A$1:$A$49,0),MATCH(N$1,products!$A$1:$G$1,0))</f>
        <v>15.85</v>
      </c>
      <c r="O188" s="7">
        <f t="shared" si="2"/>
        <v>95.1</v>
      </c>
      <c r="P188" t="str" cm="1">
        <f t="array" ref="P188">_xlfn.IFS(K188="Rob","Robusta",K188="Exc","Excelsa",K188="Ara","Arabica",K188="Lib","Liberica")</f>
        <v>Liberica</v>
      </c>
      <c r="Q188" t="str" cm="1">
        <f t="array" ref="Q188">_xlfn.IFS(L188="M","Medium",L188="L","Light",L188="D","Dark")</f>
        <v>Light</v>
      </c>
      <c r="R188" t="str">
        <f>_xlfn.XLOOKUP(Orders[[#This Row],[Customer ID]],customers!$A$1:$A$1001,customers!$I$1:$I$1001)</f>
        <v>No</v>
      </c>
    </row>
    <row r="189" spans="1:18" x14ac:dyDescent="0.35">
      <c r="A189" s="2" t="s">
        <v>5040</v>
      </c>
      <c r="B189" s="4">
        <v>44713</v>
      </c>
      <c r="C189" s="23">
        <f>Orders[[#This Row],[Order Date]]</f>
        <v>44713</v>
      </c>
      <c r="D189" s="2">
        <f>YEAR(Orders[[#This Row],[Order Date]])</f>
        <v>2022</v>
      </c>
      <c r="E189" s="2" t="s">
        <v>5041</v>
      </c>
      <c r="F189" t="s">
        <v>6146</v>
      </c>
      <c r="G189" s="20">
        <v>1</v>
      </c>
      <c r="H189" s="2" t="str">
        <f>INDEX(customers!$A$1:$I$1001,MATCH($E189,customers!$A$1:$A$1001,),MATCH($H$1,customers!$A$1:$I$1,0))</f>
        <v>Chester Clowton</v>
      </c>
      <c r="I189" s="2" t="str">
        <f>IF(INDEX(customers!$A$1:$I$1001,MATCH($E189,customers!$A$1:$A$1001,0),3)=0,"",INDEX(customers!$A$1:$I$1001,MATCH($E189,customers!$A$1:$A$1001,0),3))</f>
        <v/>
      </c>
      <c r="J189" s="2" t="str">
        <f>_xlfn.XLOOKUP(E189,customers!$A$1:$A$1001,customers!$G$1:$G$1001)</f>
        <v>United States</v>
      </c>
      <c r="K189" t="str">
        <f>INDEX(products!$A$1:$G$49,MATCH($F189,products!$A$1:$A$49,0),MATCH(K$1,products!$A$1:$G$1,0))</f>
        <v>Rob</v>
      </c>
      <c r="L189" t="str">
        <f>INDEX(products!$A$1:$G$49,MATCH($F189,products!$A$1:$A$49,0),MATCH(L$1,products!$A$1:$G$1,0))</f>
        <v>M</v>
      </c>
      <c r="M189" s="5">
        <f>INDEX(products!$A$1:$G$49,MATCH($F189,products!$A$1:$A$49,0),MATCH(M$1,products!$A$1:$G$1,0))</f>
        <v>0.5</v>
      </c>
      <c r="N189" s="7">
        <f>INDEX(products!$A$1:$G$49,MATCH($F189,products!$A$1:$A$49,0),MATCH(N$1,products!$A$1:$G$1,0))</f>
        <v>5.97</v>
      </c>
      <c r="O189" s="7">
        <f t="shared" si="2"/>
        <v>5.97</v>
      </c>
      <c r="P189" t="str" cm="1">
        <f t="array" ref="P189">_xlfn.IFS(K189="Rob","Robusta",K189="Exc","Excelsa",K189="Ara","Arabica",K189="Lib","Liberica")</f>
        <v>Robusta</v>
      </c>
      <c r="Q189" t="str" cm="1">
        <f t="array" ref="Q189">_xlfn.IFS(L189="M","Medium",L189="L","Light",L189="D","Dark")</f>
        <v>Medium</v>
      </c>
      <c r="R189" t="str">
        <f>_xlfn.XLOOKUP(Orders[[#This Row],[Customer ID]],customers!$A$1:$A$1001,customers!$I$1:$I$1001)</f>
        <v>No</v>
      </c>
    </row>
    <row r="190" spans="1:18" x14ac:dyDescent="0.35">
      <c r="A190" s="2" t="s">
        <v>5967</v>
      </c>
      <c r="B190" s="4">
        <v>43649</v>
      </c>
      <c r="C190" s="23">
        <f>Orders[[#This Row],[Order Date]]</f>
        <v>43649</v>
      </c>
      <c r="D190" s="2">
        <f>YEAR(Orders[[#This Row],[Order Date]])</f>
        <v>2019</v>
      </c>
      <c r="E190" s="2" t="s">
        <v>5968</v>
      </c>
      <c r="F190" t="s">
        <v>6143</v>
      </c>
      <c r="G190" s="20">
        <v>1</v>
      </c>
      <c r="H190" s="2" t="str">
        <f>INDEX(customers!$A$1:$I$1001,MATCH($E190,customers!$A$1:$A$1001,),MATCH($H$1,customers!$A$1:$I$1,0))</f>
        <v>Chiarra Shalders</v>
      </c>
      <c r="I190" s="2" t="str">
        <f>IF(INDEX(customers!$A$1:$I$1001,MATCH($E190,customers!$A$1:$A$1001,0),3)=0,"",INDEX(customers!$A$1:$I$1001,MATCH($E190,customers!$A$1:$A$1001,0),3))</f>
        <v>cshaldersqx@cisco.com</v>
      </c>
      <c r="J190" s="2" t="str">
        <f>_xlfn.XLOOKUP(E190,customers!$A$1:$A$1001,customers!$G$1:$G$1001)</f>
        <v>United States</v>
      </c>
      <c r="K190" t="str">
        <f>INDEX(products!$A$1:$G$49,MATCH($F190,products!$A$1:$A$49,0),MATCH(K$1,products!$A$1:$G$1,0))</f>
        <v>Lib</v>
      </c>
      <c r="L190" t="str">
        <f>INDEX(products!$A$1:$G$49,MATCH($F190,products!$A$1:$A$49,0),MATCH(L$1,products!$A$1:$G$1,0))</f>
        <v>D</v>
      </c>
      <c r="M190" s="5">
        <f>INDEX(products!$A$1:$G$49,MATCH($F190,products!$A$1:$A$49,0),MATCH(M$1,products!$A$1:$G$1,0))</f>
        <v>1</v>
      </c>
      <c r="N190" s="7">
        <f>INDEX(products!$A$1:$G$49,MATCH($F190,products!$A$1:$A$49,0),MATCH(N$1,products!$A$1:$G$1,0))</f>
        <v>12.95</v>
      </c>
      <c r="O190" s="7">
        <f t="shared" si="2"/>
        <v>12.95</v>
      </c>
      <c r="P190" t="str" cm="1">
        <f t="array" ref="P190">_xlfn.IFS(K190="Rob","Robusta",K190="Exc","Excelsa",K190="Ara","Arabica",K190="Lib","Liberica")</f>
        <v>Liberica</v>
      </c>
      <c r="Q190" t="str" cm="1">
        <f t="array" ref="Q190">_xlfn.IFS(L190="M","Medium",L190="L","Light",L190="D","Dark")</f>
        <v>Dark</v>
      </c>
      <c r="R190" t="str">
        <f>_xlfn.XLOOKUP(Orders[[#This Row],[Customer ID]],customers!$A$1:$A$1001,customers!$I$1:$I$1001)</f>
        <v>Yes</v>
      </c>
    </row>
    <row r="191" spans="1:18" x14ac:dyDescent="0.35">
      <c r="A191" s="2" t="s">
        <v>2962</v>
      </c>
      <c r="B191" s="4">
        <v>43562</v>
      </c>
      <c r="C191" s="23">
        <f>Orders[[#This Row],[Order Date]]</f>
        <v>43562</v>
      </c>
      <c r="D191" s="2">
        <f>YEAR(Orders[[#This Row],[Order Date]])</f>
        <v>2019</v>
      </c>
      <c r="E191" s="2" t="s">
        <v>2963</v>
      </c>
      <c r="F191" t="s">
        <v>6176</v>
      </c>
      <c r="G191" s="20">
        <v>4</v>
      </c>
      <c r="H191" s="2" t="str">
        <f>INDEX(customers!$A$1:$I$1001,MATCH($E191,customers!$A$1:$A$1001,),MATCH($H$1,customers!$A$1:$I$1,0))</f>
        <v>Chickie Ragless</v>
      </c>
      <c r="I191" s="2" t="str">
        <f>IF(INDEX(customers!$A$1:$I$1001,MATCH($E191,customers!$A$1:$A$1001,0),3)=0,"",INDEX(customers!$A$1:$I$1001,MATCH($E191,customers!$A$1:$A$1001,0),3))</f>
        <v>craglessc7@webmd.com</v>
      </c>
      <c r="J191" s="2" t="str">
        <f>_xlfn.XLOOKUP(E191,customers!$A$1:$A$1001,customers!$G$1:$G$1001)</f>
        <v>Ireland</v>
      </c>
      <c r="K191" t="str">
        <f>INDEX(products!$A$1:$G$49,MATCH($F191,products!$A$1:$A$49,0),MATCH(K$1,products!$A$1:$G$1,0))</f>
        <v>Exc</v>
      </c>
      <c r="L191" t="str">
        <f>INDEX(products!$A$1:$G$49,MATCH($F191,products!$A$1:$A$49,0),MATCH(L$1,products!$A$1:$G$1,0))</f>
        <v>L</v>
      </c>
      <c r="M191" s="5">
        <f>INDEX(products!$A$1:$G$49,MATCH($F191,products!$A$1:$A$49,0),MATCH(M$1,products!$A$1:$G$1,0))</f>
        <v>0.5</v>
      </c>
      <c r="N191" s="7">
        <f>INDEX(products!$A$1:$G$49,MATCH($F191,products!$A$1:$A$49,0),MATCH(N$1,products!$A$1:$G$1,0))</f>
        <v>8.91</v>
      </c>
      <c r="O191" s="7">
        <f t="shared" si="2"/>
        <v>35.64</v>
      </c>
      <c r="P191" t="str" cm="1">
        <f t="array" ref="P191">_xlfn.IFS(K191="Rob","Robusta",K191="Exc","Excelsa",K191="Ara","Arabica",K191="Lib","Liberica")</f>
        <v>Excelsa</v>
      </c>
      <c r="Q191" t="str" cm="1">
        <f t="array" ref="Q191">_xlfn.IFS(L191="M","Medium",L191="L","Light",L191="D","Dark")</f>
        <v>Light</v>
      </c>
      <c r="R191" t="str">
        <f>_xlfn.XLOOKUP(Orders[[#This Row],[Customer ID]],customers!$A$1:$A$1001,customers!$I$1:$I$1001)</f>
        <v>No</v>
      </c>
    </row>
    <row r="192" spans="1:18" x14ac:dyDescent="0.35">
      <c r="A192" s="2" t="s">
        <v>6035</v>
      </c>
      <c r="B192" s="4">
        <v>44397</v>
      </c>
      <c r="C192" s="23">
        <f>Orders[[#This Row],[Order Date]]</f>
        <v>44397</v>
      </c>
      <c r="D192" s="2">
        <f>YEAR(Orders[[#This Row],[Order Date]])</f>
        <v>2021</v>
      </c>
      <c r="E192" s="2" t="s">
        <v>6036</v>
      </c>
      <c r="F192" t="s">
        <v>6153</v>
      </c>
      <c r="G192" s="20">
        <v>6</v>
      </c>
      <c r="H192" s="2" t="str">
        <f>INDEX(customers!$A$1:$I$1001,MATCH($E192,customers!$A$1:$A$1001,),MATCH($H$1,customers!$A$1:$I$1,0))</f>
        <v>Chloette Bernardot</v>
      </c>
      <c r="I192" s="2" t="str">
        <f>IF(INDEX(customers!$A$1:$I$1001,MATCH($E192,customers!$A$1:$A$1001,0),3)=0,"",INDEX(customers!$A$1:$I$1001,MATCH($E192,customers!$A$1:$A$1001,0),3))</f>
        <v>cbernardotr9@wix.com</v>
      </c>
      <c r="J192" s="2" t="str">
        <f>_xlfn.XLOOKUP(E192,customers!$A$1:$A$1001,customers!$G$1:$G$1001)</f>
        <v>United States</v>
      </c>
      <c r="K192" t="str">
        <f>INDEX(products!$A$1:$G$49,MATCH($F192,products!$A$1:$A$49,0),MATCH(K$1,products!$A$1:$G$1,0))</f>
        <v>Exc</v>
      </c>
      <c r="L192" t="str">
        <f>INDEX(products!$A$1:$G$49,MATCH($F192,products!$A$1:$A$49,0),MATCH(L$1,products!$A$1:$G$1,0))</f>
        <v>D</v>
      </c>
      <c r="M192" s="5">
        <f>INDEX(products!$A$1:$G$49,MATCH($F192,products!$A$1:$A$49,0),MATCH(M$1,products!$A$1:$G$1,0))</f>
        <v>0.2</v>
      </c>
      <c r="N192" s="7">
        <f>INDEX(products!$A$1:$G$49,MATCH($F192,products!$A$1:$A$49,0),MATCH(N$1,products!$A$1:$G$1,0))</f>
        <v>3.645</v>
      </c>
      <c r="O192" s="7">
        <f t="shared" si="2"/>
        <v>21.87</v>
      </c>
      <c r="P192" t="str" cm="1">
        <f t="array" ref="P192">_xlfn.IFS(K192="Rob","Robusta",K192="Exc","Excelsa",K192="Ara","Arabica",K192="Lib","Liberica")</f>
        <v>Excelsa</v>
      </c>
      <c r="Q192" t="str" cm="1">
        <f t="array" ref="Q192">_xlfn.IFS(L192="M","Medium",L192="L","Light",L192="D","Dark")</f>
        <v>Dark</v>
      </c>
      <c r="R192" t="str">
        <f>_xlfn.XLOOKUP(Orders[[#This Row],[Customer ID]],customers!$A$1:$A$1001,customers!$I$1:$I$1001)</f>
        <v>Yes</v>
      </c>
    </row>
    <row r="193" spans="1:18" x14ac:dyDescent="0.35">
      <c r="A193" s="2" t="s">
        <v>5676</v>
      </c>
      <c r="B193" s="4">
        <v>44573</v>
      </c>
      <c r="C193" s="23">
        <f>Orders[[#This Row],[Order Date]]</f>
        <v>44573</v>
      </c>
      <c r="D193" s="2">
        <f>YEAR(Orders[[#This Row],[Order Date]])</f>
        <v>2022</v>
      </c>
      <c r="E193" s="2" t="s">
        <v>5677</v>
      </c>
      <c r="F193" t="s">
        <v>6157</v>
      </c>
      <c r="G193" s="20">
        <v>1</v>
      </c>
      <c r="H193" s="2" t="str">
        <f>INDEX(customers!$A$1:$I$1001,MATCH($E193,customers!$A$1:$A$1001,),MATCH($H$1,customers!$A$1:$I$1,0))</f>
        <v>Chloris Sorrell</v>
      </c>
      <c r="I193" s="2" t="str">
        <f>IF(INDEX(customers!$A$1:$I$1001,MATCH($E193,customers!$A$1:$A$1001,0),3)=0,"",INDEX(customers!$A$1:$I$1001,MATCH($E193,customers!$A$1:$A$1001,0),3))</f>
        <v>csorrellph@amazon.com</v>
      </c>
      <c r="J193" s="2" t="str">
        <f>_xlfn.XLOOKUP(E193,customers!$A$1:$A$1001,customers!$G$1:$G$1001)</f>
        <v>United Kingdom</v>
      </c>
      <c r="K193" t="str">
        <f>INDEX(products!$A$1:$G$49,MATCH($F193,products!$A$1:$A$49,0),MATCH(K$1,products!$A$1:$G$1,0))</f>
        <v>Ara</v>
      </c>
      <c r="L193" t="str">
        <f>INDEX(products!$A$1:$G$49,MATCH($F193,products!$A$1:$A$49,0),MATCH(L$1,products!$A$1:$G$1,0))</f>
        <v>M</v>
      </c>
      <c r="M193" s="5">
        <f>INDEX(products!$A$1:$G$49,MATCH($F193,products!$A$1:$A$49,0),MATCH(M$1,products!$A$1:$G$1,0))</f>
        <v>0.5</v>
      </c>
      <c r="N193" s="7">
        <f>INDEX(products!$A$1:$G$49,MATCH($F193,products!$A$1:$A$49,0),MATCH(N$1,products!$A$1:$G$1,0))</f>
        <v>6.75</v>
      </c>
      <c r="O193" s="7">
        <f t="shared" si="2"/>
        <v>6.75</v>
      </c>
      <c r="P193" t="str" cm="1">
        <f t="array" ref="P193">_xlfn.IFS(K193="Rob","Robusta",K193="Exc","Excelsa",K193="Ara","Arabica",K193="Lib","Liberica")</f>
        <v>Arabica</v>
      </c>
      <c r="Q193" t="str" cm="1">
        <f t="array" ref="Q193">_xlfn.IFS(L193="M","Medium",L193="L","Light",L193="D","Dark")</f>
        <v>Medium</v>
      </c>
      <c r="R193" t="str">
        <f>_xlfn.XLOOKUP(Orders[[#This Row],[Customer ID]],customers!$A$1:$A$1001,customers!$I$1:$I$1001)</f>
        <v>No</v>
      </c>
    </row>
    <row r="194" spans="1:18" x14ac:dyDescent="0.35">
      <c r="A194" s="2" t="s">
        <v>5676</v>
      </c>
      <c r="B194" s="4">
        <v>44573</v>
      </c>
      <c r="C194" s="23">
        <f>Orders[[#This Row],[Order Date]]</f>
        <v>44573</v>
      </c>
      <c r="D194" s="2">
        <f>YEAR(Orders[[#This Row],[Order Date]])</f>
        <v>2022</v>
      </c>
      <c r="E194" s="2" t="s">
        <v>5677</v>
      </c>
      <c r="F194" t="s">
        <v>6144</v>
      </c>
      <c r="G194" s="20">
        <v>3</v>
      </c>
      <c r="H194" s="2" t="str">
        <f>INDEX(customers!$A$1:$I$1001,MATCH($E194,customers!$A$1:$A$1001,),MATCH($H$1,customers!$A$1:$I$1,0))</f>
        <v>Chloris Sorrell</v>
      </c>
      <c r="I194" s="2" t="str">
        <f>IF(INDEX(customers!$A$1:$I$1001,MATCH($E194,customers!$A$1:$A$1001,0),3)=0,"",INDEX(customers!$A$1:$I$1001,MATCH($E194,customers!$A$1:$A$1001,0),3))</f>
        <v>csorrellph@amazon.com</v>
      </c>
      <c r="J194" s="2" t="str">
        <f>_xlfn.XLOOKUP(E194,customers!$A$1:$A$1001,customers!$G$1:$G$1001)</f>
        <v>United Kingdom</v>
      </c>
      <c r="K194" t="str">
        <f>INDEX(products!$A$1:$G$49,MATCH($F194,products!$A$1:$A$49,0),MATCH(K$1,products!$A$1:$G$1,0))</f>
        <v>Exc</v>
      </c>
      <c r="L194" t="str">
        <f>INDEX(products!$A$1:$G$49,MATCH($F194,products!$A$1:$A$49,0),MATCH(L$1,products!$A$1:$G$1,0))</f>
        <v>D</v>
      </c>
      <c r="M194" s="5">
        <f>INDEX(products!$A$1:$G$49,MATCH($F194,products!$A$1:$A$49,0),MATCH(M$1,products!$A$1:$G$1,0))</f>
        <v>0.5</v>
      </c>
      <c r="N194" s="7">
        <f>INDEX(products!$A$1:$G$49,MATCH($F194,products!$A$1:$A$49,0),MATCH(N$1,products!$A$1:$G$1,0))</f>
        <v>7.29</v>
      </c>
      <c r="O194" s="7">
        <f t="shared" ref="O194:O257" si="3">N194*G194</f>
        <v>21.87</v>
      </c>
      <c r="P194" t="str" cm="1">
        <f t="array" ref="P194">_xlfn.IFS(K194="Rob","Robusta",K194="Exc","Excelsa",K194="Ara","Arabica",K194="Lib","Liberica")</f>
        <v>Excelsa</v>
      </c>
      <c r="Q194" t="str" cm="1">
        <f t="array" ref="Q194">_xlfn.IFS(L194="M","Medium",L194="L","Light",L194="D","Dark")</f>
        <v>Dark</v>
      </c>
      <c r="R194" t="str">
        <f>_xlfn.XLOOKUP(Orders[[#This Row],[Customer ID]],customers!$A$1:$A$1001,customers!$I$1:$I$1001)</f>
        <v>No</v>
      </c>
    </row>
    <row r="195" spans="1:18" x14ac:dyDescent="0.35">
      <c r="A195" s="2" t="s">
        <v>4915</v>
      </c>
      <c r="B195" s="4">
        <v>44312</v>
      </c>
      <c r="C195" s="23">
        <f>Orders[[#This Row],[Order Date]]</f>
        <v>44312</v>
      </c>
      <c r="D195" s="2">
        <f>YEAR(Orders[[#This Row],[Order Date]])</f>
        <v>2021</v>
      </c>
      <c r="E195" s="2" t="s">
        <v>4916</v>
      </c>
      <c r="F195" t="s">
        <v>6160</v>
      </c>
      <c r="G195" s="20">
        <v>5</v>
      </c>
      <c r="H195" s="2" t="str">
        <f>INDEX(customers!$A$1:$I$1001,MATCH($E195,customers!$A$1:$A$1001,),MATCH($H$1,customers!$A$1:$I$1,0))</f>
        <v>Chris Croster</v>
      </c>
      <c r="I195" s="2" t="str">
        <f>IF(INDEX(customers!$A$1:$I$1001,MATCH($E195,customers!$A$1:$A$1001,0),3)=0,"",INDEX(customers!$A$1:$I$1001,MATCH($E195,customers!$A$1:$A$1001,0),3))</f>
        <v>ccrosterlr@gov.uk</v>
      </c>
      <c r="J195" s="2" t="str">
        <f>_xlfn.XLOOKUP(E195,customers!$A$1:$A$1001,customers!$G$1:$G$1001)</f>
        <v>United States</v>
      </c>
      <c r="K195" t="str">
        <f>INDEX(products!$A$1:$G$49,MATCH($F195,products!$A$1:$A$49,0),MATCH(K$1,products!$A$1:$G$1,0))</f>
        <v>Lib</v>
      </c>
      <c r="L195" t="str">
        <f>INDEX(products!$A$1:$G$49,MATCH($F195,products!$A$1:$A$49,0),MATCH(L$1,products!$A$1:$G$1,0))</f>
        <v>M</v>
      </c>
      <c r="M195" s="5">
        <f>INDEX(products!$A$1:$G$49,MATCH($F195,products!$A$1:$A$49,0),MATCH(M$1,products!$A$1:$G$1,0))</f>
        <v>0.5</v>
      </c>
      <c r="N195" s="7">
        <f>INDEX(products!$A$1:$G$49,MATCH($F195,products!$A$1:$A$49,0),MATCH(N$1,products!$A$1:$G$1,0))</f>
        <v>8.73</v>
      </c>
      <c r="O195" s="7">
        <f t="shared" si="3"/>
        <v>43.650000000000006</v>
      </c>
      <c r="P195" t="str" cm="1">
        <f t="array" ref="P195">_xlfn.IFS(K195="Rob","Robusta",K195="Exc","Excelsa",K195="Ara","Arabica",K195="Lib","Liberica")</f>
        <v>Liberica</v>
      </c>
      <c r="Q195" t="str" cm="1">
        <f t="array" ref="Q195">_xlfn.IFS(L195="M","Medium",L195="L","Light",L195="D","Dark")</f>
        <v>Medium</v>
      </c>
      <c r="R195" t="str">
        <f>_xlfn.XLOOKUP(Orders[[#This Row],[Customer ID]],customers!$A$1:$A$1001,customers!$I$1:$I$1001)</f>
        <v>Yes</v>
      </c>
    </row>
    <row r="196" spans="1:18" x14ac:dyDescent="0.35">
      <c r="A196" s="2" t="s">
        <v>1849</v>
      </c>
      <c r="B196" s="4">
        <v>44082</v>
      </c>
      <c r="C196" s="23">
        <f>Orders[[#This Row],[Order Date]]</f>
        <v>44082</v>
      </c>
      <c r="D196" s="2">
        <f>YEAR(Orders[[#This Row],[Order Date]])</f>
        <v>2020</v>
      </c>
      <c r="E196" s="2" t="s">
        <v>1850</v>
      </c>
      <c r="F196" t="s">
        <v>6151</v>
      </c>
      <c r="G196" s="20">
        <v>2</v>
      </c>
      <c r="H196" s="2" t="str">
        <f>INDEX(customers!$A$1:$I$1001,MATCH($E196,customers!$A$1:$A$1001,),MATCH($H$1,customers!$A$1:$I$1,0))</f>
        <v>Christel Speak</v>
      </c>
      <c r="I196" s="2" t="str">
        <f>IF(INDEX(customers!$A$1:$I$1001,MATCH($E196,customers!$A$1:$A$1001,0),3)=0,"",INDEX(customers!$A$1:$I$1001,MATCH($E196,customers!$A$1:$A$1001,0),3))</f>
        <v/>
      </c>
      <c r="J196" s="2" t="str">
        <f>_xlfn.XLOOKUP(E196,customers!$A$1:$A$1001,customers!$G$1:$G$1001)</f>
        <v>United States</v>
      </c>
      <c r="K196" t="str">
        <f>INDEX(products!$A$1:$G$49,MATCH($F196,products!$A$1:$A$49,0),MATCH(K$1,products!$A$1:$G$1,0))</f>
        <v>Rob</v>
      </c>
      <c r="L196" t="str">
        <f>INDEX(products!$A$1:$G$49,MATCH($F196,products!$A$1:$A$49,0),MATCH(L$1,products!$A$1:$G$1,0))</f>
        <v>M</v>
      </c>
      <c r="M196" s="5">
        <f>INDEX(products!$A$1:$G$49,MATCH($F196,products!$A$1:$A$49,0),MATCH(M$1,products!$A$1:$G$1,0))</f>
        <v>2.5</v>
      </c>
      <c r="N196" s="7">
        <f>INDEX(products!$A$1:$G$49,MATCH($F196,products!$A$1:$A$49,0),MATCH(N$1,products!$A$1:$G$1,0))</f>
        <v>22.884999999999998</v>
      </c>
      <c r="O196" s="7">
        <f t="shared" si="3"/>
        <v>45.769999999999996</v>
      </c>
      <c r="P196" t="str" cm="1">
        <f t="array" ref="P196">_xlfn.IFS(K196="Rob","Robusta",K196="Exc","Excelsa",K196="Ara","Arabica",K196="Lib","Liberica")</f>
        <v>Robusta</v>
      </c>
      <c r="Q196" t="str" cm="1">
        <f t="array" ref="Q196">_xlfn.IFS(L196="M","Medium",L196="L","Light",L196="D","Dark")</f>
        <v>Medium</v>
      </c>
      <c r="R196" t="str">
        <f>_xlfn.XLOOKUP(Orders[[#This Row],[Customer ID]],customers!$A$1:$A$1001,customers!$I$1:$I$1001)</f>
        <v>No</v>
      </c>
    </row>
    <row r="197" spans="1:18" x14ac:dyDescent="0.35">
      <c r="A197" s="2" t="s">
        <v>512</v>
      </c>
      <c r="B197" s="4">
        <v>44392</v>
      </c>
      <c r="C197" s="23">
        <f>Orders[[#This Row],[Order Date]]</f>
        <v>44392</v>
      </c>
      <c r="D197" s="2">
        <f>YEAR(Orders[[#This Row],[Order Date]])</f>
        <v>2021</v>
      </c>
      <c r="E197" s="2" t="s">
        <v>513</v>
      </c>
      <c r="F197" t="s">
        <v>6141</v>
      </c>
      <c r="G197" s="20">
        <v>2</v>
      </c>
      <c r="H197" s="2" t="str">
        <f>INDEX(customers!$A$1:$I$1001,MATCH($E197,customers!$A$1:$A$1001,),MATCH($H$1,customers!$A$1:$I$1,0))</f>
        <v>Christoffer O' Shea</v>
      </c>
      <c r="I197" s="2" t="str">
        <f>IF(INDEX(customers!$A$1:$I$1001,MATCH($E197,customers!$A$1:$A$1001,0),3)=0,"",INDEX(customers!$A$1:$I$1001,MATCH($E197,customers!$A$1:$A$1001,0),3))</f>
        <v/>
      </c>
      <c r="J197" s="2" t="str">
        <f>_xlfn.XLOOKUP(E197,customers!$A$1:$A$1001,customers!$G$1:$G$1001)</f>
        <v>Ireland</v>
      </c>
      <c r="K197" t="str">
        <f>INDEX(products!$A$1:$G$49,MATCH($F197,products!$A$1:$A$49,0),MATCH(K$1,products!$A$1:$G$1,0))</f>
        <v>Exc</v>
      </c>
      <c r="L197" t="str">
        <f>INDEX(products!$A$1:$G$49,MATCH($F197,products!$A$1:$A$49,0),MATCH(L$1,products!$A$1:$G$1,0))</f>
        <v>M</v>
      </c>
      <c r="M197" s="5">
        <f>INDEX(products!$A$1:$G$49,MATCH($F197,products!$A$1:$A$49,0),MATCH(M$1,products!$A$1:$G$1,0))</f>
        <v>1</v>
      </c>
      <c r="N197" s="7">
        <f>INDEX(products!$A$1:$G$49,MATCH($F197,products!$A$1:$A$49,0),MATCH(N$1,products!$A$1:$G$1,0))</f>
        <v>13.75</v>
      </c>
      <c r="O197" s="7">
        <f t="shared" si="3"/>
        <v>27.5</v>
      </c>
      <c r="P197" t="str" cm="1">
        <f t="array" ref="P197">_xlfn.IFS(K197="Rob","Robusta",K197="Exc","Excelsa",K197="Ara","Arabica",K197="Lib","Liberica")</f>
        <v>Excelsa</v>
      </c>
      <c r="Q197" t="str" cm="1">
        <f t="array" ref="Q197">_xlfn.IFS(L197="M","Medium",L197="L","Light",L197="D","Dark")</f>
        <v>Medium</v>
      </c>
      <c r="R197" t="str">
        <f>_xlfn.XLOOKUP(Orders[[#This Row],[Customer ID]],customers!$A$1:$A$1001,customers!$I$1:$I$1001)</f>
        <v>No</v>
      </c>
    </row>
    <row r="198" spans="1:18" x14ac:dyDescent="0.35">
      <c r="A198" s="2" t="s">
        <v>512</v>
      </c>
      <c r="B198" s="4">
        <v>44392</v>
      </c>
      <c r="C198" s="23">
        <f>Orders[[#This Row],[Order Date]]</f>
        <v>44392</v>
      </c>
      <c r="D198" s="2">
        <f>YEAR(Orders[[#This Row],[Order Date]])</f>
        <v>2021</v>
      </c>
      <c r="E198" s="2" t="s">
        <v>513</v>
      </c>
      <c r="F198" t="s">
        <v>6142</v>
      </c>
      <c r="G198" s="20">
        <v>2</v>
      </c>
      <c r="H198" s="2" t="str">
        <f>INDEX(customers!$A$1:$I$1001,MATCH($E198,customers!$A$1:$A$1001,),MATCH($H$1,customers!$A$1:$I$1,0))</f>
        <v>Christoffer O' Shea</v>
      </c>
      <c r="I198" s="2" t="str">
        <f>IF(INDEX(customers!$A$1:$I$1001,MATCH($E198,customers!$A$1:$A$1001,0),3)=0,"",INDEX(customers!$A$1:$I$1001,MATCH($E198,customers!$A$1:$A$1001,0),3))</f>
        <v/>
      </c>
      <c r="J198" s="2" t="str">
        <f>_xlfn.XLOOKUP(E198,customers!$A$1:$A$1001,customers!$G$1:$G$1001)</f>
        <v>Ireland</v>
      </c>
      <c r="K198" t="str">
        <f>INDEX(products!$A$1:$G$49,MATCH($F198,products!$A$1:$A$49,0),MATCH(K$1,products!$A$1:$G$1,0))</f>
        <v>Rob</v>
      </c>
      <c r="L198" t="str">
        <f>INDEX(products!$A$1:$G$49,MATCH($F198,products!$A$1:$A$49,0),MATCH(L$1,products!$A$1:$G$1,0))</f>
        <v>L</v>
      </c>
      <c r="M198" s="5">
        <f>INDEX(products!$A$1:$G$49,MATCH($F198,products!$A$1:$A$49,0),MATCH(M$1,products!$A$1:$G$1,0))</f>
        <v>2.5</v>
      </c>
      <c r="N198" s="7">
        <f>INDEX(products!$A$1:$G$49,MATCH($F198,products!$A$1:$A$49,0),MATCH(N$1,products!$A$1:$G$1,0))</f>
        <v>27.484999999999996</v>
      </c>
      <c r="O198" s="7">
        <f t="shared" si="3"/>
        <v>54.969999999999992</v>
      </c>
      <c r="P198" t="str" cm="1">
        <f t="array" ref="P198">_xlfn.IFS(K198="Rob","Robusta",K198="Exc","Excelsa",K198="Ara","Arabica",K198="Lib","Liberica")</f>
        <v>Robusta</v>
      </c>
      <c r="Q198" t="str" cm="1">
        <f t="array" ref="Q198">_xlfn.IFS(L198="M","Medium",L198="L","Light",L198="D","Dark")</f>
        <v>Light</v>
      </c>
      <c r="R198" t="str">
        <f>_xlfn.XLOOKUP(Orders[[#This Row],[Customer ID]],customers!$A$1:$A$1001,customers!$I$1:$I$1001)</f>
        <v>No</v>
      </c>
    </row>
    <row r="199" spans="1:18" x14ac:dyDescent="0.35">
      <c r="A199" s="2" t="s">
        <v>2074</v>
      </c>
      <c r="B199" s="4">
        <v>44234</v>
      </c>
      <c r="C199" s="23">
        <f>Orders[[#This Row],[Order Date]]</f>
        <v>44234</v>
      </c>
      <c r="D199" s="2">
        <f>YEAR(Orders[[#This Row],[Order Date]])</f>
        <v>2021</v>
      </c>
      <c r="E199" s="2" t="s">
        <v>2075</v>
      </c>
      <c r="F199" t="s">
        <v>6139</v>
      </c>
      <c r="G199" s="20">
        <v>5</v>
      </c>
      <c r="H199" s="2" t="str">
        <f>INDEX(customers!$A$1:$I$1001,MATCH($E199,customers!$A$1:$A$1001,),MATCH($H$1,customers!$A$1:$I$1,0))</f>
        <v>Christopher Grieveson</v>
      </c>
      <c r="I199" s="2" t="str">
        <f>IF(INDEX(customers!$A$1:$I$1001,MATCH($E199,customers!$A$1:$A$1001,0),3)=0,"",INDEX(customers!$A$1:$I$1001,MATCH($E199,customers!$A$1:$A$1001,0),3))</f>
        <v/>
      </c>
      <c r="J199" s="2" t="str">
        <f>_xlfn.XLOOKUP(E199,customers!$A$1:$A$1001,customers!$G$1:$G$1001)</f>
        <v>United States</v>
      </c>
      <c r="K199" t="str">
        <f>INDEX(products!$A$1:$G$49,MATCH($F199,products!$A$1:$A$49,0),MATCH(K$1,products!$A$1:$G$1,0))</f>
        <v>Exc</v>
      </c>
      <c r="L199" t="str">
        <f>INDEX(products!$A$1:$G$49,MATCH($F199,products!$A$1:$A$49,0),MATCH(L$1,products!$A$1:$G$1,0))</f>
        <v>M</v>
      </c>
      <c r="M199" s="5">
        <f>INDEX(products!$A$1:$G$49,MATCH($F199,products!$A$1:$A$49,0),MATCH(M$1,products!$A$1:$G$1,0))</f>
        <v>0.5</v>
      </c>
      <c r="N199" s="7">
        <f>INDEX(products!$A$1:$G$49,MATCH($F199,products!$A$1:$A$49,0),MATCH(N$1,products!$A$1:$G$1,0))</f>
        <v>8.25</v>
      </c>
      <c r="O199" s="7">
        <f t="shared" si="3"/>
        <v>41.25</v>
      </c>
      <c r="P199" t="str" cm="1">
        <f t="array" ref="P199">_xlfn.IFS(K199="Rob","Robusta",K199="Exc","Excelsa",K199="Ara","Arabica",K199="Lib","Liberica")</f>
        <v>Excelsa</v>
      </c>
      <c r="Q199" t="str" cm="1">
        <f t="array" ref="Q199">_xlfn.IFS(L199="M","Medium",L199="L","Light",L199="D","Dark")</f>
        <v>Medium</v>
      </c>
      <c r="R199" t="str">
        <f>_xlfn.XLOOKUP(Orders[[#This Row],[Customer ID]],customers!$A$1:$A$1001,customers!$I$1:$I$1001)</f>
        <v>Yes</v>
      </c>
    </row>
    <row r="200" spans="1:18" x14ac:dyDescent="0.35">
      <c r="A200" s="2" t="s">
        <v>626</v>
      </c>
      <c r="B200" s="4">
        <v>44454</v>
      </c>
      <c r="C200" s="23">
        <f>Orders[[#This Row],[Order Date]]</f>
        <v>44454</v>
      </c>
      <c r="D200" s="2">
        <f>YEAR(Orders[[#This Row],[Order Date]])</f>
        <v>2021</v>
      </c>
      <c r="E200" s="2" t="s">
        <v>627</v>
      </c>
      <c r="F200" t="s">
        <v>6155</v>
      </c>
      <c r="G200" s="20">
        <v>1</v>
      </c>
      <c r="H200" s="2" t="str">
        <f>INDEX(customers!$A$1:$I$1001,MATCH($E200,customers!$A$1:$A$1001,),MATCH($H$1,customers!$A$1:$I$1,0))</f>
        <v>Chrisy Blofeld</v>
      </c>
      <c r="I200" s="2" t="str">
        <f>IF(INDEX(customers!$A$1:$I$1001,MATCH($E200,customers!$A$1:$A$1001,0),3)=0,"",INDEX(customers!$A$1:$I$1001,MATCH($E200,customers!$A$1:$A$1001,0),3))</f>
        <v>cblofeldo@amazon.co.uk</v>
      </c>
      <c r="J200" s="2" t="str">
        <f>_xlfn.XLOOKUP(E200,customers!$A$1:$A$1001,customers!$G$1:$G$1001)</f>
        <v>United States</v>
      </c>
      <c r="K200" t="str">
        <f>INDEX(products!$A$1:$G$49,MATCH($F200,products!$A$1:$A$49,0),MATCH(K$1,products!$A$1:$G$1,0))</f>
        <v>Ara</v>
      </c>
      <c r="L200" t="str">
        <f>INDEX(products!$A$1:$G$49,MATCH($F200,products!$A$1:$A$49,0),MATCH(L$1,products!$A$1:$G$1,0))</f>
        <v>M</v>
      </c>
      <c r="M200" s="5">
        <f>INDEX(products!$A$1:$G$49,MATCH($F200,products!$A$1:$A$49,0),MATCH(M$1,products!$A$1:$G$1,0))</f>
        <v>1</v>
      </c>
      <c r="N200" s="7">
        <f>INDEX(products!$A$1:$G$49,MATCH($F200,products!$A$1:$A$49,0),MATCH(N$1,products!$A$1:$G$1,0))</f>
        <v>11.25</v>
      </c>
      <c r="O200" s="7">
        <f t="shared" si="3"/>
        <v>11.25</v>
      </c>
      <c r="P200" t="str" cm="1">
        <f t="array" ref="P200">_xlfn.IFS(K200="Rob","Robusta",K200="Exc","Excelsa",K200="Ara","Arabica",K200="Lib","Liberica")</f>
        <v>Arabica</v>
      </c>
      <c r="Q200" t="str" cm="1">
        <f t="array" ref="Q200">_xlfn.IFS(L200="M","Medium",L200="L","Light",L200="D","Dark")</f>
        <v>Medium</v>
      </c>
      <c r="R200" t="str">
        <f>_xlfn.XLOOKUP(Orders[[#This Row],[Customer ID]],customers!$A$1:$A$1001,customers!$I$1:$I$1001)</f>
        <v>No</v>
      </c>
    </row>
    <row r="201" spans="1:18" x14ac:dyDescent="0.35">
      <c r="A201" s="2" t="s">
        <v>4792</v>
      </c>
      <c r="B201" s="4">
        <v>43714</v>
      </c>
      <c r="C201" s="23">
        <f>Orders[[#This Row],[Order Date]]</f>
        <v>43714</v>
      </c>
      <c r="D201" s="2">
        <f>YEAR(Orders[[#This Row],[Order Date]])</f>
        <v>2019</v>
      </c>
      <c r="E201" s="2" t="s">
        <v>4793</v>
      </c>
      <c r="F201" t="s">
        <v>6171</v>
      </c>
      <c r="G201" s="20">
        <v>6</v>
      </c>
      <c r="H201" s="2" t="str">
        <f>INDEX(customers!$A$1:$I$1001,MATCH($E201,customers!$A$1:$A$1001,),MATCH($H$1,customers!$A$1:$I$1,0))</f>
        <v>Chuck Kendrick</v>
      </c>
      <c r="I201" s="2" t="str">
        <f>IF(INDEX(customers!$A$1:$I$1001,MATCH($E201,customers!$A$1:$A$1001,0),3)=0,"",INDEX(customers!$A$1:$I$1001,MATCH($E201,customers!$A$1:$A$1001,0),3))</f>
        <v>ckendrickl5@webnode.com</v>
      </c>
      <c r="J201" s="2" t="str">
        <f>_xlfn.XLOOKUP(E201,customers!$A$1:$A$1001,customers!$G$1:$G$1001)</f>
        <v>United States</v>
      </c>
      <c r="K201" t="str">
        <f>INDEX(products!$A$1:$G$49,MATCH($F201,products!$A$1:$A$49,0),MATCH(K$1,products!$A$1:$G$1,0))</f>
        <v>Exc</v>
      </c>
      <c r="L201" t="str">
        <f>INDEX(products!$A$1:$G$49,MATCH($F201,products!$A$1:$A$49,0),MATCH(L$1,products!$A$1:$G$1,0))</f>
        <v>L</v>
      </c>
      <c r="M201" s="5">
        <f>INDEX(products!$A$1:$G$49,MATCH($F201,products!$A$1:$A$49,0),MATCH(M$1,products!$A$1:$G$1,0))</f>
        <v>1</v>
      </c>
      <c r="N201" s="7">
        <f>INDEX(products!$A$1:$G$49,MATCH($F201,products!$A$1:$A$49,0),MATCH(N$1,products!$A$1:$G$1,0))</f>
        <v>14.85</v>
      </c>
      <c r="O201" s="7">
        <f t="shared" si="3"/>
        <v>89.1</v>
      </c>
      <c r="P201" t="str" cm="1">
        <f t="array" ref="P201">_xlfn.IFS(K201="Rob","Robusta",K201="Exc","Excelsa",K201="Ara","Arabica",K201="Lib","Liberica")</f>
        <v>Excelsa</v>
      </c>
      <c r="Q201" t="str" cm="1">
        <f t="array" ref="Q201">_xlfn.IFS(L201="M","Medium",L201="L","Light",L201="D","Dark")</f>
        <v>Light</v>
      </c>
      <c r="R201" t="str">
        <f>_xlfn.XLOOKUP(Orders[[#This Row],[Customer ID]],customers!$A$1:$A$1001,customers!$I$1:$I$1001)</f>
        <v>Yes</v>
      </c>
    </row>
    <row r="202" spans="1:18" x14ac:dyDescent="0.35">
      <c r="A202" s="2" t="s">
        <v>3408</v>
      </c>
      <c r="B202" s="4">
        <v>44723</v>
      </c>
      <c r="C202" s="23">
        <f>Orders[[#This Row],[Order Date]]</f>
        <v>44723</v>
      </c>
      <c r="D202" s="2">
        <f>YEAR(Orders[[#This Row],[Order Date]])</f>
        <v>2022</v>
      </c>
      <c r="E202" s="2" t="s">
        <v>3409</v>
      </c>
      <c r="F202" t="s">
        <v>6149</v>
      </c>
      <c r="G202" s="20">
        <v>5</v>
      </c>
      <c r="H202" s="2" t="str">
        <f>INDEX(customers!$A$1:$I$1001,MATCH($E202,customers!$A$1:$A$1001,),MATCH($H$1,customers!$A$1:$I$1,0))</f>
        <v>Cindra Burling</v>
      </c>
      <c r="I202" s="2" t="str">
        <f>IF(INDEX(customers!$A$1:$I$1001,MATCH($E202,customers!$A$1:$A$1001,0),3)=0,"",INDEX(customers!$A$1:$I$1001,MATCH($E202,customers!$A$1:$A$1001,0),3))</f>
        <v/>
      </c>
      <c r="J202" s="2" t="str">
        <f>_xlfn.XLOOKUP(E202,customers!$A$1:$A$1001,customers!$G$1:$G$1001)</f>
        <v>United States</v>
      </c>
      <c r="K202" t="str">
        <f>INDEX(products!$A$1:$G$49,MATCH($F202,products!$A$1:$A$49,0),MATCH(K$1,products!$A$1:$G$1,0))</f>
        <v>Rob</v>
      </c>
      <c r="L202" t="str">
        <f>INDEX(products!$A$1:$G$49,MATCH($F202,products!$A$1:$A$49,0),MATCH(L$1,products!$A$1:$G$1,0))</f>
        <v>D</v>
      </c>
      <c r="M202" s="5">
        <f>INDEX(products!$A$1:$G$49,MATCH($F202,products!$A$1:$A$49,0),MATCH(M$1,products!$A$1:$G$1,0))</f>
        <v>2.5</v>
      </c>
      <c r="N202" s="7">
        <f>INDEX(products!$A$1:$G$49,MATCH($F202,products!$A$1:$A$49,0),MATCH(N$1,products!$A$1:$G$1,0))</f>
        <v>20.584999999999997</v>
      </c>
      <c r="O202" s="7">
        <f t="shared" si="3"/>
        <v>102.92499999999998</v>
      </c>
      <c r="P202" t="str" cm="1">
        <f t="array" ref="P202">_xlfn.IFS(K202="Rob","Robusta",K202="Exc","Excelsa",K202="Ara","Arabica",K202="Lib","Liberica")</f>
        <v>Robusta</v>
      </c>
      <c r="Q202" t="str" cm="1">
        <f t="array" ref="Q202">_xlfn.IFS(L202="M","Medium",L202="L","Light",L202="D","Dark")</f>
        <v>Dark</v>
      </c>
      <c r="R202" t="str">
        <f>_xlfn.XLOOKUP(Orders[[#This Row],[Customer ID]],customers!$A$1:$A$1001,customers!$I$1:$I$1001)</f>
        <v>Yes</v>
      </c>
    </row>
    <row r="203" spans="1:18" x14ac:dyDescent="0.35">
      <c r="A203" s="2" t="s">
        <v>3633</v>
      </c>
      <c r="B203" s="4">
        <v>44523</v>
      </c>
      <c r="C203" s="23">
        <f>Orders[[#This Row],[Order Date]]</f>
        <v>44523</v>
      </c>
      <c r="D203" s="2">
        <f>YEAR(Orders[[#This Row],[Order Date]])</f>
        <v>2021</v>
      </c>
      <c r="E203" s="2" t="s">
        <v>3634</v>
      </c>
      <c r="F203" t="s">
        <v>6159</v>
      </c>
      <c r="G203" s="20">
        <v>2</v>
      </c>
      <c r="H203" s="2" t="str">
        <f>INDEX(customers!$A$1:$I$1001,MATCH($E203,customers!$A$1:$A$1001,),MATCH($H$1,customers!$A$1:$I$1,0))</f>
        <v>Cissiee Raisbeck</v>
      </c>
      <c r="I203" s="2" t="str">
        <f>IF(INDEX(customers!$A$1:$I$1001,MATCH($E203,customers!$A$1:$A$1001,0),3)=0,"",INDEX(customers!$A$1:$I$1001,MATCH($E203,customers!$A$1:$A$1001,0),3))</f>
        <v>craisbeckfg@webnode.com</v>
      </c>
      <c r="J203" s="2" t="str">
        <f>_xlfn.XLOOKUP(E203,customers!$A$1:$A$1001,customers!$G$1:$G$1001)</f>
        <v>United States</v>
      </c>
      <c r="K203" t="str">
        <f>INDEX(products!$A$1:$G$49,MATCH($F203,products!$A$1:$A$49,0),MATCH(K$1,products!$A$1:$G$1,0))</f>
        <v>Lib</v>
      </c>
      <c r="L203" t="str">
        <f>INDEX(products!$A$1:$G$49,MATCH($F203,products!$A$1:$A$49,0),MATCH(L$1,products!$A$1:$G$1,0))</f>
        <v>M</v>
      </c>
      <c r="M203" s="5">
        <f>INDEX(products!$A$1:$G$49,MATCH($F203,products!$A$1:$A$49,0),MATCH(M$1,products!$A$1:$G$1,0))</f>
        <v>0.2</v>
      </c>
      <c r="N203" s="7">
        <f>INDEX(products!$A$1:$G$49,MATCH($F203,products!$A$1:$A$49,0),MATCH(N$1,products!$A$1:$G$1,0))</f>
        <v>4.3650000000000002</v>
      </c>
      <c r="O203" s="7">
        <f t="shared" si="3"/>
        <v>8.73</v>
      </c>
      <c r="P203" t="str" cm="1">
        <f t="array" ref="P203">_xlfn.IFS(K203="Rob","Robusta",K203="Exc","Excelsa",K203="Ara","Arabica",K203="Lib","Liberica")</f>
        <v>Liberica</v>
      </c>
      <c r="Q203" t="str" cm="1">
        <f t="array" ref="Q203">_xlfn.IFS(L203="M","Medium",L203="L","Light",L203="D","Dark")</f>
        <v>Medium</v>
      </c>
      <c r="R203" t="str">
        <f>_xlfn.XLOOKUP(Orders[[#This Row],[Customer ID]],customers!$A$1:$A$1001,customers!$I$1:$I$1001)</f>
        <v>Yes</v>
      </c>
    </row>
    <row r="204" spans="1:18" x14ac:dyDescent="0.35">
      <c r="A204" s="2" t="s">
        <v>1413</v>
      </c>
      <c r="B204" s="4">
        <v>44182</v>
      </c>
      <c r="C204" s="23">
        <f>Orders[[#This Row],[Order Date]]</f>
        <v>44182</v>
      </c>
      <c r="D204" s="2">
        <f>YEAR(Orders[[#This Row],[Order Date]])</f>
        <v>2020</v>
      </c>
      <c r="E204" s="2" t="s">
        <v>1414</v>
      </c>
      <c r="F204" t="s">
        <v>6144</v>
      </c>
      <c r="G204" s="20">
        <v>4</v>
      </c>
      <c r="H204" s="2" t="str">
        <f>INDEX(customers!$A$1:$I$1001,MATCH($E204,customers!$A$1:$A$1001,),MATCH($H$1,customers!$A$1:$I$1,0))</f>
        <v>Claiborne Feye</v>
      </c>
      <c r="I204" s="2" t="str">
        <f>IF(INDEX(customers!$A$1:$I$1001,MATCH($E204,customers!$A$1:$A$1001,0),3)=0,"",INDEX(customers!$A$1:$I$1001,MATCH($E204,customers!$A$1:$A$1001,0),3))</f>
        <v>cfeye4k@google.co.jp</v>
      </c>
      <c r="J204" s="2" t="str">
        <f>_xlfn.XLOOKUP(E204,customers!$A$1:$A$1001,customers!$G$1:$G$1001)</f>
        <v>Ireland</v>
      </c>
      <c r="K204" t="str">
        <f>INDEX(products!$A$1:$G$49,MATCH($F204,products!$A$1:$A$49,0),MATCH(K$1,products!$A$1:$G$1,0))</f>
        <v>Exc</v>
      </c>
      <c r="L204" t="str">
        <f>INDEX(products!$A$1:$G$49,MATCH($F204,products!$A$1:$A$49,0),MATCH(L$1,products!$A$1:$G$1,0))</f>
        <v>D</v>
      </c>
      <c r="M204" s="5">
        <f>INDEX(products!$A$1:$G$49,MATCH($F204,products!$A$1:$A$49,0),MATCH(M$1,products!$A$1:$G$1,0))</f>
        <v>0.5</v>
      </c>
      <c r="N204" s="7">
        <f>INDEX(products!$A$1:$G$49,MATCH($F204,products!$A$1:$A$49,0),MATCH(N$1,products!$A$1:$G$1,0))</f>
        <v>7.29</v>
      </c>
      <c r="O204" s="7">
        <f t="shared" si="3"/>
        <v>29.16</v>
      </c>
      <c r="P204" t="str" cm="1">
        <f t="array" ref="P204">_xlfn.IFS(K204="Rob","Robusta",K204="Exc","Excelsa",K204="Ara","Arabica",K204="Lib","Liberica")</f>
        <v>Excelsa</v>
      </c>
      <c r="Q204" t="str" cm="1">
        <f t="array" ref="Q204">_xlfn.IFS(L204="M","Medium",L204="L","Light",L204="D","Dark")</f>
        <v>Dark</v>
      </c>
      <c r="R204" t="str">
        <f>_xlfn.XLOOKUP(Orders[[#This Row],[Customer ID]],customers!$A$1:$A$1001,customers!$I$1:$I$1001)</f>
        <v>No</v>
      </c>
    </row>
    <row r="205" spans="1:18" x14ac:dyDescent="0.35">
      <c r="A205" s="2" t="s">
        <v>3700</v>
      </c>
      <c r="B205" s="4">
        <v>44526</v>
      </c>
      <c r="C205" s="23">
        <f>Orders[[#This Row],[Order Date]]</f>
        <v>44526</v>
      </c>
      <c r="D205" s="2">
        <f>YEAR(Orders[[#This Row],[Order Date]])</f>
        <v>2021</v>
      </c>
      <c r="E205" s="2" t="s">
        <v>3701</v>
      </c>
      <c r="F205" t="s">
        <v>6145</v>
      </c>
      <c r="G205" s="20">
        <v>4</v>
      </c>
      <c r="H205" s="2" t="str">
        <f>INDEX(customers!$A$1:$I$1001,MATCH($E205,customers!$A$1:$A$1001,),MATCH($H$1,customers!$A$1:$I$1,0))</f>
        <v>Claiborne Mottram</v>
      </c>
      <c r="I205" s="2" t="str">
        <f>IF(INDEX(customers!$A$1:$I$1001,MATCH($E205,customers!$A$1:$A$1001,0),3)=0,"",INDEX(customers!$A$1:$I$1001,MATCH($E205,customers!$A$1:$A$1001,0),3))</f>
        <v>cmottramfs@harvard.edu</v>
      </c>
      <c r="J205" s="2" t="str">
        <f>_xlfn.XLOOKUP(E205,customers!$A$1:$A$1001,customers!$G$1:$G$1001)</f>
        <v>United States</v>
      </c>
      <c r="K205" t="str">
        <f>INDEX(products!$A$1:$G$49,MATCH($F205,products!$A$1:$A$49,0),MATCH(K$1,products!$A$1:$G$1,0))</f>
        <v>Lib</v>
      </c>
      <c r="L205" t="str">
        <f>INDEX(products!$A$1:$G$49,MATCH($F205,products!$A$1:$A$49,0),MATCH(L$1,products!$A$1:$G$1,0))</f>
        <v>L</v>
      </c>
      <c r="M205" s="5">
        <f>INDEX(products!$A$1:$G$49,MATCH($F205,products!$A$1:$A$49,0),MATCH(M$1,products!$A$1:$G$1,0))</f>
        <v>0.2</v>
      </c>
      <c r="N205" s="7">
        <f>INDEX(products!$A$1:$G$49,MATCH($F205,products!$A$1:$A$49,0),MATCH(N$1,products!$A$1:$G$1,0))</f>
        <v>4.7549999999999999</v>
      </c>
      <c r="O205" s="7">
        <f t="shared" si="3"/>
        <v>19.02</v>
      </c>
      <c r="P205" t="str" cm="1">
        <f t="array" ref="P205">_xlfn.IFS(K205="Rob","Robusta",K205="Exc","Excelsa",K205="Ara","Arabica",K205="Lib","Liberica")</f>
        <v>Liberica</v>
      </c>
      <c r="Q205" t="str" cm="1">
        <f t="array" ref="Q205">_xlfn.IFS(L205="M","Medium",L205="L","Light",L205="D","Dark")</f>
        <v>Light</v>
      </c>
      <c r="R205" t="str">
        <f>_xlfn.XLOOKUP(Orders[[#This Row],[Customer ID]],customers!$A$1:$A$1001,customers!$I$1:$I$1001)</f>
        <v>Yes</v>
      </c>
    </row>
    <row r="206" spans="1:18" x14ac:dyDescent="0.35">
      <c r="A206" s="2" t="s">
        <v>6064</v>
      </c>
      <c r="B206" s="4">
        <v>43955</v>
      </c>
      <c r="C206" s="23">
        <f>Orders[[#This Row],[Order Date]]</f>
        <v>43955</v>
      </c>
      <c r="D206" s="2">
        <f>YEAR(Orders[[#This Row],[Order Date]])</f>
        <v>2020</v>
      </c>
      <c r="E206" s="2" t="s">
        <v>6065</v>
      </c>
      <c r="F206" t="s">
        <v>6181</v>
      </c>
      <c r="G206" s="20">
        <v>1</v>
      </c>
      <c r="H206" s="2" t="str">
        <f>INDEX(customers!$A$1:$I$1001,MATCH($E206,customers!$A$1:$A$1001,),MATCH($H$1,customers!$A$1:$I$1,0))</f>
        <v>Claudell Ayre</v>
      </c>
      <c r="I206" s="2" t="str">
        <f>IF(INDEX(customers!$A$1:$I$1001,MATCH($E206,customers!$A$1:$A$1001,0),3)=0,"",INDEX(customers!$A$1:$I$1001,MATCH($E206,customers!$A$1:$A$1001,0),3))</f>
        <v>cayrere@symantec.com</v>
      </c>
      <c r="J206" s="2" t="str">
        <f>_xlfn.XLOOKUP(E206,customers!$A$1:$A$1001,customers!$G$1:$G$1001)</f>
        <v>United States</v>
      </c>
      <c r="K206" t="str">
        <f>INDEX(products!$A$1:$G$49,MATCH($F206,products!$A$1:$A$49,0),MATCH(K$1,products!$A$1:$G$1,0))</f>
        <v>Lib</v>
      </c>
      <c r="L206" t="str">
        <f>INDEX(products!$A$1:$G$49,MATCH($F206,products!$A$1:$A$49,0),MATCH(L$1,products!$A$1:$G$1,0))</f>
        <v>M</v>
      </c>
      <c r="M206" s="5">
        <f>INDEX(products!$A$1:$G$49,MATCH($F206,products!$A$1:$A$49,0),MATCH(M$1,products!$A$1:$G$1,0))</f>
        <v>2.5</v>
      </c>
      <c r="N206" s="7">
        <f>INDEX(products!$A$1:$G$49,MATCH($F206,products!$A$1:$A$49,0),MATCH(N$1,products!$A$1:$G$1,0))</f>
        <v>33.464999999999996</v>
      </c>
      <c r="O206" s="7">
        <f t="shared" si="3"/>
        <v>33.464999999999996</v>
      </c>
      <c r="P206" t="str" cm="1">
        <f t="array" ref="P206">_xlfn.IFS(K206="Rob","Robusta",K206="Exc","Excelsa",K206="Ara","Arabica",K206="Lib","Liberica")</f>
        <v>Liberica</v>
      </c>
      <c r="Q206" t="str" cm="1">
        <f t="array" ref="Q206">_xlfn.IFS(L206="M","Medium",L206="L","Light",L206="D","Dark")</f>
        <v>Medium</v>
      </c>
      <c r="R206" t="str">
        <f>_xlfn.XLOOKUP(Orders[[#This Row],[Customer ID]],customers!$A$1:$A$1001,customers!$I$1:$I$1001)</f>
        <v>No</v>
      </c>
    </row>
    <row r="207" spans="1:18" x14ac:dyDescent="0.35">
      <c r="A207" s="2" t="s">
        <v>2244</v>
      </c>
      <c r="B207" s="4">
        <v>43951</v>
      </c>
      <c r="C207" s="23">
        <f>Orders[[#This Row],[Order Date]]</f>
        <v>43951</v>
      </c>
      <c r="D207" s="2">
        <f>YEAR(Orders[[#This Row],[Order Date]])</f>
        <v>2020</v>
      </c>
      <c r="E207" s="2" t="s">
        <v>2245</v>
      </c>
      <c r="F207" t="s">
        <v>6166</v>
      </c>
      <c r="G207" s="20">
        <v>6</v>
      </c>
      <c r="H207" s="2" t="str">
        <f>INDEX(customers!$A$1:$I$1001,MATCH($E207,customers!$A$1:$A$1001,),MATCH($H$1,customers!$A$1:$I$1,0))</f>
        <v>Claudetta Rushe</v>
      </c>
      <c r="I207" s="2" t="str">
        <f>IF(INDEX(customers!$A$1:$I$1001,MATCH($E207,customers!$A$1:$A$1001,0),3)=0,"",INDEX(customers!$A$1:$I$1001,MATCH($E207,customers!$A$1:$A$1001,0),3))</f>
        <v>crushe8n@about.me</v>
      </c>
      <c r="J207" s="2" t="str">
        <f>_xlfn.XLOOKUP(E207,customers!$A$1:$A$1001,customers!$G$1:$G$1001)</f>
        <v>United States</v>
      </c>
      <c r="K207" t="str">
        <f>INDEX(products!$A$1:$G$49,MATCH($F207,products!$A$1:$A$49,0),MATCH(K$1,products!$A$1:$G$1,0))</f>
        <v>Exc</v>
      </c>
      <c r="L207" t="str">
        <f>INDEX(products!$A$1:$G$49,MATCH($F207,products!$A$1:$A$49,0),MATCH(L$1,products!$A$1:$G$1,0))</f>
        <v>M</v>
      </c>
      <c r="M207" s="5">
        <f>INDEX(products!$A$1:$G$49,MATCH($F207,products!$A$1:$A$49,0),MATCH(M$1,products!$A$1:$G$1,0))</f>
        <v>2.5</v>
      </c>
      <c r="N207" s="7">
        <f>INDEX(products!$A$1:$G$49,MATCH($F207,products!$A$1:$A$49,0),MATCH(N$1,products!$A$1:$G$1,0))</f>
        <v>31.624999999999996</v>
      </c>
      <c r="O207" s="7">
        <f t="shared" si="3"/>
        <v>189.74999999999997</v>
      </c>
      <c r="P207" t="str" cm="1">
        <f t="array" ref="P207">_xlfn.IFS(K207="Rob","Robusta",K207="Exc","Excelsa",K207="Ara","Arabica",K207="Lib","Liberica")</f>
        <v>Excelsa</v>
      </c>
      <c r="Q207" t="str" cm="1">
        <f t="array" ref="Q207">_xlfn.IFS(L207="M","Medium",L207="L","Light",L207="D","Dark")</f>
        <v>Medium</v>
      </c>
      <c r="R207" t="str">
        <f>_xlfn.XLOOKUP(Orders[[#This Row],[Customer ID]],customers!$A$1:$A$1001,customers!$I$1:$I$1001)</f>
        <v>Yes</v>
      </c>
    </row>
    <row r="208" spans="1:18" x14ac:dyDescent="0.35">
      <c r="A208" s="2" t="s">
        <v>2204</v>
      </c>
      <c r="B208" s="4">
        <v>43828</v>
      </c>
      <c r="C208" s="23">
        <f>Orders[[#This Row],[Order Date]]</f>
        <v>43828</v>
      </c>
      <c r="D208" s="2">
        <f>YEAR(Orders[[#This Row],[Order Date]])</f>
        <v>2019</v>
      </c>
      <c r="E208" s="2" t="s">
        <v>2245</v>
      </c>
      <c r="F208" t="s">
        <v>6167</v>
      </c>
      <c r="G208" s="20">
        <v>1</v>
      </c>
      <c r="H208" s="2" t="str">
        <f>INDEX(customers!$A$1:$I$1001,MATCH($E208,customers!$A$1:$A$1001,),MATCH($H$1,customers!$A$1:$I$1,0))</f>
        <v>Claudetta Rushe</v>
      </c>
      <c r="I208" s="2" t="str">
        <f>IF(INDEX(customers!$A$1:$I$1001,MATCH($E208,customers!$A$1:$A$1001,0),3)=0,"",INDEX(customers!$A$1:$I$1001,MATCH($E208,customers!$A$1:$A$1001,0),3))</f>
        <v>crushe8n@about.me</v>
      </c>
      <c r="J208" s="2" t="str">
        <f>_xlfn.XLOOKUP(E208,customers!$A$1:$A$1001,customers!$G$1:$G$1001)</f>
        <v>United States</v>
      </c>
      <c r="K208" t="str">
        <f>INDEX(products!$A$1:$G$49,MATCH($F208,products!$A$1:$A$49,0),MATCH(K$1,products!$A$1:$G$1,0))</f>
        <v>Ara</v>
      </c>
      <c r="L208" t="str">
        <f>INDEX(products!$A$1:$G$49,MATCH($F208,products!$A$1:$A$49,0),MATCH(L$1,products!$A$1:$G$1,0))</f>
        <v>L</v>
      </c>
      <c r="M208" s="5">
        <f>INDEX(products!$A$1:$G$49,MATCH($F208,products!$A$1:$A$49,0),MATCH(M$1,products!$A$1:$G$1,0))</f>
        <v>0.2</v>
      </c>
      <c r="N208" s="7">
        <f>INDEX(products!$A$1:$G$49,MATCH($F208,products!$A$1:$A$49,0),MATCH(N$1,products!$A$1:$G$1,0))</f>
        <v>3.8849999999999998</v>
      </c>
      <c r="O208" s="7">
        <f t="shared" si="3"/>
        <v>3.8849999999999998</v>
      </c>
      <c r="P208" t="str" cm="1">
        <f t="array" ref="P208">_xlfn.IFS(K208="Rob","Robusta",K208="Exc","Excelsa",K208="Ara","Arabica",K208="Lib","Liberica")</f>
        <v>Arabica</v>
      </c>
      <c r="Q208" t="str" cm="1">
        <f t="array" ref="Q208">_xlfn.IFS(L208="M","Medium",L208="L","Light",L208="D","Dark")</f>
        <v>Light</v>
      </c>
      <c r="R208" t="str">
        <f>_xlfn.XLOOKUP(Orders[[#This Row],[Customer ID]],customers!$A$1:$A$1001,customers!$I$1:$I$1001)</f>
        <v>Yes</v>
      </c>
    </row>
    <row r="209" spans="1:18" x14ac:dyDescent="0.35">
      <c r="A209" s="2" t="s">
        <v>5421</v>
      </c>
      <c r="B209" s="4">
        <v>43521</v>
      </c>
      <c r="C209" s="23">
        <f>Orders[[#This Row],[Order Date]]</f>
        <v>43521</v>
      </c>
      <c r="D209" s="2">
        <f>YEAR(Orders[[#This Row],[Order Date]])</f>
        <v>2019</v>
      </c>
      <c r="E209" s="2" t="s">
        <v>5422</v>
      </c>
      <c r="F209" t="s">
        <v>6155</v>
      </c>
      <c r="G209" s="20">
        <v>2</v>
      </c>
      <c r="H209" s="2" t="str">
        <f>INDEX(customers!$A$1:$I$1001,MATCH($E209,customers!$A$1:$A$1001,),MATCH($H$1,customers!$A$1:$I$1,0))</f>
        <v>Claudie Weond</v>
      </c>
      <c r="I209" s="2" t="str">
        <f>IF(INDEX(customers!$A$1:$I$1001,MATCH($E209,customers!$A$1:$A$1001,0),3)=0,"",INDEX(customers!$A$1:$I$1001,MATCH($E209,customers!$A$1:$A$1001,0),3))</f>
        <v>cweondo8@theglobeandmail.com</v>
      </c>
      <c r="J209" s="2" t="str">
        <f>_xlfn.XLOOKUP(E209,customers!$A$1:$A$1001,customers!$G$1:$G$1001)</f>
        <v>United States</v>
      </c>
      <c r="K209" t="str">
        <f>INDEX(products!$A$1:$G$49,MATCH($F209,products!$A$1:$A$49,0),MATCH(K$1,products!$A$1:$G$1,0))</f>
        <v>Ara</v>
      </c>
      <c r="L209" t="str">
        <f>INDEX(products!$A$1:$G$49,MATCH($F209,products!$A$1:$A$49,0),MATCH(L$1,products!$A$1:$G$1,0))</f>
        <v>M</v>
      </c>
      <c r="M209" s="5">
        <f>INDEX(products!$A$1:$G$49,MATCH($F209,products!$A$1:$A$49,0),MATCH(M$1,products!$A$1:$G$1,0))</f>
        <v>1</v>
      </c>
      <c r="N209" s="7">
        <f>INDEX(products!$A$1:$G$49,MATCH($F209,products!$A$1:$A$49,0),MATCH(N$1,products!$A$1:$G$1,0))</f>
        <v>11.25</v>
      </c>
      <c r="O209" s="7">
        <f t="shared" si="3"/>
        <v>22.5</v>
      </c>
      <c r="P209" t="str" cm="1">
        <f t="array" ref="P209">_xlfn.IFS(K209="Rob","Robusta",K209="Exc","Excelsa",K209="Ara","Arabica",K209="Lib","Liberica")</f>
        <v>Arabica</v>
      </c>
      <c r="Q209" t="str" cm="1">
        <f t="array" ref="Q209">_xlfn.IFS(L209="M","Medium",L209="L","Light",L209="D","Dark")</f>
        <v>Medium</v>
      </c>
      <c r="R209" t="str">
        <f>_xlfn.XLOOKUP(Orders[[#This Row],[Customer ID]],customers!$A$1:$A$1001,customers!$I$1:$I$1001)</f>
        <v>No</v>
      </c>
    </row>
    <row r="210" spans="1:18" x14ac:dyDescent="0.35">
      <c r="A210" s="2" t="s">
        <v>6001</v>
      </c>
      <c r="B210" s="4">
        <v>44538</v>
      </c>
      <c r="C210" s="23">
        <f>Orders[[#This Row],[Order Date]]</f>
        <v>44538</v>
      </c>
      <c r="D210" s="2">
        <f>YEAR(Orders[[#This Row],[Order Date]])</f>
        <v>2021</v>
      </c>
      <c r="E210" s="2" t="s">
        <v>6002</v>
      </c>
      <c r="F210" t="s">
        <v>6154</v>
      </c>
      <c r="G210" s="20">
        <v>3</v>
      </c>
      <c r="H210" s="2" t="str">
        <f>INDEX(customers!$A$1:$I$1001,MATCH($E210,customers!$A$1:$A$1001,),MATCH($H$1,customers!$A$1:$I$1,0))</f>
        <v>Clayton Kingwell</v>
      </c>
      <c r="I210" s="2" t="str">
        <f>IF(INDEX(customers!$A$1:$I$1001,MATCH($E210,customers!$A$1:$A$1001,0),3)=0,"",INDEX(customers!$A$1:$I$1001,MATCH($E210,customers!$A$1:$A$1001,0),3))</f>
        <v>ckingwellr3@squarespace.com</v>
      </c>
      <c r="J210" s="2" t="str">
        <f>_xlfn.XLOOKUP(E210,customers!$A$1:$A$1001,customers!$G$1:$G$1001)</f>
        <v>Ireland</v>
      </c>
      <c r="K210" t="str">
        <f>INDEX(products!$A$1:$G$49,MATCH($F210,products!$A$1:$A$49,0),MATCH(K$1,products!$A$1:$G$1,0))</f>
        <v>Ara</v>
      </c>
      <c r="L210" t="str">
        <f>INDEX(products!$A$1:$G$49,MATCH($F210,products!$A$1:$A$49,0),MATCH(L$1,products!$A$1:$G$1,0))</f>
        <v>D</v>
      </c>
      <c r="M210" s="5">
        <f>INDEX(products!$A$1:$G$49,MATCH($F210,products!$A$1:$A$49,0),MATCH(M$1,products!$A$1:$G$1,0))</f>
        <v>0.2</v>
      </c>
      <c r="N210" s="7">
        <f>INDEX(products!$A$1:$G$49,MATCH($F210,products!$A$1:$A$49,0),MATCH(N$1,products!$A$1:$G$1,0))</f>
        <v>2.9849999999999999</v>
      </c>
      <c r="O210" s="7">
        <f t="shared" si="3"/>
        <v>8.9550000000000001</v>
      </c>
      <c r="P210" t="str" cm="1">
        <f t="array" ref="P210">_xlfn.IFS(K210="Rob","Robusta",K210="Exc","Excelsa",K210="Ara","Arabica",K210="Lib","Liberica")</f>
        <v>Arabica</v>
      </c>
      <c r="Q210" t="str" cm="1">
        <f t="array" ref="Q210">_xlfn.IFS(L210="M","Medium",L210="L","Light",L210="D","Dark")</f>
        <v>Dark</v>
      </c>
      <c r="R210" t="str">
        <f>_xlfn.XLOOKUP(Orders[[#This Row],[Customer ID]],customers!$A$1:$A$1001,customers!$I$1:$I$1001)</f>
        <v>Yes</v>
      </c>
    </row>
    <row r="211" spans="1:18" x14ac:dyDescent="0.35">
      <c r="A211" s="2" t="s">
        <v>2379</v>
      </c>
      <c r="B211" s="4">
        <v>43885</v>
      </c>
      <c r="C211" s="23">
        <f>Orders[[#This Row],[Order Date]]</f>
        <v>43885</v>
      </c>
      <c r="D211" s="2">
        <f>YEAR(Orders[[#This Row],[Order Date]])</f>
        <v>2020</v>
      </c>
      <c r="E211" s="2" t="s">
        <v>2380</v>
      </c>
      <c r="F211" t="s">
        <v>6145</v>
      </c>
      <c r="G211" s="20">
        <v>6</v>
      </c>
      <c r="H211" s="2" t="str">
        <f>INDEX(customers!$A$1:$I$1001,MATCH($E211,customers!$A$1:$A$1001,),MATCH($H$1,customers!$A$1:$I$1,0))</f>
        <v>Clement Vasiliev</v>
      </c>
      <c r="I211" s="2" t="str">
        <f>IF(INDEX(customers!$A$1:$I$1001,MATCH($E211,customers!$A$1:$A$1001,0),3)=0,"",INDEX(customers!$A$1:$I$1001,MATCH($E211,customers!$A$1:$A$1001,0),3))</f>
        <v>cvasiliev9b@discuz.net</v>
      </c>
      <c r="J211" s="2" t="str">
        <f>_xlfn.XLOOKUP(E211,customers!$A$1:$A$1001,customers!$G$1:$G$1001)</f>
        <v>United States</v>
      </c>
      <c r="K211" t="str">
        <f>INDEX(products!$A$1:$G$49,MATCH($F211,products!$A$1:$A$49,0),MATCH(K$1,products!$A$1:$G$1,0))</f>
        <v>Lib</v>
      </c>
      <c r="L211" t="str">
        <f>INDEX(products!$A$1:$G$49,MATCH($F211,products!$A$1:$A$49,0),MATCH(L$1,products!$A$1:$G$1,0))</f>
        <v>L</v>
      </c>
      <c r="M211" s="5">
        <f>INDEX(products!$A$1:$G$49,MATCH($F211,products!$A$1:$A$49,0),MATCH(M$1,products!$A$1:$G$1,0))</f>
        <v>0.2</v>
      </c>
      <c r="N211" s="7">
        <f>INDEX(products!$A$1:$G$49,MATCH($F211,products!$A$1:$A$49,0),MATCH(N$1,products!$A$1:$G$1,0))</f>
        <v>4.7549999999999999</v>
      </c>
      <c r="O211" s="7">
        <f t="shared" si="3"/>
        <v>28.53</v>
      </c>
      <c r="P211" t="str" cm="1">
        <f t="array" ref="P211">_xlfn.IFS(K211="Rob","Robusta",K211="Exc","Excelsa",K211="Ara","Arabica",K211="Lib","Liberica")</f>
        <v>Liberica</v>
      </c>
      <c r="Q211" t="str" cm="1">
        <f t="array" ref="Q211">_xlfn.IFS(L211="M","Medium",L211="L","Light",L211="D","Dark")</f>
        <v>Light</v>
      </c>
      <c r="R211" t="str">
        <f>_xlfn.XLOOKUP(Orders[[#This Row],[Customer ID]],customers!$A$1:$A$1001,customers!$I$1:$I$1001)</f>
        <v>Yes</v>
      </c>
    </row>
    <row r="212" spans="1:18" x14ac:dyDescent="0.35">
      <c r="A212" s="2" t="s">
        <v>5938</v>
      </c>
      <c r="B212" s="4">
        <v>43865</v>
      </c>
      <c r="C212" s="23">
        <f>Orders[[#This Row],[Order Date]]</f>
        <v>43865</v>
      </c>
      <c r="D212" s="2">
        <f>YEAR(Orders[[#This Row],[Order Date]])</f>
        <v>2020</v>
      </c>
      <c r="E212" s="2" t="s">
        <v>5939</v>
      </c>
      <c r="F212" t="s">
        <v>6184</v>
      </c>
      <c r="G212" s="20">
        <v>5</v>
      </c>
      <c r="H212" s="2" t="str">
        <f>INDEX(customers!$A$1:$I$1001,MATCH($E212,customers!$A$1:$A$1001,),MATCH($H$1,customers!$A$1:$I$1,0))</f>
        <v>Cleopatra Goodrum</v>
      </c>
      <c r="I212" s="2" t="str">
        <f>IF(INDEX(customers!$A$1:$I$1001,MATCH($E212,customers!$A$1:$A$1001,0),3)=0,"",INDEX(customers!$A$1:$I$1001,MATCH($E212,customers!$A$1:$A$1001,0),3))</f>
        <v>cgoodrumqs@goodreads.com</v>
      </c>
      <c r="J212" s="2" t="str">
        <f>_xlfn.XLOOKUP(E212,customers!$A$1:$A$1001,customers!$G$1:$G$1001)</f>
        <v>United States</v>
      </c>
      <c r="K212" t="str">
        <f>INDEX(products!$A$1:$G$49,MATCH($F212,products!$A$1:$A$49,0),MATCH(K$1,products!$A$1:$G$1,0))</f>
        <v>Exc</v>
      </c>
      <c r="L212" t="str">
        <f>INDEX(products!$A$1:$G$49,MATCH($F212,products!$A$1:$A$49,0),MATCH(L$1,products!$A$1:$G$1,0))</f>
        <v>L</v>
      </c>
      <c r="M212" s="5">
        <f>INDEX(products!$A$1:$G$49,MATCH($F212,products!$A$1:$A$49,0),MATCH(M$1,products!$A$1:$G$1,0))</f>
        <v>0.2</v>
      </c>
      <c r="N212" s="7">
        <f>INDEX(products!$A$1:$G$49,MATCH($F212,products!$A$1:$A$49,0),MATCH(N$1,products!$A$1:$G$1,0))</f>
        <v>4.4550000000000001</v>
      </c>
      <c r="O212" s="7">
        <f t="shared" si="3"/>
        <v>22.274999999999999</v>
      </c>
      <c r="P212" t="str" cm="1">
        <f t="array" ref="P212">_xlfn.IFS(K212="Rob","Robusta",K212="Exc","Excelsa",K212="Ara","Arabica",K212="Lib","Liberica")</f>
        <v>Excelsa</v>
      </c>
      <c r="Q212" t="str" cm="1">
        <f t="array" ref="Q212">_xlfn.IFS(L212="M","Medium",L212="L","Light",L212="D","Dark")</f>
        <v>Light</v>
      </c>
      <c r="R212" t="str">
        <f>_xlfn.XLOOKUP(Orders[[#This Row],[Customer ID]],customers!$A$1:$A$1001,customers!$I$1:$I$1001)</f>
        <v>No</v>
      </c>
    </row>
    <row r="213" spans="1:18" x14ac:dyDescent="0.35">
      <c r="A213" s="2" t="s">
        <v>936</v>
      </c>
      <c r="B213" s="4">
        <v>44633</v>
      </c>
      <c r="C213" s="23">
        <f>Orders[[#This Row],[Order Date]]</f>
        <v>44633</v>
      </c>
      <c r="D213" s="2">
        <f>YEAR(Orders[[#This Row],[Order Date]])</f>
        <v>2022</v>
      </c>
      <c r="E213" s="2" t="s">
        <v>937</v>
      </c>
      <c r="F213" t="s">
        <v>6179</v>
      </c>
      <c r="G213" s="20">
        <v>4</v>
      </c>
      <c r="H213" s="2" t="str">
        <f>INDEX(customers!$A$1:$I$1001,MATCH($E213,customers!$A$1:$A$1001,),MATCH($H$1,customers!$A$1:$I$1,0))</f>
        <v>Cletis Giacomazzo</v>
      </c>
      <c r="I213" s="2" t="str">
        <f>IF(INDEX(customers!$A$1:$I$1001,MATCH($E213,customers!$A$1:$A$1001,0),3)=0,"",INDEX(customers!$A$1:$I$1001,MATCH($E213,customers!$A$1:$A$1001,0),3))</f>
        <v>cgiacomazzo27@jigsy.com</v>
      </c>
      <c r="J213" s="2" t="str">
        <f>_xlfn.XLOOKUP(E213,customers!$A$1:$A$1001,customers!$G$1:$G$1001)</f>
        <v>United States</v>
      </c>
      <c r="K213" t="str">
        <f>INDEX(products!$A$1:$G$49,MATCH($F213,products!$A$1:$A$49,0),MATCH(K$1,products!$A$1:$G$1,0))</f>
        <v>Rob</v>
      </c>
      <c r="L213" t="str">
        <f>INDEX(products!$A$1:$G$49,MATCH($F213,products!$A$1:$A$49,0),MATCH(L$1,products!$A$1:$G$1,0))</f>
        <v>L</v>
      </c>
      <c r="M213" s="5">
        <f>INDEX(products!$A$1:$G$49,MATCH($F213,products!$A$1:$A$49,0),MATCH(M$1,products!$A$1:$G$1,0))</f>
        <v>1</v>
      </c>
      <c r="N213" s="7">
        <f>INDEX(products!$A$1:$G$49,MATCH($F213,products!$A$1:$A$49,0),MATCH(N$1,products!$A$1:$G$1,0))</f>
        <v>11.95</v>
      </c>
      <c r="O213" s="7">
        <f t="shared" si="3"/>
        <v>47.8</v>
      </c>
      <c r="P213" t="str" cm="1">
        <f t="array" ref="P213">_xlfn.IFS(K213="Rob","Robusta",K213="Exc","Excelsa",K213="Ara","Arabica",K213="Lib","Liberica")</f>
        <v>Robusta</v>
      </c>
      <c r="Q213" t="str" cm="1">
        <f t="array" ref="Q213">_xlfn.IFS(L213="M","Medium",L213="L","Light",L213="D","Dark")</f>
        <v>Light</v>
      </c>
      <c r="R213" t="str">
        <f>_xlfn.XLOOKUP(Orders[[#This Row],[Customer ID]],customers!$A$1:$A$1001,customers!$I$1:$I$1001)</f>
        <v>No</v>
      </c>
    </row>
    <row r="214" spans="1:18" x14ac:dyDescent="0.35">
      <c r="A214" s="2" t="s">
        <v>1928</v>
      </c>
      <c r="B214" s="4">
        <v>44439</v>
      </c>
      <c r="C214" s="23">
        <f>Orders[[#This Row],[Order Date]]</f>
        <v>44439</v>
      </c>
      <c r="D214" s="2">
        <f>YEAR(Orders[[#This Row],[Order Date]])</f>
        <v>2021</v>
      </c>
      <c r="E214" s="2" t="s">
        <v>1929</v>
      </c>
      <c r="F214" t="s">
        <v>6173</v>
      </c>
      <c r="G214" s="20">
        <v>3</v>
      </c>
      <c r="H214" s="2" t="str">
        <f>INDEX(customers!$A$1:$I$1001,MATCH($E214,customers!$A$1:$A$1001,),MATCH($H$1,customers!$A$1:$I$1,0))</f>
        <v>Cleve Blowfelde</v>
      </c>
      <c r="I214" s="2" t="str">
        <f>IF(INDEX(customers!$A$1:$I$1001,MATCH($E214,customers!$A$1:$A$1001,0),3)=0,"",INDEX(customers!$A$1:$I$1001,MATCH($E214,customers!$A$1:$A$1001,0),3))</f>
        <v>cblowfelde73@ustream.tv</v>
      </c>
      <c r="J214" s="2" t="str">
        <f>_xlfn.XLOOKUP(E214,customers!$A$1:$A$1001,customers!$G$1:$G$1001)</f>
        <v>United States</v>
      </c>
      <c r="K214" t="str">
        <f>INDEX(products!$A$1:$G$49,MATCH($F214,products!$A$1:$A$49,0),MATCH(K$1,products!$A$1:$G$1,0))</f>
        <v>Rob</v>
      </c>
      <c r="L214" t="str">
        <f>INDEX(products!$A$1:$G$49,MATCH($F214,products!$A$1:$A$49,0),MATCH(L$1,products!$A$1:$G$1,0))</f>
        <v>L</v>
      </c>
      <c r="M214" s="5">
        <f>INDEX(products!$A$1:$G$49,MATCH($F214,products!$A$1:$A$49,0),MATCH(M$1,products!$A$1:$G$1,0))</f>
        <v>0.5</v>
      </c>
      <c r="N214" s="7">
        <f>INDEX(products!$A$1:$G$49,MATCH($F214,products!$A$1:$A$49,0),MATCH(N$1,products!$A$1:$G$1,0))</f>
        <v>7.169999999999999</v>
      </c>
      <c r="O214" s="7">
        <f t="shared" si="3"/>
        <v>21.509999999999998</v>
      </c>
      <c r="P214" t="str" cm="1">
        <f t="array" ref="P214">_xlfn.IFS(K214="Rob","Robusta",K214="Exc","Excelsa",K214="Ara","Arabica",K214="Lib","Liberica")</f>
        <v>Robusta</v>
      </c>
      <c r="Q214" t="str" cm="1">
        <f t="array" ref="Q214">_xlfn.IFS(L214="M","Medium",L214="L","Light",L214="D","Dark")</f>
        <v>Light</v>
      </c>
      <c r="R214" t="str">
        <f>_xlfn.XLOOKUP(Orders[[#This Row],[Customer ID]],customers!$A$1:$A$1001,customers!$I$1:$I$1001)</f>
        <v>No</v>
      </c>
    </row>
    <row r="215" spans="1:18" x14ac:dyDescent="0.35">
      <c r="A215" s="2" t="s">
        <v>1946</v>
      </c>
      <c r="B215" s="4">
        <v>44513</v>
      </c>
      <c r="C215" s="23">
        <f>Orders[[#This Row],[Order Date]]</f>
        <v>44513</v>
      </c>
      <c r="D215" s="2">
        <f>YEAR(Orders[[#This Row],[Order Date]])</f>
        <v>2021</v>
      </c>
      <c r="E215" s="2" t="s">
        <v>1947</v>
      </c>
      <c r="F215" t="s">
        <v>6185</v>
      </c>
      <c r="G215" s="20">
        <v>5</v>
      </c>
      <c r="H215" s="2" t="str">
        <f>INDEX(customers!$A$1:$I$1001,MATCH($E215,customers!$A$1:$A$1001,),MATCH($H$1,customers!$A$1:$I$1,0))</f>
        <v>Cobby Cromwell</v>
      </c>
      <c r="I215" s="2" t="str">
        <f>IF(INDEX(customers!$A$1:$I$1001,MATCH($E215,customers!$A$1:$A$1001,0),3)=0,"",INDEX(customers!$A$1:$I$1001,MATCH($E215,customers!$A$1:$A$1001,0),3))</f>
        <v>ccromwell76@desdev.cn</v>
      </c>
      <c r="J215" s="2" t="str">
        <f>_xlfn.XLOOKUP(E215,customers!$A$1:$A$1001,customers!$G$1:$G$1001)</f>
        <v>United States</v>
      </c>
      <c r="K215" t="str">
        <f>INDEX(products!$A$1:$G$49,MATCH($F215,products!$A$1:$A$49,0),MATCH(K$1,products!$A$1:$G$1,0))</f>
        <v>Exc</v>
      </c>
      <c r="L215" t="str">
        <f>INDEX(products!$A$1:$G$49,MATCH($F215,products!$A$1:$A$49,0),MATCH(L$1,products!$A$1:$G$1,0))</f>
        <v>D</v>
      </c>
      <c r="M215" s="5">
        <f>INDEX(products!$A$1:$G$49,MATCH($F215,products!$A$1:$A$49,0),MATCH(M$1,products!$A$1:$G$1,0))</f>
        <v>2.5</v>
      </c>
      <c r="N215" s="7">
        <f>INDEX(products!$A$1:$G$49,MATCH($F215,products!$A$1:$A$49,0),MATCH(N$1,products!$A$1:$G$1,0))</f>
        <v>27.945</v>
      </c>
      <c r="O215" s="7">
        <f t="shared" si="3"/>
        <v>139.72499999999999</v>
      </c>
      <c r="P215" t="str" cm="1">
        <f t="array" ref="P215">_xlfn.IFS(K215="Rob","Robusta",K215="Exc","Excelsa",K215="Ara","Arabica",K215="Lib","Liberica")</f>
        <v>Excelsa</v>
      </c>
      <c r="Q215" t="str" cm="1">
        <f t="array" ref="Q215">_xlfn.IFS(L215="M","Medium",L215="L","Light",L215="D","Dark")</f>
        <v>Dark</v>
      </c>
      <c r="R215" t="str">
        <f>_xlfn.XLOOKUP(Orders[[#This Row],[Customer ID]],customers!$A$1:$A$1001,customers!$I$1:$I$1001)</f>
        <v>No</v>
      </c>
    </row>
    <row r="216" spans="1:18" x14ac:dyDescent="0.35">
      <c r="A216" s="2" t="s">
        <v>1845</v>
      </c>
      <c r="B216" s="4">
        <v>43993</v>
      </c>
      <c r="C216" s="23">
        <f>Orders[[#This Row],[Order Date]]</f>
        <v>43993</v>
      </c>
      <c r="D216" s="2">
        <f>YEAR(Orders[[#This Row],[Order Date]])</f>
        <v>2020</v>
      </c>
      <c r="E216" s="2" t="s">
        <v>1846</v>
      </c>
      <c r="F216" t="s">
        <v>6175</v>
      </c>
      <c r="G216" s="20">
        <v>6</v>
      </c>
      <c r="H216" s="2" t="str">
        <f>INDEX(customers!$A$1:$I$1001,MATCH($E216,customers!$A$1:$A$1001,),MATCH($H$1,customers!$A$1:$I$1,0))</f>
        <v>Codi Littrell</v>
      </c>
      <c r="I216" s="2" t="str">
        <f>IF(INDEX(customers!$A$1:$I$1001,MATCH($E216,customers!$A$1:$A$1001,0),3)=0,"",INDEX(customers!$A$1:$I$1001,MATCH($E216,customers!$A$1:$A$1001,0),3))</f>
        <v/>
      </c>
      <c r="J216" s="2" t="str">
        <f>_xlfn.XLOOKUP(E216,customers!$A$1:$A$1001,customers!$G$1:$G$1001)</f>
        <v>United States</v>
      </c>
      <c r="K216" t="str">
        <f>INDEX(products!$A$1:$G$49,MATCH($F216,products!$A$1:$A$49,0),MATCH(K$1,products!$A$1:$G$1,0))</f>
        <v>Ara</v>
      </c>
      <c r="L216" t="str">
        <f>INDEX(products!$A$1:$G$49,MATCH($F216,products!$A$1:$A$49,0),MATCH(L$1,products!$A$1:$G$1,0))</f>
        <v>M</v>
      </c>
      <c r="M216" s="5">
        <f>INDEX(products!$A$1:$G$49,MATCH($F216,products!$A$1:$A$49,0),MATCH(M$1,products!$A$1:$G$1,0))</f>
        <v>2.5</v>
      </c>
      <c r="N216" s="7">
        <f>INDEX(products!$A$1:$G$49,MATCH($F216,products!$A$1:$A$49,0),MATCH(N$1,products!$A$1:$G$1,0))</f>
        <v>25.874999999999996</v>
      </c>
      <c r="O216" s="7">
        <f t="shared" si="3"/>
        <v>155.24999999999997</v>
      </c>
      <c r="P216" t="str" cm="1">
        <f t="array" ref="P216">_xlfn.IFS(K216="Rob","Robusta",K216="Exc","Excelsa",K216="Ara","Arabica",K216="Lib","Liberica")</f>
        <v>Arabica</v>
      </c>
      <c r="Q216" t="str" cm="1">
        <f t="array" ref="Q216">_xlfn.IFS(L216="M","Medium",L216="L","Light",L216="D","Dark")</f>
        <v>Medium</v>
      </c>
      <c r="R216" t="str">
        <f>_xlfn.XLOOKUP(Orders[[#This Row],[Customer ID]],customers!$A$1:$A$1001,customers!$I$1:$I$1001)</f>
        <v>Yes</v>
      </c>
    </row>
    <row r="217" spans="1:18" x14ac:dyDescent="0.35">
      <c r="A217" s="2" t="s">
        <v>3796</v>
      </c>
      <c r="B217" s="4">
        <v>44505</v>
      </c>
      <c r="C217" s="23">
        <f>Orders[[#This Row],[Order Date]]</f>
        <v>44505</v>
      </c>
      <c r="D217" s="2">
        <f>YEAR(Orders[[#This Row],[Order Date]])</f>
        <v>2021</v>
      </c>
      <c r="E217" s="2" t="s">
        <v>3840</v>
      </c>
      <c r="F217" t="s">
        <v>6139</v>
      </c>
      <c r="G217" s="20">
        <v>2</v>
      </c>
      <c r="H217" s="2" t="str">
        <f>INDEX(customers!$A$1:$I$1001,MATCH($E217,customers!$A$1:$A$1001,),MATCH($H$1,customers!$A$1:$I$1,0))</f>
        <v>Cody Verissimo</v>
      </c>
      <c r="I217" s="2" t="str">
        <f>IF(INDEX(customers!$A$1:$I$1001,MATCH($E217,customers!$A$1:$A$1001,0),3)=0,"",INDEX(customers!$A$1:$I$1001,MATCH($E217,customers!$A$1:$A$1001,0),3))</f>
        <v>cverissimogh@theglobeandmail.com</v>
      </c>
      <c r="J217" s="2" t="str">
        <f>_xlfn.XLOOKUP(E217,customers!$A$1:$A$1001,customers!$G$1:$G$1001)</f>
        <v>United Kingdom</v>
      </c>
      <c r="K217" t="str">
        <f>INDEX(products!$A$1:$G$49,MATCH($F217,products!$A$1:$A$49,0),MATCH(K$1,products!$A$1:$G$1,0))</f>
        <v>Exc</v>
      </c>
      <c r="L217" t="str">
        <f>INDEX(products!$A$1:$G$49,MATCH($F217,products!$A$1:$A$49,0),MATCH(L$1,products!$A$1:$G$1,0))</f>
        <v>M</v>
      </c>
      <c r="M217" s="5">
        <f>INDEX(products!$A$1:$G$49,MATCH($F217,products!$A$1:$A$49,0),MATCH(M$1,products!$A$1:$G$1,0))</f>
        <v>0.5</v>
      </c>
      <c r="N217" s="7">
        <f>INDEX(products!$A$1:$G$49,MATCH($F217,products!$A$1:$A$49,0),MATCH(N$1,products!$A$1:$G$1,0))</f>
        <v>8.25</v>
      </c>
      <c r="O217" s="7">
        <f t="shared" si="3"/>
        <v>16.5</v>
      </c>
      <c r="P217" t="str" cm="1">
        <f t="array" ref="P217">_xlfn.IFS(K217="Rob","Robusta",K217="Exc","Excelsa",K217="Ara","Arabica",K217="Lib","Liberica")</f>
        <v>Excelsa</v>
      </c>
      <c r="Q217" t="str" cm="1">
        <f t="array" ref="Q217">_xlfn.IFS(L217="M","Medium",L217="L","Light",L217="D","Dark")</f>
        <v>Medium</v>
      </c>
      <c r="R217" t="str">
        <f>_xlfn.XLOOKUP(Orders[[#This Row],[Customer ID]],customers!$A$1:$A$1001,customers!$I$1:$I$1001)</f>
        <v>Yes</v>
      </c>
    </row>
    <row r="218" spans="1:18" x14ac:dyDescent="0.35">
      <c r="A218" s="2" t="s">
        <v>3911</v>
      </c>
      <c r="B218" s="4">
        <v>44138</v>
      </c>
      <c r="C218" s="23">
        <f>Orders[[#This Row],[Order Date]]</f>
        <v>44138</v>
      </c>
      <c r="D218" s="2">
        <f>YEAR(Orders[[#This Row],[Order Date]])</f>
        <v>2020</v>
      </c>
      <c r="E218" s="2" t="s">
        <v>3840</v>
      </c>
      <c r="F218" t="s">
        <v>6164</v>
      </c>
      <c r="G218" s="20">
        <v>3</v>
      </c>
      <c r="H218" s="2" t="str">
        <f>INDEX(customers!$A$1:$I$1001,MATCH($E218,customers!$A$1:$A$1001,),MATCH($H$1,customers!$A$1:$I$1,0))</f>
        <v>Cody Verissimo</v>
      </c>
      <c r="I218" s="2" t="str">
        <f>IF(INDEX(customers!$A$1:$I$1001,MATCH($E218,customers!$A$1:$A$1001,0),3)=0,"",INDEX(customers!$A$1:$I$1001,MATCH($E218,customers!$A$1:$A$1001,0),3))</f>
        <v>cverissimogh@theglobeandmail.com</v>
      </c>
      <c r="J218" s="2" t="str">
        <f>_xlfn.XLOOKUP(E218,customers!$A$1:$A$1001,customers!$G$1:$G$1001)</f>
        <v>United Kingdom</v>
      </c>
      <c r="K218" t="str">
        <f>INDEX(products!$A$1:$G$49,MATCH($F218,products!$A$1:$A$49,0),MATCH(K$1,products!$A$1:$G$1,0))</f>
        <v>Lib</v>
      </c>
      <c r="L218" t="str">
        <f>INDEX(products!$A$1:$G$49,MATCH($F218,products!$A$1:$A$49,0),MATCH(L$1,products!$A$1:$G$1,0))</f>
        <v>L</v>
      </c>
      <c r="M218" s="5">
        <f>INDEX(products!$A$1:$G$49,MATCH($F218,products!$A$1:$A$49,0),MATCH(M$1,products!$A$1:$G$1,0))</f>
        <v>2.5</v>
      </c>
      <c r="N218" s="7">
        <f>INDEX(products!$A$1:$G$49,MATCH($F218,products!$A$1:$A$49,0),MATCH(N$1,products!$A$1:$G$1,0))</f>
        <v>36.454999999999998</v>
      </c>
      <c r="O218" s="7">
        <f t="shared" si="3"/>
        <v>109.36499999999999</v>
      </c>
      <c r="P218" t="str" cm="1">
        <f t="array" ref="P218">_xlfn.IFS(K218="Rob","Robusta",K218="Exc","Excelsa",K218="Ara","Arabica",K218="Lib","Liberica")</f>
        <v>Liberica</v>
      </c>
      <c r="Q218" t="str" cm="1">
        <f t="array" ref="Q218">_xlfn.IFS(L218="M","Medium",L218="L","Light",L218="D","Dark")</f>
        <v>Light</v>
      </c>
      <c r="R218" t="str">
        <f>_xlfn.XLOOKUP(Orders[[#This Row],[Customer ID]],customers!$A$1:$A$1001,customers!$I$1:$I$1001)</f>
        <v>Yes</v>
      </c>
    </row>
    <row r="219" spans="1:18" x14ac:dyDescent="0.35">
      <c r="A219" s="2" t="s">
        <v>3955</v>
      </c>
      <c r="B219" s="4">
        <v>43944</v>
      </c>
      <c r="C219" s="23">
        <f>Orders[[#This Row],[Order Date]]</f>
        <v>43944</v>
      </c>
      <c r="D219" s="2">
        <f>YEAR(Orders[[#This Row],[Order Date]])</f>
        <v>2020</v>
      </c>
      <c r="E219" s="2" t="s">
        <v>3840</v>
      </c>
      <c r="F219" t="s">
        <v>6146</v>
      </c>
      <c r="G219" s="20">
        <v>5</v>
      </c>
      <c r="H219" s="2" t="str">
        <f>INDEX(customers!$A$1:$I$1001,MATCH($E219,customers!$A$1:$A$1001,),MATCH($H$1,customers!$A$1:$I$1,0))</f>
        <v>Cody Verissimo</v>
      </c>
      <c r="I219" s="2" t="str">
        <f>IF(INDEX(customers!$A$1:$I$1001,MATCH($E219,customers!$A$1:$A$1001,0),3)=0,"",INDEX(customers!$A$1:$I$1001,MATCH($E219,customers!$A$1:$A$1001,0),3))</f>
        <v>cverissimogh@theglobeandmail.com</v>
      </c>
      <c r="J219" s="2" t="str">
        <f>_xlfn.XLOOKUP(E219,customers!$A$1:$A$1001,customers!$G$1:$G$1001)</f>
        <v>United Kingdom</v>
      </c>
      <c r="K219" t="str">
        <f>INDEX(products!$A$1:$G$49,MATCH($F219,products!$A$1:$A$49,0),MATCH(K$1,products!$A$1:$G$1,0))</f>
        <v>Rob</v>
      </c>
      <c r="L219" t="str">
        <f>INDEX(products!$A$1:$G$49,MATCH($F219,products!$A$1:$A$49,0),MATCH(L$1,products!$A$1:$G$1,0))</f>
        <v>M</v>
      </c>
      <c r="M219" s="5">
        <f>INDEX(products!$A$1:$G$49,MATCH($F219,products!$A$1:$A$49,0),MATCH(M$1,products!$A$1:$G$1,0))</f>
        <v>0.5</v>
      </c>
      <c r="N219" s="7">
        <f>INDEX(products!$A$1:$G$49,MATCH($F219,products!$A$1:$A$49,0),MATCH(N$1,products!$A$1:$G$1,0))</f>
        <v>5.97</v>
      </c>
      <c r="O219" s="7">
        <f t="shared" si="3"/>
        <v>29.849999999999998</v>
      </c>
      <c r="P219" t="str" cm="1">
        <f t="array" ref="P219">_xlfn.IFS(K219="Rob","Robusta",K219="Exc","Excelsa",K219="Ara","Arabica",K219="Lib","Liberica")</f>
        <v>Robusta</v>
      </c>
      <c r="Q219" t="str" cm="1">
        <f t="array" ref="Q219">_xlfn.IFS(L219="M","Medium",L219="L","Light",L219="D","Dark")</f>
        <v>Medium</v>
      </c>
      <c r="R219" t="str">
        <f>_xlfn.XLOOKUP(Orders[[#This Row],[Customer ID]],customers!$A$1:$A$1001,customers!$I$1:$I$1001)</f>
        <v>Yes</v>
      </c>
    </row>
    <row r="220" spans="1:18" x14ac:dyDescent="0.35">
      <c r="A220" s="2" t="s">
        <v>3839</v>
      </c>
      <c r="B220" s="4">
        <v>43903</v>
      </c>
      <c r="C220" s="23">
        <f>Orders[[#This Row],[Order Date]]</f>
        <v>43903</v>
      </c>
      <c r="D220" s="2">
        <f>YEAR(Orders[[#This Row],[Order Date]])</f>
        <v>2020</v>
      </c>
      <c r="E220" s="2" t="s">
        <v>3840</v>
      </c>
      <c r="F220" t="s">
        <v>6185</v>
      </c>
      <c r="G220" s="20">
        <v>1</v>
      </c>
      <c r="H220" s="2" t="str">
        <f>INDEX(customers!$A$1:$I$1001,MATCH($E220,customers!$A$1:$A$1001,),MATCH($H$1,customers!$A$1:$I$1,0))</f>
        <v>Cody Verissimo</v>
      </c>
      <c r="I220" s="2" t="str">
        <f>IF(INDEX(customers!$A$1:$I$1001,MATCH($E220,customers!$A$1:$A$1001,0),3)=0,"",INDEX(customers!$A$1:$I$1001,MATCH($E220,customers!$A$1:$A$1001,0),3))</f>
        <v>cverissimogh@theglobeandmail.com</v>
      </c>
      <c r="J220" s="2" t="str">
        <f>_xlfn.XLOOKUP(E220,customers!$A$1:$A$1001,customers!$G$1:$G$1001)</f>
        <v>United Kingdom</v>
      </c>
      <c r="K220" t="str">
        <f>INDEX(products!$A$1:$G$49,MATCH($F220,products!$A$1:$A$49,0),MATCH(K$1,products!$A$1:$G$1,0))</f>
        <v>Exc</v>
      </c>
      <c r="L220" t="str">
        <f>INDEX(products!$A$1:$G$49,MATCH($F220,products!$A$1:$A$49,0),MATCH(L$1,products!$A$1:$G$1,0))</f>
        <v>D</v>
      </c>
      <c r="M220" s="5">
        <f>INDEX(products!$A$1:$G$49,MATCH($F220,products!$A$1:$A$49,0),MATCH(M$1,products!$A$1:$G$1,0))</f>
        <v>2.5</v>
      </c>
      <c r="N220" s="7">
        <f>INDEX(products!$A$1:$G$49,MATCH($F220,products!$A$1:$A$49,0),MATCH(N$1,products!$A$1:$G$1,0))</f>
        <v>27.945</v>
      </c>
      <c r="O220" s="7">
        <f t="shared" si="3"/>
        <v>27.945</v>
      </c>
      <c r="P220" t="str" cm="1">
        <f t="array" ref="P220">_xlfn.IFS(K220="Rob","Robusta",K220="Exc","Excelsa",K220="Ara","Arabica",K220="Lib","Liberica")</f>
        <v>Excelsa</v>
      </c>
      <c r="Q220" t="str" cm="1">
        <f t="array" ref="Q220">_xlfn.IFS(L220="M","Medium",L220="L","Light",L220="D","Dark")</f>
        <v>Dark</v>
      </c>
      <c r="R220" t="str">
        <f>_xlfn.XLOOKUP(Orders[[#This Row],[Customer ID]],customers!$A$1:$A$1001,customers!$I$1:$I$1001)</f>
        <v>Yes</v>
      </c>
    </row>
    <row r="221" spans="1:18" x14ac:dyDescent="0.35">
      <c r="A221" s="2" t="s">
        <v>924</v>
      </c>
      <c r="B221" s="4">
        <v>43594</v>
      </c>
      <c r="C221" s="23">
        <f>Orders[[#This Row],[Order Date]]</f>
        <v>43594</v>
      </c>
      <c r="D221" s="2">
        <f>YEAR(Orders[[#This Row],[Order Date]])</f>
        <v>2019</v>
      </c>
      <c r="E221" s="2" t="s">
        <v>925</v>
      </c>
      <c r="F221" t="s">
        <v>6153</v>
      </c>
      <c r="G221" s="20">
        <v>2</v>
      </c>
      <c r="H221" s="2" t="str">
        <f>INDEX(customers!$A$1:$I$1001,MATCH($E221,customers!$A$1:$A$1001,),MATCH($H$1,customers!$A$1:$I$1,0))</f>
        <v>Colene Elgey</v>
      </c>
      <c r="I221" s="2" t="str">
        <f>IF(INDEX(customers!$A$1:$I$1001,MATCH($E221,customers!$A$1:$A$1001,0),3)=0,"",INDEX(customers!$A$1:$I$1001,MATCH($E221,customers!$A$1:$A$1001,0),3))</f>
        <v>celgey25@webs.com</v>
      </c>
      <c r="J221" s="2" t="str">
        <f>_xlfn.XLOOKUP(E221,customers!$A$1:$A$1001,customers!$G$1:$G$1001)</f>
        <v>United States</v>
      </c>
      <c r="K221" t="str">
        <f>INDEX(products!$A$1:$G$49,MATCH($F221,products!$A$1:$A$49,0),MATCH(K$1,products!$A$1:$G$1,0))</f>
        <v>Exc</v>
      </c>
      <c r="L221" t="str">
        <f>INDEX(products!$A$1:$G$49,MATCH($F221,products!$A$1:$A$49,0),MATCH(L$1,products!$A$1:$G$1,0))</f>
        <v>D</v>
      </c>
      <c r="M221" s="5">
        <f>INDEX(products!$A$1:$G$49,MATCH($F221,products!$A$1:$A$49,0),MATCH(M$1,products!$A$1:$G$1,0))</f>
        <v>0.2</v>
      </c>
      <c r="N221" s="7">
        <f>INDEX(products!$A$1:$G$49,MATCH($F221,products!$A$1:$A$49,0),MATCH(N$1,products!$A$1:$G$1,0))</f>
        <v>3.645</v>
      </c>
      <c r="O221" s="7">
        <f t="shared" si="3"/>
        <v>7.29</v>
      </c>
      <c r="P221" t="str" cm="1">
        <f t="array" ref="P221">_xlfn.IFS(K221="Rob","Robusta",K221="Exc","Excelsa",K221="Ara","Arabica",K221="Lib","Liberica")</f>
        <v>Excelsa</v>
      </c>
      <c r="Q221" t="str" cm="1">
        <f t="array" ref="Q221">_xlfn.IFS(L221="M","Medium",L221="L","Light",L221="D","Dark")</f>
        <v>Dark</v>
      </c>
      <c r="R221" t="str">
        <f>_xlfn.XLOOKUP(Orders[[#This Row],[Customer ID]],customers!$A$1:$A$1001,customers!$I$1:$I$1001)</f>
        <v>No</v>
      </c>
    </row>
    <row r="222" spans="1:18" x14ac:dyDescent="0.35">
      <c r="A222" s="2" t="s">
        <v>5084</v>
      </c>
      <c r="B222" s="4">
        <v>44173</v>
      </c>
      <c r="C222" s="23">
        <f>Orders[[#This Row],[Order Date]]</f>
        <v>44173</v>
      </c>
      <c r="D222" s="2">
        <f>YEAR(Orders[[#This Row],[Order Date]])</f>
        <v>2020</v>
      </c>
      <c r="E222" s="2" t="s">
        <v>5085</v>
      </c>
      <c r="F222" t="s">
        <v>6166</v>
      </c>
      <c r="G222" s="20">
        <v>1</v>
      </c>
      <c r="H222" s="2" t="str">
        <f>INDEX(customers!$A$1:$I$1001,MATCH($E222,customers!$A$1:$A$1001,),MATCH($H$1,customers!$A$1:$I$1,0))</f>
        <v>Conchita Bryde</v>
      </c>
      <c r="I222" s="2" t="str">
        <f>IF(INDEX(customers!$A$1:$I$1001,MATCH($E222,customers!$A$1:$A$1001,0),3)=0,"",INDEX(customers!$A$1:$I$1001,MATCH($E222,customers!$A$1:$A$1001,0),3))</f>
        <v>cbrydeml@tuttocitta.it</v>
      </c>
      <c r="J222" s="2" t="str">
        <f>_xlfn.XLOOKUP(E222,customers!$A$1:$A$1001,customers!$G$1:$G$1001)</f>
        <v>United States</v>
      </c>
      <c r="K222" t="str">
        <f>INDEX(products!$A$1:$G$49,MATCH($F222,products!$A$1:$A$49,0),MATCH(K$1,products!$A$1:$G$1,0))</f>
        <v>Exc</v>
      </c>
      <c r="L222" t="str">
        <f>INDEX(products!$A$1:$G$49,MATCH($F222,products!$A$1:$A$49,0),MATCH(L$1,products!$A$1:$G$1,0))</f>
        <v>M</v>
      </c>
      <c r="M222" s="5">
        <f>INDEX(products!$A$1:$G$49,MATCH($F222,products!$A$1:$A$49,0),MATCH(M$1,products!$A$1:$G$1,0))</f>
        <v>2.5</v>
      </c>
      <c r="N222" s="7">
        <f>INDEX(products!$A$1:$G$49,MATCH($F222,products!$A$1:$A$49,0),MATCH(N$1,products!$A$1:$G$1,0))</f>
        <v>31.624999999999996</v>
      </c>
      <c r="O222" s="7">
        <f t="shared" si="3"/>
        <v>31.624999999999996</v>
      </c>
      <c r="P222" t="str" cm="1">
        <f t="array" ref="P222">_xlfn.IFS(K222="Rob","Robusta",K222="Exc","Excelsa",K222="Ara","Arabica",K222="Lib","Liberica")</f>
        <v>Excelsa</v>
      </c>
      <c r="Q222" t="str" cm="1">
        <f t="array" ref="Q222">_xlfn.IFS(L222="M","Medium",L222="L","Light",L222="D","Dark")</f>
        <v>Medium</v>
      </c>
      <c r="R222" t="str">
        <f>_xlfn.XLOOKUP(Orders[[#This Row],[Customer ID]],customers!$A$1:$A$1001,customers!$I$1:$I$1001)</f>
        <v>Yes</v>
      </c>
    </row>
    <row r="223" spans="1:18" x14ac:dyDescent="0.35">
      <c r="A223" s="2" t="s">
        <v>1906</v>
      </c>
      <c r="B223" s="4">
        <v>44360</v>
      </c>
      <c r="C223" s="23">
        <f>Orders[[#This Row],[Order Date]]</f>
        <v>44360</v>
      </c>
      <c r="D223" s="2">
        <f>YEAR(Orders[[#This Row],[Order Date]])</f>
        <v>2021</v>
      </c>
      <c r="E223" s="2" t="s">
        <v>1907</v>
      </c>
      <c r="F223" t="s">
        <v>6141</v>
      </c>
      <c r="G223" s="20">
        <v>5</v>
      </c>
      <c r="H223" s="2" t="str">
        <f>INDEX(customers!$A$1:$I$1001,MATCH($E223,customers!$A$1:$A$1001,),MATCH($H$1,customers!$A$1:$I$1,0))</f>
        <v>Connor Heaviside</v>
      </c>
      <c r="I223" s="2" t="str">
        <f>IF(INDEX(customers!$A$1:$I$1001,MATCH($E223,customers!$A$1:$A$1001,0),3)=0,"",INDEX(customers!$A$1:$I$1001,MATCH($E223,customers!$A$1:$A$1001,0),3))</f>
        <v>cheaviside6z@rediff.com</v>
      </c>
      <c r="J223" s="2" t="str">
        <f>_xlfn.XLOOKUP(E223,customers!$A$1:$A$1001,customers!$G$1:$G$1001)</f>
        <v>United States</v>
      </c>
      <c r="K223" t="str">
        <f>INDEX(products!$A$1:$G$49,MATCH($F223,products!$A$1:$A$49,0),MATCH(K$1,products!$A$1:$G$1,0))</f>
        <v>Exc</v>
      </c>
      <c r="L223" t="str">
        <f>INDEX(products!$A$1:$G$49,MATCH($F223,products!$A$1:$A$49,0),MATCH(L$1,products!$A$1:$G$1,0))</f>
        <v>M</v>
      </c>
      <c r="M223" s="5">
        <f>INDEX(products!$A$1:$G$49,MATCH($F223,products!$A$1:$A$49,0),MATCH(M$1,products!$A$1:$G$1,0))</f>
        <v>1</v>
      </c>
      <c r="N223" s="7">
        <f>INDEX(products!$A$1:$G$49,MATCH($F223,products!$A$1:$A$49,0),MATCH(N$1,products!$A$1:$G$1,0))</f>
        <v>13.75</v>
      </c>
      <c r="O223" s="7">
        <f t="shared" si="3"/>
        <v>68.75</v>
      </c>
      <c r="P223" t="str" cm="1">
        <f t="array" ref="P223">_xlfn.IFS(K223="Rob","Robusta",K223="Exc","Excelsa",K223="Ara","Arabica",K223="Lib","Liberica")</f>
        <v>Excelsa</v>
      </c>
      <c r="Q223" t="str" cm="1">
        <f t="array" ref="Q223">_xlfn.IFS(L223="M","Medium",L223="L","Light",L223="D","Dark")</f>
        <v>Medium</v>
      </c>
      <c r="R223" t="str">
        <f>_xlfn.XLOOKUP(Orders[[#This Row],[Customer ID]],customers!$A$1:$A$1001,customers!$I$1:$I$1001)</f>
        <v>Yes</v>
      </c>
    </row>
    <row r="224" spans="1:18" x14ac:dyDescent="0.35">
      <c r="A224" s="2" t="s">
        <v>1800</v>
      </c>
      <c r="B224" s="4">
        <v>44010</v>
      </c>
      <c r="C224" s="23">
        <f>Orders[[#This Row],[Order Date]]</f>
        <v>44010</v>
      </c>
      <c r="D224" s="2">
        <f>YEAR(Orders[[#This Row],[Order Date]])</f>
        <v>2020</v>
      </c>
      <c r="E224" s="2" t="s">
        <v>1801</v>
      </c>
      <c r="F224" t="s">
        <v>6145</v>
      </c>
      <c r="G224" s="20">
        <v>5</v>
      </c>
      <c r="H224" s="2" t="str">
        <f>INDEX(customers!$A$1:$I$1001,MATCH($E224,customers!$A$1:$A$1001,),MATCH($H$1,customers!$A$1:$I$1,0))</f>
        <v>Conny Gheraldi</v>
      </c>
      <c r="I224" s="2" t="str">
        <f>IF(INDEX(customers!$A$1:$I$1001,MATCH($E224,customers!$A$1:$A$1001,0),3)=0,"",INDEX(customers!$A$1:$I$1001,MATCH($E224,customers!$A$1:$A$1001,0),3))</f>
        <v>cgheraldi6g@opera.com</v>
      </c>
      <c r="J224" s="2" t="str">
        <f>_xlfn.XLOOKUP(E224,customers!$A$1:$A$1001,customers!$G$1:$G$1001)</f>
        <v>United Kingdom</v>
      </c>
      <c r="K224" t="str">
        <f>INDEX(products!$A$1:$G$49,MATCH($F224,products!$A$1:$A$49,0),MATCH(K$1,products!$A$1:$G$1,0))</f>
        <v>Lib</v>
      </c>
      <c r="L224" t="str">
        <f>INDEX(products!$A$1:$G$49,MATCH($F224,products!$A$1:$A$49,0),MATCH(L$1,products!$A$1:$G$1,0))</f>
        <v>L</v>
      </c>
      <c r="M224" s="5">
        <f>INDEX(products!$A$1:$G$49,MATCH($F224,products!$A$1:$A$49,0),MATCH(M$1,products!$A$1:$G$1,0))</f>
        <v>0.2</v>
      </c>
      <c r="N224" s="7">
        <f>INDEX(products!$A$1:$G$49,MATCH($F224,products!$A$1:$A$49,0),MATCH(N$1,products!$A$1:$G$1,0))</f>
        <v>4.7549999999999999</v>
      </c>
      <c r="O224" s="7">
        <f t="shared" si="3"/>
        <v>23.774999999999999</v>
      </c>
      <c r="P224" t="str" cm="1">
        <f t="array" ref="P224">_xlfn.IFS(K224="Rob","Robusta",K224="Exc","Excelsa",K224="Ara","Arabica",K224="Lib","Liberica")</f>
        <v>Liberica</v>
      </c>
      <c r="Q224" t="str" cm="1">
        <f t="array" ref="Q224">_xlfn.IFS(L224="M","Medium",L224="L","Light",L224="D","Dark")</f>
        <v>Light</v>
      </c>
      <c r="R224" t="str">
        <f>_xlfn.XLOOKUP(Orders[[#This Row],[Customer ID]],customers!$A$1:$A$1001,customers!$I$1:$I$1001)</f>
        <v>No</v>
      </c>
    </row>
    <row r="225" spans="1:18" x14ac:dyDescent="0.35">
      <c r="A225" s="2" t="s">
        <v>1659</v>
      </c>
      <c r="B225" s="4">
        <v>44659</v>
      </c>
      <c r="C225" s="23">
        <f>Orders[[#This Row],[Order Date]]</f>
        <v>44659</v>
      </c>
      <c r="D225" s="2">
        <f>YEAR(Orders[[#This Row],[Order Date]])</f>
        <v>2022</v>
      </c>
      <c r="E225" s="2" t="s">
        <v>1660</v>
      </c>
      <c r="F225" t="s">
        <v>6144</v>
      </c>
      <c r="G225" s="20">
        <v>4</v>
      </c>
      <c r="H225" s="2" t="str">
        <f>INDEX(customers!$A$1:$I$1001,MATCH($E225,customers!$A$1:$A$1001,),MATCH($H$1,customers!$A$1:$I$1,0))</f>
        <v>Constance Halfhide</v>
      </c>
      <c r="I225" s="2" t="str">
        <f>IF(INDEX(customers!$A$1:$I$1001,MATCH($E225,customers!$A$1:$A$1001,0),3)=0,"",INDEX(customers!$A$1:$I$1001,MATCH($E225,customers!$A$1:$A$1001,0),3))</f>
        <v>chalfhide5s@google.ru</v>
      </c>
      <c r="J225" s="2" t="str">
        <f>_xlfn.XLOOKUP(E225,customers!$A$1:$A$1001,customers!$G$1:$G$1001)</f>
        <v>Ireland</v>
      </c>
      <c r="K225" t="str">
        <f>INDEX(products!$A$1:$G$49,MATCH($F225,products!$A$1:$A$49,0),MATCH(K$1,products!$A$1:$G$1,0))</f>
        <v>Exc</v>
      </c>
      <c r="L225" t="str">
        <f>INDEX(products!$A$1:$G$49,MATCH($F225,products!$A$1:$A$49,0),MATCH(L$1,products!$A$1:$G$1,0))</f>
        <v>D</v>
      </c>
      <c r="M225" s="5">
        <f>INDEX(products!$A$1:$G$49,MATCH($F225,products!$A$1:$A$49,0),MATCH(M$1,products!$A$1:$G$1,0))</f>
        <v>0.5</v>
      </c>
      <c r="N225" s="7">
        <f>INDEX(products!$A$1:$G$49,MATCH($F225,products!$A$1:$A$49,0),MATCH(N$1,products!$A$1:$G$1,0))</f>
        <v>7.29</v>
      </c>
      <c r="O225" s="7">
        <f t="shared" si="3"/>
        <v>29.16</v>
      </c>
      <c r="P225" t="str" cm="1">
        <f t="array" ref="P225">_xlfn.IFS(K225="Rob","Robusta",K225="Exc","Excelsa",K225="Ara","Arabica",K225="Lib","Liberica")</f>
        <v>Excelsa</v>
      </c>
      <c r="Q225" t="str" cm="1">
        <f t="array" ref="Q225">_xlfn.IFS(L225="M","Medium",L225="L","Light",L225="D","Dark")</f>
        <v>Dark</v>
      </c>
      <c r="R225" t="str">
        <f>_xlfn.XLOOKUP(Orders[[#This Row],[Customer ID]],customers!$A$1:$A$1001,customers!$I$1:$I$1001)</f>
        <v>Yes</v>
      </c>
    </row>
    <row r="226" spans="1:18" x14ac:dyDescent="0.35">
      <c r="A226" s="2" t="s">
        <v>5466</v>
      </c>
      <c r="B226" s="4">
        <v>43790</v>
      </c>
      <c r="C226" s="23">
        <f>Orders[[#This Row],[Order Date]]</f>
        <v>43790</v>
      </c>
      <c r="D226" s="2">
        <f>YEAR(Orders[[#This Row],[Order Date]])</f>
        <v>2019</v>
      </c>
      <c r="E226" s="2" t="s">
        <v>5467</v>
      </c>
      <c r="F226" t="s">
        <v>6178</v>
      </c>
      <c r="G226" s="20">
        <v>2</v>
      </c>
      <c r="H226" s="2" t="str">
        <f>INDEX(customers!$A$1:$I$1001,MATCH($E226,customers!$A$1:$A$1001,),MATCH($H$1,customers!$A$1:$I$1,0))</f>
        <v>Constanta Hatfull</v>
      </c>
      <c r="I226" s="2" t="str">
        <f>IF(INDEX(customers!$A$1:$I$1001,MATCH($E226,customers!$A$1:$A$1001,0),3)=0,"",INDEX(customers!$A$1:$I$1001,MATCH($E226,customers!$A$1:$A$1001,0),3))</f>
        <v>chatfullog@ebay.com</v>
      </c>
      <c r="J226" s="2" t="str">
        <f>_xlfn.XLOOKUP(E226,customers!$A$1:$A$1001,customers!$G$1:$G$1001)</f>
        <v>United States</v>
      </c>
      <c r="K226" t="str">
        <f>INDEX(products!$A$1:$G$49,MATCH($F226,products!$A$1:$A$49,0),MATCH(K$1,products!$A$1:$G$1,0))</f>
        <v>Rob</v>
      </c>
      <c r="L226" t="str">
        <f>INDEX(products!$A$1:$G$49,MATCH($F226,products!$A$1:$A$49,0),MATCH(L$1,products!$A$1:$G$1,0))</f>
        <v>L</v>
      </c>
      <c r="M226" s="5">
        <f>INDEX(products!$A$1:$G$49,MATCH($F226,products!$A$1:$A$49,0),MATCH(M$1,products!$A$1:$G$1,0))</f>
        <v>0.2</v>
      </c>
      <c r="N226" s="7">
        <f>INDEX(products!$A$1:$G$49,MATCH($F226,products!$A$1:$A$49,0),MATCH(N$1,products!$A$1:$G$1,0))</f>
        <v>3.5849999999999995</v>
      </c>
      <c r="O226" s="7">
        <f t="shared" si="3"/>
        <v>7.169999999999999</v>
      </c>
      <c r="P226" t="str" cm="1">
        <f t="array" ref="P226">_xlfn.IFS(K226="Rob","Robusta",K226="Exc","Excelsa",K226="Ara","Arabica",K226="Lib","Liberica")</f>
        <v>Robusta</v>
      </c>
      <c r="Q226" t="str" cm="1">
        <f t="array" ref="Q226">_xlfn.IFS(L226="M","Medium",L226="L","Light",L226="D","Dark")</f>
        <v>Light</v>
      </c>
      <c r="R226" t="str">
        <f>_xlfn.XLOOKUP(Orders[[#This Row],[Customer ID]],customers!$A$1:$A$1001,customers!$I$1:$I$1001)</f>
        <v>No</v>
      </c>
    </row>
    <row r="227" spans="1:18" x14ac:dyDescent="0.35">
      <c r="A227" s="2" t="s">
        <v>1158</v>
      </c>
      <c r="B227" s="4">
        <v>44471</v>
      </c>
      <c r="C227" s="23">
        <f>Orders[[#This Row],[Order Date]]</f>
        <v>44471</v>
      </c>
      <c r="D227" s="2">
        <f>YEAR(Orders[[#This Row],[Order Date]])</f>
        <v>2021</v>
      </c>
      <c r="E227" s="2" t="s">
        <v>1159</v>
      </c>
      <c r="F227" t="s">
        <v>6156</v>
      </c>
      <c r="G227" s="20">
        <v>1</v>
      </c>
      <c r="H227" s="2" t="str">
        <f>INDEX(customers!$A$1:$I$1001,MATCH($E227,customers!$A$1:$A$1001,),MATCH($H$1,customers!$A$1:$I$1,0))</f>
        <v>Cordi Switsur</v>
      </c>
      <c r="I227" s="2" t="str">
        <f>IF(INDEX(customers!$A$1:$I$1001,MATCH($E227,customers!$A$1:$A$1001,0),3)=0,"",INDEX(customers!$A$1:$I$1001,MATCH($E227,customers!$A$1:$A$1001,0),3))</f>
        <v>cswitsur3b@chronoengine.com</v>
      </c>
      <c r="J227" s="2" t="str">
        <f>_xlfn.XLOOKUP(E227,customers!$A$1:$A$1001,customers!$G$1:$G$1001)</f>
        <v>United States</v>
      </c>
      <c r="K227" t="str">
        <f>INDEX(products!$A$1:$G$49,MATCH($F227,products!$A$1:$A$49,0),MATCH(K$1,products!$A$1:$G$1,0))</f>
        <v>Exc</v>
      </c>
      <c r="L227" t="str">
        <f>INDEX(products!$A$1:$G$49,MATCH($F227,products!$A$1:$A$49,0),MATCH(L$1,products!$A$1:$G$1,0))</f>
        <v>M</v>
      </c>
      <c r="M227" s="5">
        <f>INDEX(products!$A$1:$G$49,MATCH($F227,products!$A$1:$A$49,0),MATCH(M$1,products!$A$1:$G$1,0))</f>
        <v>0.2</v>
      </c>
      <c r="N227" s="7">
        <f>INDEX(products!$A$1:$G$49,MATCH($F227,products!$A$1:$A$49,0),MATCH(N$1,products!$A$1:$G$1,0))</f>
        <v>4.125</v>
      </c>
      <c r="O227" s="7">
        <f t="shared" si="3"/>
        <v>4.125</v>
      </c>
      <c r="P227" t="str" cm="1">
        <f t="array" ref="P227">_xlfn.IFS(K227="Rob","Robusta",K227="Exc","Excelsa",K227="Ara","Arabica",K227="Lib","Liberica")</f>
        <v>Excelsa</v>
      </c>
      <c r="Q227" t="str" cm="1">
        <f t="array" ref="Q227">_xlfn.IFS(L227="M","Medium",L227="L","Light",L227="D","Dark")</f>
        <v>Medium</v>
      </c>
      <c r="R227" t="str">
        <f>_xlfn.XLOOKUP(Orders[[#This Row],[Customer ID]],customers!$A$1:$A$1001,customers!$I$1:$I$1001)</f>
        <v>No</v>
      </c>
    </row>
    <row r="228" spans="1:18" x14ac:dyDescent="0.35">
      <c r="A228" s="2" t="s">
        <v>1158</v>
      </c>
      <c r="B228" s="4">
        <v>44471</v>
      </c>
      <c r="C228" s="23">
        <f>Orders[[#This Row],[Order Date]]</f>
        <v>44471</v>
      </c>
      <c r="D228" s="2">
        <f>YEAR(Orders[[#This Row],[Order Date]])</f>
        <v>2021</v>
      </c>
      <c r="E228" s="2" t="s">
        <v>1159</v>
      </c>
      <c r="F228" t="s">
        <v>6167</v>
      </c>
      <c r="G228" s="20">
        <v>1</v>
      </c>
      <c r="H228" s="2" t="str">
        <f>INDEX(customers!$A$1:$I$1001,MATCH($E228,customers!$A$1:$A$1001,),MATCH($H$1,customers!$A$1:$I$1,0))</f>
        <v>Cordi Switsur</v>
      </c>
      <c r="I228" s="2" t="str">
        <f>IF(INDEX(customers!$A$1:$I$1001,MATCH($E228,customers!$A$1:$A$1001,0),3)=0,"",INDEX(customers!$A$1:$I$1001,MATCH($E228,customers!$A$1:$A$1001,0),3))</f>
        <v>cswitsur3b@chronoengine.com</v>
      </c>
      <c r="J228" s="2" t="str">
        <f>_xlfn.XLOOKUP(E228,customers!$A$1:$A$1001,customers!$G$1:$G$1001)</f>
        <v>United States</v>
      </c>
      <c r="K228" t="str">
        <f>INDEX(products!$A$1:$G$49,MATCH($F228,products!$A$1:$A$49,0),MATCH(K$1,products!$A$1:$G$1,0))</f>
        <v>Ara</v>
      </c>
      <c r="L228" t="str">
        <f>INDEX(products!$A$1:$G$49,MATCH($F228,products!$A$1:$A$49,0),MATCH(L$1,products!$A$1:$G$1,0))</f>
        <v>L</v>
      </c>
      <c r="M228" s="5">
        <f>INDEX(products!$A$1:$G$49,MATCH($F228,products!$A$1:$A$49,0),MATCH(M$1,products!$A$1:$G$1,0))</f>
        <v>0.2</v>
      </c>
      <c r="N228" s="7">
        <f>INDEX(products!$A$1:$G$49,MATCH($F228,products!$A$1:$A$49,0),MATCH(N$1,products!$A$1:$G$1,0))</f>
        <v>3.8849999999999998</v>
      </c>
      <c r="O228" s="7">
        <f t="shared" si="3"/>
        <v>3.8849999999999998</v>
      </c>
      <c r="P228" t="str" cm="1">
        <f t="array" ref="P228">_xlfn.IFS(K228="Rob","Robusta",K228="Exc","Excelsa",K228="Ara","Arabica",K228="Lib","Liberica")</f>
        <v>Arabica</v>
      </c>
      <c r="Q228" t="str" cm="1">
        <f t="array" ref="Q228">_xlfn.IFS(L228="M","Medium",L228="L","Light",L228="D","Dark")</f>
        <v>Light</v>
      </c>
      <c r="R228" t="str">
        <f>_xlfn.XLOOKUP(Orders[[#This Row],[Customer ID]],customers!$A$1:$A$1001,customers!$I$1:$I$1001)</f>
        <v>No</v>
      </c>
    </row>
    <row r="229" spans="1:18" x14ac:dyDescent="0.35">
      <c r="A229" s="2" t="s">
        <v>1158</v>
      </c>
      <c r="B229" s="4">
        <v>44471</v>
      </c>
      <c r="C229" s="23">
        <f>Orders[[#This Row],[Order Date]]</f>
        <v>44471</v>
      </c>
      <c r="D229" s="2">
        <f>YEAR(Orders[[#This Row],[Order Date]])</f>
        <v>2021</v>
      </c>
      <c r="E229" s="2" t="s">
        <v>1159</v>
      </c>
      <c r="F229" t="s">
        <v>6141</v>
      </c>
      <c r="G229" s="20">
        <v>5</v>
      </c>
      <c r="H229" s="2" t="str">
        <f>INDEX(customers!$A$1:$I$1001,MATCH($E229,customers!$A$1:$A$1001,),MATCH($H$1,customers!$A$1:$I$1,0))</f>
        <v>Cordi Switsur</v>
      </c>
      <c r="I229" s="2" t="str">
        <f>IF(INDEX(customers!$A$1:$I$1001,MATCH($E229,customers!$A$1:$A$1001,0),3)=0,"",INDEX(customers!$A$1:$I$1001,MATCH($E229,customers!$A$1:$A$1001,0),3))</f>
        <v>cswitsur3b@chronoengine.com</v>
      </c>
      <c r="J229" s="2" t="str">
        <f>_xlfn.XLOOKUP(E229,customers!$A$1:$A$1001,customers!$G$1:$G$1001)</f>
        <v>United States</v>
      </c>
      <c r="K229" t="str">
        <f>INDEX(products!$A$1:$G$49,MATCH($F229,products!$A$1:$A$49,0),MATCH(K$1,products!$A$1:$G$1,0))</f>
        <v>Exc</v>
      </c>
      <c r="L229" t="str">
        <f>INDEX(products!$A$1:$G$49,MATCH($F229,products!$A$1:$A$49,0),MATCH(L$1,products!$A$1:$G$1,0))</f>
        <v>M</v>
      </c>
      <c r="M229" s="5">
        <f>INDEX(products!$A$1:$G$49,MATCH($F229,products!$A$1:$A$49,0),MATCH(M$1,products!$A$1:$G$1,0))</f>
        <v>1</v>
      </c>
      <c r="N229" s="7">
        <f>INDEX(products!$A$1:$G$49,MATCH($F229,products!$A$1:$A$49,0),MATCH(N$1,products!$A$1:$G$1,0))</f>
        <v>13.75</v>
      </c>
      <c r="O229" s="7">
        <f t="shared" si="3"/>
        <v>68.75</v>
      </c>
      <c r="P229" t="str" cm="1">
        <f t="array" ref="P229">_xlfn.IFS(K229="Rob","Robusta",K229="Exc","Excelsa",K229="Ara","Arabica",K229="Lib","Liberica")</f>
        <v>Excelsa</v>
      </c>
      <c r="Q229" t="str" cm="1">
        <f t="array" ref="Q229">_xlfn.IFS(L229="M","Medium",L229="L","Light",L229="D","Dark")</f>
        <v>Medium</v>
      </c>
      <c r="R229" t="str">
        <f>_xlfn.XLOOKUP(Orders[[#This Row],[Customer ID]],customers!$A$1:$A$1001,customers!$I$1:$I$1001)</f>
        <v>No</v>
      </c>
    </row>
    <row r="230" spans="1:18" x14ac:dyDescent="0.35">
      <c r="A230" s="2" t="s">
        <v>3996</v>
      </c>
      <c r="B230" s="4">
        <v>44006</v>
      </c>
      <c r="C230" s="23">
        <f>Orders[[#This Row],[Order Date]]</f>
        <v>44006</v>
      </c>
      <c r="D230" s="2">
        <f>YEAR(Orders[[#This Row],[Order Date]])</f>
        <v>2020</v>
      </c>
      <c r="E230" s="2" t="s">
        <v>3997</v>
      </c>
      <c r="F230" t="s">
        <v>6140</v>
      </c>
      <c r="G230" s="20">
        <v>6</v>
      </c>
      <c r="H230" s="2" t="str">
        <f>INDEX(customers!$A$1:$I$1001,MATCH($E230,customers!$A$1:$A$1001,),MATCH($H$1,customers!$A$1:$I$1,0))</f>
        <v>Cordy Odgaard</v>
      </c>
      <c r="I230" s="2" t="str">
        <f>IF(INDEX(customers!$A$1:$I$1001,MATCH($E230,customers!$A$1:$A$1001,0),3)=0,"",INDEX(customers!$A$1:$I$1001,MATCH($E230,customers!$A$1:$A$1001,0),3))</f>
        <v>codgaardh9@nsw.gov.au</v>
      </c>
      <c r="J230" s="2" t="str">
        <f>_xlfn.XLOOKUP(E230,customers!$A$1:$A$1001,customers!$G$1:$G$1001)</f>
        <v>United States</v>
      </c>
      <c r="K230" t="str">
        <f>INDEX(products!$A$1:$G$49,MATCH($F230,products!$A$1:$A$49,0),MATCH(K$1,products!$A$1:$G$1,0))</f>
        <v>Ara</v>
      </c>
      <c r="L230" t="str">
        <f>INDEX(products!$A$1:$G$49,MATCH($F230,products!$A$1:$A$49,0),MATCH(L$1,products!$A$1:$G$1,0))</f>
        <v>L</v>
      </c>
      <c r="M230" s="5">
        <f>INDEX(products!$A$1:$G$49,MATCH($F230,products!$A$1:$A$49,0),MATCH(M$1,products!$A$1:$G$1,0))</f>
        <v>1</v>
      </c>
      <c r="N230" s="7">
        <f>INDEX(products!$A$1:$G$49,MATCH($F230,products!$A$1:$A$49,0),MATCH(N$1,products!$A$1:$G$1,0))</f>
        <v>12.95</v>
      </c>
      <c r="O230" s="7">
        <f t="shared" si="3"/>
        <v>77.699999999999989</v>
      </c>
      <c r="P230" t="str" cm="1">
        <f t="array" ref="P230">_xlfn.IFS(K230="Rob","Robusta",K230="Exc","Excelsa",K230="Ara","Arabica",K230="Lib","Liberica")</f>
        <v>Arabica</v>
      </c>
      <c r="Q230" t="str" cm="1">
        <f t="array" ref="Q230">_xlfn.IFS(L230="M","Medium",L230="L","Light",L230="D","Dark")</f>
        <v>Light</v>
      </c>
      <c r="R230" t="str">
        <f>_xlfn.XLOOKUP(Orders[[#This Row],[Customer ID]],customers!$A$1:$A$1001,customers!$I$1:$I$1001)</f>
        <v>No</v>
      </c>
    </row>
    <row r="231" spans="1:18" x14ac:dyDescent="0.35">
      <c r="A231" s="2" t="s">
        <v>2357</v>
      </c>
      <c r="B231" s="4">
        <v>43989</v>
      </c>
      <c r="C231" s="23">
        <f>Orders[[#This Row],[Order Date]]</f>
        <v>43989</v>
      </c>
      <c r="D231" s="2">
        <f>YEAR(Orders[[#This Row],[Order Date]])</f>
        <v>2020</v>
      </c>
      <c r="E231" s="2" t="s">
        <v>2358</v>
      </c>
      <c r="F231" t="s">
        <v>6151</v>
      </c>
      <c r="G231" s="20">
        <v>1</v>
      </c>
      <c r="H231" s="2" t="str">
        <f>INDEX(customers!$A$1:$I$1001,MATCH($E231,customers!$A$1:$A$1001,),MATCH($H$1,customers!$A$1:$I$1,0))</f>
        <v>Corine Drewett</v>
      </c>
      <c r="I231" s="2" t="str">
        <f>IF(INDEX(customers!$A$1:$I$1001,MATCH($E231,customers!$A$1:$A$1001,0),3)=0,"",INDEX(customers!$A$1:$I$1001,MATCH($E231,customers!$A$1:$A$1001,0),3))</f>
        <v>cdrewett97@wikipedia.org</v>
      </c>
      <c r="J231" s="2" t="str">
        <f>_xlfn.XLOOKUP(E231,customers!$A$1:$A$1001,customers!$G$1:$G$1001)</f>
        <v>United States</v>
      </c>
      <c r="K231" t="str">
        <f>INDEX(products!$A$1:$G$49,MATCH($F231,products!$A$1:$A$49,0),MATCH(K$1,products!$A$1:$G$1,0))</f>
        <v>Rob</v>
      </c>
      <c r="L231" t="str">
        <f>INDEX(products!$A$1:$G$49,MATCH($F231,products!$A$1:$A$49,0),MATCH(L$1,products!$A$1:$G$1,0))</f>
        <v>M</v>
      </c>
      <c r="M231" s="5">
        <f>INDEX(products!$A$1:$G$49,MATCH($F231,products!$A$1:$A$49,0),MATCH(M$1,products!$A$1:$G$1,0))</f>
        <v>2.5</v>
      </c>
      <c r="N231" s="7">
        <f>INDEX(products!$A$1:$G$49,MATCH($F231,products!$A$1:$A$49,0),MATCH(N$1,products!$A$1:$G$1,0))</f>
        <v>22.884999999999998</v>
      </c>
      <c r="O231" s="7">
        <f t="shared" si="3"/>
        <v>22.884999999999998</v>
      </c>
      <c r="P231" t="str" cm="1">
        <f t="array" ref="P231">_xlfn.IFS(K231="Rob","Robusta",K231="Exc","Excelsa",K231="Ara","Arabica",K231="Lib","Liberica")</f>
        <v>Robusta</v>
      </c>
      <c r="Q231" t="str" cm="1">
        <f t="array" ref="Q231">_xlfn.IFS(L231="M","Medium",L231="L","Light",L231="D","Dark")</f>
        <v>Medium</v>
      </c>
      <c r="R231" t="str">
        <f>_xlfn.XLOOKUP(Orders[[#This Row],[Customer ID]],customers!$A$1:$A$1001,customers!$I$1:$I$1001)</f>
        <v>Yes</v>
      </c>
    </row>
    <row r="232" spans="1:18" x14ac:dyDescent="0.35">
      <c r="A232" s="2" t="s">
        <v>2573</v>
      </c>
      <c r="B232" s="4">
        <v>43501</v>
      </c>
      <c r="C232" s="23">
        <f>Orders[[#This Row],[Order Date]]</f>
        <v>43501</v>
      </c>
      <c r="D232" s="2">
        <f>YEAR(Orders[[#This Row],[Order Date]])</f>
        <v>2019</v>
      </c>
      <c r="E232" s="2" t="s">
        <v>2574</v>
      </c>
      <c r="F232" t="s">
        <v>6183</v>
      </c>
      <c r="G232" s="20">
        <v>2</v>
      </c>
      <c r="H232" s="2" t="str">
        <f>INDEX(customers!$A$1:$I$1001,MATCH($E232,customers!$A$1:$A$1001,),MATCH($H$1,customers!$A$1:$I$1,0))</f>
        <v>Corinna Catcheside</v>
      </c>
      <c r="I232" s="2" t="str">
        <f>IF(INDEX(customers!$A$1:$I$1001,MATCH($E232,customers!$A$1:$A$1001,0),3)=0,"",INDEX(customers!$A$1:$I$1001,MATCH($E232,customers!$A$1:$A$1001,0),3))</f>
        <v>ccatchesideaa@macromedia.com</v>
      </c>
      <c r="J232" s="2" t="str">
        <f>_xlfn.XLOOKUP(E232,customers!$A$1:$A$1001,customers!$G$1:$G$1001)</f>
        <v>United States</v>
      </c>
      <c r="K232" t="str">
        <f>INDEX(products!$A$1:$G$49,MATCH($F232,products!$A$1:$A$49,0),MATCH(K$1,products!$A$1:$G$1,0))</f>
        <v>Exc</v>
      </c>
      <c r="L232" t="str">
        <f>INDEX(products!$A$1:$G$49,MATCH($F232,products!$A$1:$A$49,0),MATCH(L$1,products!$A$1:$G$1,0))</f>
        <v>D</v>
      </c>
      <c r="M232" s="5">
        <f>INDEX(products!$A$1:$G$49,MATCH($F232,products!$A$1:$A$49,0),MATCH(M$1,products!$A$1:$G$1,0))</f>
        <v>1</v>
      </c>
      <c r="N232" s="7">
        <f>INDEX(products!$A$1:$G$49,MATCH($F232,products!$A$1:$A$49,0),MATCH(N$1,products!$A$1:$G$1,0))</f>
        <v>12.15</v>
      </c>
      <c r="O232" s="7">
        <f t="shared" si="3"/>
        <v>24.3</v>
      </c>
      <c r="P232" t="str" cm="1">
        <f t="array" ref="P232">_xlfn.IFS(K232="Rob","Robusta",K232="Exc","Excelsa",K232="Ara","Arabica",K232="Lib","Liberica")</f>
        <v>Excelsa</v>
      </c>
      <c r="Q232" t="str" cm="1">
        <f t="array" ref="Q232">_xlfn.IFS(L232="M","Medium",L232="L","Light",L232="D","Dark")</f>
        <v>Dark</v>
      </c>
      <c r="R232" t="str">
        <f>_xlfn.XLOOKUP(Orders[[#This Row],[Customer ID]],customers!$A$1:$A$1001,customers!$I$1:$I$1001)</f>
        <v>Yes</v>
      </c>
    </row>
    <row r="233" spans="1:18" x14ac:dyDescent="0.35">
      <c r="A233" s="2" t="s">
        <v>2591</v>
      </c>
      <c r="B233" s="4">
        <v>44742</v>
      </c>
      <c r="C233" s="23">
        <f>Orders[[#This Row],[Order Date]]</f>
        <v>44742</v>
      </c>
      <c r="D233" s="2">
        <f>YEAR(Orders[[#This Row],[Order Date]])</f>
        <v>2022</v>
      </c>
      <c r="E233" s="2" t="s">
        <v>2592</v>
      </c>
      <c r="F233" t="s">
        <v>6158</v>
      </c>
      <c r="G233" s="20">
        <v>3</v>
      </c>
      <c r="H233" s="2" t="str">
        <f>INDEX(customers!$A$1:$I$1001,MATCH($E233,customers!$A$1:$A$1001,),MATCH($H$1,customers!$A$1:$I$1,0))</f>
        <v>Corney Curme</v>
      </c>
      <c r="I233" s="2" t="str">
        <f>IF(INDEX(customers!$A$1:$I$1001,MATCH($E233,customers!$A$1:$A$1001,0),3)=0,"",INDEX(customers!$A$1:$I$1001,MATCH($E233,customers!$A$1:$A$1001,0),3))</f>
        <v/>
      </c>
      <c r="J233" s="2" t="str">
        <f>_xlfn.XLOOKUP(E233,customers!$A$1:$A$1001,customers!$G$1:$G$1001)</f>
        <v>Ireland</v>
      </c>
      <c r="K233" t="str">
        <f>INDEX(products!$A$1:$G$49,MATCH($F233,products!$A$1:$A$49,0),MATCH(K$1,products!$A$1:$G$1,0))</f>
        <v>Ara</v>
      </c>
      <c r="L233" t="str">
        <f>INDEX(products!$A$1:$G$49,MATCH($F233,products!$A$1:$A$49,0),MATCH(L$1,products!$A$1:$G$1,0))</f>
        <v>D</v>
      </c>
      <c r="M233" s="5">
        <f>INDEX(products!$A$1:$G$49,MATCH($F233,products!$A$1:$A$49,0),MATCH(M$1,products!$A$1:$G$1,0))</f>
        <v>0.5</v>
      </c>
      <c r="N233" s="7">
        <f>INDEX(products!$A$1:$G$49,MATCH($F233,products!$A$1:$A$49,0),MATCH(N$1,products!$A$1:$G$1,0))</f>
        <v>5.97</v>
      </c>
      <c r="O233" s="7">
        <f t="shared" si="3"/>
        <v>17.91</v>
      </c>
      <c r="P233" t="str" cm="1">
        <f t="array" ref="P233">_xlfn.IFS(K233="Rob","Robusta",K233="Exc","Excelsa",K233="Ara","Arabica",K233="Lib","Liberica")</f>
        <v>Arabica</v>
      </c>
      <c r="Q233" t="str" cm="1">
        <f t="array" ref="Q233">_xlfn.IFS(L233="M","Medium",L233="L","Light",L233="D","Dark")</f>
        <v>Dark</v>
      </c>
      <c r="R233" t="str">
        <f>_xlfn.XLOOKUP(Orders[[#This Row],[Customer ID]],customers!$A$1:$A$1001,customers!$I$1:$I$1001)</f>
        <v>Yes</v>
      </c>
    </row>
    <row r="234" spans="1:18" x14ac:dyDescent="0.35">
      <c r="A234" s="2" t="s">
        <v>3728</v>
      </c>
      <c r="B234" s="4">
        <v>43781</v>
      </c>
      <c r="C234" s="23">
        <f>Orders[[#This Row],[Order Date]]</f>
        <v>43781</v>
      </c>
      <c r="D234" s="2">
        <f>YEAR(Orders[[#This Row],[Order Date]])</f>
        <v>2019</v>
      </c>
      <c r="E234" s="2" t="s">
        <v>3729</v>
      </c>
      <c r="F234" t="s">
        <v>6155</v>
      </c>
      <c r="G234" s="20">
        <v>6</v>
      </c>
      <c r="H234" s="2" t="str">
        <f>INDEX(customers!$A$1:$I$1001,MATCH($E234,customers!$A$1:$A$1001,),MATCH($H$1,customers!$A$1:$I$1,0))</f>
        <v>Cornie Venour</v>
      </c>
      <c r="I234" s="2" t="str">
        <f>IF(INDEX(customers!$A$1:$I$1001,MATCH($E234,customers!$A$1:$A$1001,0),3)=0,"",INDEX(customers!$A$1:$I$1001,MATCH($E234,customers!$A$1:$A$1001,0),3))</f>
        <v>cvenourfx@ask.com</v>
      </c>
      <c r="J234" s="2" t="str">
        <f>_xlfn.XLOOKUP(E234,customers!$A$1:$A$1001,customers!$G$1:$G$1001)</f>
        <v>United States</v>
      </c>
      <c r="K234" t="str">
        <f>INDEX(products!$A$1:$G$49,MATCH($F234,products!$A$1:$A$49,0),MATCH(K$1,products!$A$1:$G$1,0))</f>
        <v>Ara</v>
      </c>
      <c r="L234" t="str">
        <f>INDEX(products!$A$1:$G$49,MATCH($F234,products!$A$1:$A$49,0),MATCH(L$1,products!$A$1:$G$1,0))</f>
        <v>M</v>
      </c>
      <c r="M234" s="5">
        <f>INDEX(products!$A$1:$G$49,MATCH($F234,products!$A$1:$A$49,0),MATCH(M$1,products!$A$1:$G$1,0))</f>
        <v>1</v>
      </c>
      <c r="N234" s="7">
        <f>INDEX(products!$A$1:$G$49,MATCH($F234,products!$A$1:$A$49,0),MATCH(N$1,products!$A$1:$G$1,0))</f>
        <v>11.25</v>
      </c>
      <c r="O234" s="7">
        <f t="shared" si="3"/>
        <v>67.5</v>
      </c>
      <c r="P234" t="str" cm="1">
        <f t="array" ref="P234">_xlfn.IFS(K234="Rob","Robusta",K234="Exc","Excelsa",K234="Ara","Arabica",K234="Lib","Liberica")</f>
        <v>Arabica</v>
      </c>
      <c r="Q234" t="str" cm="1">
        <f t="array" ref="Q234">_xlfn.IFS(L234="M","Medium",L234="L","Light",L234="D","Dark")</f>
        <v>Medium</v>
      </c>
      <c r="R234" t="str">
        <f>_xlfn.XLOOKUP(Orders[[#This Row],[Customer ID]],customers!$A$1:$A$1001,customers!$I$1:$I$1001)</f>
        <v>No</v>
      </c>
    </row>
    <row r="235" spans="1:18" x14ac:dyDescent="0.35">
      <c r="A235" s="2" t="s">
        <v>5147</v>
      </c>
      <c r="B235" s="4">
        <v>43781</v>
      </c>
      <c r="C235" s="23">
        <f>Orders[[#This Row],[Order Date]]</f>
        <v>43781</v>
      </c>
      <c r="D235" s="2">
        <f>YEAR(Orders[[#This Row],[Order Date]])</f>
        <v>2019</v>
      </c>
      <c r="E235" s="2" t="s">
        <v>5148</v>
      </c>
      <c r="F235" t="s">
        <v>6152</v>
      </c>
      <c r="G235" s="20">
        <v>5</v>
      </c>
      <c r="H235" s="2" t="str">
        <f>INDEX(customers!$A$1:$I$1001,MATCH($E235,customers!$A$1:$A$1001,),MATCH($H$1,customers!$A$1:$I$1,0))</f>
        <v>Correy Bourner</v>
      </c>
      <c r="I235" s="2" t="str">
        <f>IF(INDEX(customers!$A$1:$I$1001,MATCH($E235,customers!$A$1:$A$1001,0),3)=0,"",INDEX(customers!$A$1:$I$1001,MATCH($E235,customers!$A$1:$A$1001,0),3))</f>
        <v>cbournermw@chronoengine.com</v>
      </c>
      <c r="J235" s="2" t="str">
        <f>_xlfn.XLOOKUP(E235,customers!$A$1:$A$1001,customers!$G$1:$G$1001)</f>
        <v>United States</v>
      </c>
      <c r="K235" t="str">
        <f>INDEX(products!$A$1:$G$49,MATCH($F235,products!$A$1:$A$49,0),MATCH(K$1,products!$A$1:$G$1,0))</f>
        <v>Ara</v>
      </c>
      <c r="L235" t="str">
        <f>INDEX(products!$A$1:$G$49,MATCH($F235,products!$A$1:$A$49,0),MATCH(L$1,products!$A$1:$G$1,0))</f>
        <v>M</v>
      </c>
      <c r="M235" s="5">
        <f>INDEX(products!$A$1:$G$49,MATCH($F235,products!$A$1:$A$49,0),MATCH(M$1,products!$A$1:$G$1,0))</f>
        <v>0.2</v>
      </c>
      <c r="N235" s="7">
        <f>INDEX(products!$A$1:$G$49,MATCH($F235,products!$A$1:$A$49,0),MATCH(N$1,products!$A$1:$G$1,0))</f>
        <v>3.375</v>
      </c>
      <c r="O235" s="7">
        <f t="shared" si="3"/>
        <v>16.875</v>
      </c>
      <c r="P235" t="str" cm="1">
        <f t="array" ref="P235">_xlfn.IFS(K235="Rob","Robusta",K235="Exc","Excelsa",K235="Ara","Arabica",K235="Lib","Liberica")</f>
        <v>Arabica</v>
      </c>
      <c r="Q235" t="str" cm="1">
        <f t="array" ref="Q235">_xlfn.IFS(L235="M","Medium",L235="L","Light",L235="D","Dark")</f>
        <v>Medium</v>
      </c>
      <c r="R235" t="str">
        <f>_xlfn.XLOOKUP(Orders[[#This Row],[Customer ID]],customers!$A$1:$A$1001,customers!$I$1:$I$1001)</f>
        <v>Yes</v>
      </c>
    </row>
    <row r="236" spans="1:18" x14ac:dyDescent="0.35">
      <c r="A236" s="2" t="s">
        <v>827</v>
      </c>
      <c r="B236" s="4">
        <v>44252</v>
      </c>
      <c r="C236" s="23">
        <f>Orders[[#This Row],[Order Date]]</f>
        <v>44252</v>
      </c>
      <c r="D236" s="2">
        <f>YEAR(Orders[[#This Row],[Order Date]])</f>
        <v>2021</v>
      </c>
      <c r="E236" s="2" t="s">
        <v>828</v>
      </c>
      <c r="F236" t="s">
        <v>6168</v>
      </c>
      <c r="G236" s="20">
        <v>5</v>
      </c>
      <c r="H236" s="2" t="str">
        <f>INDEX(customers!$A$1:$I$1001,MATCH($E236,customers!$A$1:$A$1001,),MATCH($H$1,customers!$A$1:$I$1,0))</f>
        <v>Correy Cottingham</v>
      </c>
      <c r="I236" s="2" t="str">
        <f>IF(INDEX(customers!$A$1:$I$1001,MATCH($E236,customers!$A$1:$A$1001,0),3)=0,"",INDEX(customers!$A$1:$I$1001,MATCH($E236,customers!$A$1:$A$1001,0),3))</f>
        <v>ccottingham1o@wikipedia.org</v>
      </c>
      <c r="J236" s="2" t="str">
        <f>_xlfn.XLOOKUP(E236,customers!$A$1:$A$1001,customers!$G$1:$G$1001)</f>
        <v>United States</v>
      </c>
      <c r="K236" t="str">
        <f>INDEX(products!$A$1:$G$49,MATCH($F236,products!$A$1:$A$49,0),MATCH(K$1,products!$A$1:$G$1,0))</f>
        <v>Ara</v>
      </c>
      <c r="L236" t="str">
        <f>INDEX(products!$A$1:$G$49,MATCH($F236,products!$A$1:$A$49,0),MATCH(L$1,products!$A$1:$G$1,0))</f>
        <v>D</v>
      </c>
      <c r="M236" s="5">
        <f>INDEX(products!$A$1:$G$49,MATCH($F236,products!$A$1:$A$49,0),MATCH(M$1,products!$A$1:$G$1,0))</f>
        <v>2.5</v>
      </c>
      <c r="N236" s="7">
        <f>INDEX(products!$A$1:$G$49,MATCH($F236,products!$A$1:$A$49,0),MATCH(N$1,products!$A$1:$G$1,0))</f>
        <v>22.884999999999998</v>
      </c>
      <c r="O236" s="7">
        <f t="shared" si="3"/>
        <v>114.42499999999998</v>
      </c>
      <c r="P236" t="str" cm="1">
        <f t="array" ref="P236">_xlfn.IFS(K236="Rob","Robusta",K236="Exc","Excelsa",K236="Ara","Arabica",K236="Lib","Liberica")</f>
        <v>Arabica</v>
      </c>
      <c r="Q236" t="str" cm="1">
        <f t="array" ref="Q236">_xlfn.IFS(L236="M","Medium",L236="L","Light",L236="D","Dark")</f>
        <v>Dark</v>
      </c>
      <c r="R236" t="str">
        <f>_xlfn.XLOOKUP(Orders[[#This Row],[Customer ID]],customers!$A$1:$A$1001,customers!$I$1:$I$1001)</f>
        <v>No</v>
      </c>
    </row>
    <row r="237" spans="1:18" x14ac:dyDescent="0.35">
      <c r="A237" s="2" t="s">
        <v>4234</v>
      </c>
      <c r="B237" s="4">
        <v>43554</v>
      </c>
      <c r="C237" s="23">
        <f>Orders[[#This Row],[Order Date]]</f>
        <v>43554</v>
      </c>
      <c r="D237" s="2">
        <f>YEAR(Orders[[#This Row],[Order Date]])</f>
        <v>2019</v>
      </c>
      <c r="E237" s="2" t="s">
        <v>4235</v>
      </c>
      <c r="F237" t="s">
        <v>6155</v>
      </c>
      <c r="G237" s="20">
        <v>6</v>
      </c>
      <c r="H237" s="2" t="str">
        <f>INDEX(customers!$A$1:$I$1001,MATCH($E237,customers!$A$1:$A$1001,),MATCH($H$1,customers!$A$1:$I$1,0))</f>
        <v>Corrie Wass</v>
      </c>
      <c r="I237" s="2" t="str">
        <f>IF(INDEX(customers!$A$1:$I$1001,MATCH($E237,customers!$A$1:$A$1001,0),3)=0,"",INDEX(customers!$A$1:$I$1001,MATCH($E237,customers!$A$1:$A$1001,0),3))</f>
        <v>cwassif@prweb.com</v>
      </c>
      <c r="J237" s="2" t="str">
        <f>_xlfn.XLOOKUP(E237,customers!$A$1:$A$1001,customers!$G$1:$G$1001)</f>
        <v>United States</v>
      </c>
      <c r="K237" t="str">
        <f>INDEX(products!$A$1:$G$49,MATCH($F237,products!$A$1:$A$49,0),MATCH(K$1,products!$A$1:$G$1,0))</f>
        <v>Ara</v>
      </c>
      <c r="L237" t="str">
        <f>INDEX(products!$A$1:$G$49,MATCH($F237,products!$A$1:$A$49,0),MATCH(L$1,products!$A$1:$G$1,0))</f>
        <v>M</v>
      </c>
      <c r="M237" s="5">
        <f>INDEX(products!$A$1:$G$49,MATCH($F237,products!$A$1:$A$49,0),MATCH(M$1,products!$A$1:$G$1,0))</f>
        <v>1</v>
      </c>
      <c r="N237" s="7">
        <f>INDEX(products!$A$1:$G$49,MATCH($F237,products!$A$1:$A$49,0),MATCH(N$1,products!$A$1:$G$1,0))</f>
        <v>11.25</v>
      </c>
      <c r="O237" s="7">
        <f t="shared" si="3"/>
        <v>67.5</v>
      </c>
      <c r="P237" t="str" cm="1">
        <f t="array" ref="P237">_xlfn.IFS(K237="Rob","Robusta",K237="Exc","Excelsa",K237="Ara","Arabica",K237="Lib","Liberica")</f>
        <v>Arabica</v>
      </c>
      <c r="Q237" t="str" cm="1">
        <f t="array" ref="Q237">_xlfn.IFS(L237="M","Medium",L237="L","Light",L237="D","Dark")</f>
        <v>Medium</v>
      </c>
      <c r="R237" t="str">
        <f>_xlfn.XLOOKUP(Orders[[#This Row],[Customer ID]],customers!$A$1:$A$1001,customers!$I$1:$I$1001)</f>
        <v>No</v>
      </c>
    </row>
    <row r="238" spans="1:18" x14ac:dyDescent="0.35">
      <c r="A238" s="2" t="s">
        <v>2579</v>
      </c>
      <c r="B238" s="4">
        <v>44705</v>
      </c>
      <c r="C238" s="23">
        <f>Orders[[#This Row],[Order Date]]</f>
        <v>44705</v>
      </c>
      <c r="D238" s="2">
        <f>YEAR(Orders[[#This Row],[Order Date]])</f>
        <v>2022</v>
      </c>
      <c r="E238" s="2" t="s">
        <v>2580</v>
      </c>
      <c r="F238" t="s">
        <v>6180</v>
      </c>
      <c r="G238" s="20">
        <v>6</v>
      </c>
      <c r="H238" s="2" t="str">
        <f>INDEX(customers!$A$1:$I$1001,MATCH($E238,customers!$A$1:$A$1001,),MATCH($H$1,customers!$A$1:$I$1,0))</f>
        <v>Cortney Gibbonson</v>
      </c>
      <c r="I238" s="2" t="str">
        <f>IF(INDEX(customers!$A$1:$I$1001,MATCH($E238,customers!$A$1:$A$1001,0),3)=0,"",INDEX(customers!$A$1:$I$1001,MATCH($E238,customers!$A$1:$A$1001,0),3))</f>
        <v>cgibbonsonab@accuweather.com</v>
      </c>
      <c r="J238" s="2" t="str">
        <f>_xlfn.XLOOKUP(E238,customers!$A$1:$A$1001,customers!$G$1:$G$1001)</f>
        <v>United States</v>
      </c>
      <c r="K238" t="str">
        <f>INDEX(products!$A$1:$G$49,MATCH($F238,products!$A$1:$A$49,0),MATCH(K$1,products!$A$1:$G$1,0))</f>
        <v>Ara</v>
      </c>
      <c r="L238" t="str">
        <f>INDEX(products!$A$1:$G$49,MATCH($F238,products!$A$1:$A$49,0),MATCH(L$1,products!$A$1:$G$1,0))</f>
        <v>L</v>
      </c>
      <c r="M238" s="5">
        <f>INDEX(products!$A$1:$G$49,MATCH($F238,products!$A$1:$A$49,0),MATCH(M$1,products!$A$1:$G$1,0))</f>
        <v>0.5</v>
      </c>
      <c r="N238" s="7">
        <f>INDEX(products!$A$1:$G$49,MATCH($F238,products!$A$1:$A$49,0),MATCH(N$1,products!$A$1:$G$1,0))</f>
        <v>7.77</v>
      </c>
      <c r="O238" s="7">
        <f t="shared" si="3"/>
        <v>46.62</v>
      </c>
      <c r="P238" t="str" cm="1">
        <f t="array" ref="P238">_xlfn.IFS(K238="Rob","Robusta",K238="Exc","Excelsa",K238="Ara","Arabica",K238="Lib","Liberica")</f>
        <v>Arabica</v>
      </c>
      <c r="Q238" t="str" cm="1">
        <f t="array" ref="Q238">_xlfn.IFS(L238="M","Medium",L238="L","Light",L238="D","Dark")</f>
        <v>Light</v>
      </c>
      <c r="R238" t="str">
        <f>_xlfn.XLOOKUP(Orders[[#This Row],[Customer ID]],customers!$A$1:$A$1001,customers!$I$1:$I$1001)</f>
        <v>Yes</v>
      </c>
    </row>
    <row r="239" spans="1:18" x14ac:dyDescent="0.35">
      <c r="A239" s="2" t="s">
        <v>2227</v>
      </c>
      <c r="B239" s="4">
        <v>44729</v>
      </c>
      <c r="C239" s="23">
        <f>Orders[[#This Row],[Order Date]]</f>
        <v>44729</v>
      </c>
      <c r="D239" s="2">
        <f>YEAR(Orders[[#This Row],[Order Date]])</f>
        <v>2022</v>
      </c>
      <c r="E239" s="2" t="s">
        <v>2228</v>
      </c>
      <c r="F239" t="s">
        <v>6155</v>
      </c>
      <c r="G239" s="20">
        <v>3</v>
      </c>
      <c r="H239" s="2" t="str">
        <f>INDEX(customers!$A$1:$I$1001,MATCH($E239,customers!$A$1:$A$1001,),MATCH($H$1,customers!$A$1:$I$1,0))</f>
        <v>Cos Fluin</v>
      </c>
      <c r="I239" s="2" t="str">
        <f>IF(INDEX(customers!$A$1:$I$1001,MATCH($E239,customers!$A$1:$A$1001,0),3)=0,"",INDEX(customers!$A$1:$I$1001,MATCH($E239,customers!$A$1:$A$1001,0),3))</f>
        <v>cfluin8k@flickr.com</v>
      </c>
      <c r="J239" s="2" t="str">
        <f>_xlfn.XLOOKUP(E239,customers!$A$1:$A$1001,customers!$G$1:$G$1001)</f>
        <v>United Kingdom</v>
      </c>
      <c r="K239" t="str">
        <f>INDEX(products!$A$1:$G$49,MATCH($F239,products!$A$1:$A$49,0),MATCH(K$1,products!$A$1:$G$1,0))</f>
        <v>Ara</v>
      </c>
      <c r="L239" t="str">
        <f>INDEX(products!$A$1:$G$49,MATCH($F239,products!$A$1:$A$49,0),MATCH(L$1,products!$A$1:$G$1,0))</f>
        <v>M</v>
      </c>
      <c r="M239" s="5">
        <f>INDEX(products!$A$1:$G$49,MATCH($F239,products!$A$1:$A$49,0),MATCH(M$1,products!$A$1:$G$1,0))</f>
        <v>1</v>
      </c>
      <c r="N239" s="7">
        <f>INDEX(products!$A$1:$G$49,MATCH($F239,products!$A$1:$A$49,0),MATCH(N$1,products!$A$1:$G$1,0))</f>
        <v>11.25</v>
      </c>
      <c r="O239" s="7">
        <f t="shared" si="3"/>
        <v>33.75</v>
      </c>
      <c r="P239" t="str" cm="1">
        <f t="array" ref="P239">_xlfn.IFS(K239="Rob","Robusta",K239="Exc","Excelsa",K239="Ara","Arabica",K239="Lib","Liberica")</f>
        <v>Arabica</v>
      </c>
      <c r="Q239" t="str" cm="1">
        <f t="array" ref="Q239">_xlfn.IFS(L239="M","Medium",L239="L","Light",L239="D","Dark")</f>
        <v>Medium</v>
      </c>
      <c r="R239" t="str">
        <f>_xlfn.XLOOKUP(Orders[[#This Row],[Customer ID]],customers!$A$1:$A$1001,customers!$I$1:$I$1001)</f>
        <v>No</v>
      </c>
    </row>
    <row r="240" spans="1:18" x14ac:dyDescent="0.35">
      <c r="A240" s="2" t="s">
        <v>4123</v>
      </c>
      <c r="B240" s="4">
        <v>44011</v>
      </c>
      <c r="C240" s="23">
        <f>Orders[[#This Row],[Order Date]]</f>
        <v>44011</v>
      </c>
      <c r="D240" s="2">
        <f>YEAR(Orders[[#This Row],[Order Date]])</f>
        <v>2020</v>
      </c>
      <c r="E240" s="2" t="s">
        <v>4124</v>
      </c>
      <c r="F240" t="s">
        <v>6148</v>
      </c>
      <c r="G240" s="20">
        <v>3</v>
      </c>
      <c r="H240" s="2" t="str">
        <f>INDEX(customers!$A$1:$I$1001,MATCH($E240,customers!$A$1:$A$1001,),MATCH($H$1,customers!$A$1:$I$1,0))</f>
        <v>Courtney Pallant</v>
      </c>
      <c r="I240" s="2" t="str">
        <f>IF(INDEX(customers!$A$1:$I$1001,MATCH($E240,customers!$A$1:$A$1001,0),3)=0,"",INDEX(customers!$A$1:$I$1001,MATCH($E240,customers!$A$1:$A$1001,0),3))</f>
        <v>cpallanthv@typepad.com</v>
      </c>
      <c r="J240" s="2" t="str">
        <f>_xlfn.XLOOKUP(E240,customers!$A$1:$A$1001,customers!$G$1:$G$1001)</f>
        <v>United States</v>
      </c>
      <c r="K240" t="str">
        <f>INDEX(products!$A$1:$G$49,MATCH($F240,products!$A$1:$A$49,0),MATCH(K$1,products!$A$1:$G$1,0))</f>
        <v>Exc</v>
      </c>
      <c r="L240" t="str">
        <f>INDEX(products!$A$1:$G$49,MATCH($F240,products!$A$1:$A$49,0),MATCH(L$1,products!$A$1:$G$1,0))</f>
        <v>L</v>
      </c>
      <c r="M240" s="5">
        <f>INDEX(products!$A$1:$G$49,MATCH($F240,products!$A$1:$A$49,0),MATCH(M$1,products!$A$1:$G$1,0))</f>
        <v>2.5</v>
      </c>
      <c r="N240" s="7">
        <f>INDEX(products!$A$1:$G$49,MATCH($F240,products!$A$1:$A$49,0),MATCH(N$1,products!$A$1:$G$1,0))</f>
        <v>34.154999999999994</v>
      </c>
      <c r="O240" s="7">
        <f t="shared" si="3"/>
        <v>102.46499999999997</v>
      </c>
      <c r="P240" t="str" cm="1">
        <f t="array" ref="P240">_xlfn.IFS(K240="Rob","Robusta",K240="Exc","Excelsa",K240="Ara","Arabica",K240="Lib","Liberica")</f>
        <v>Excelsa</v>
      </c>
      <c r="Q240" t="str" cm="1">
        <f t="array" ref="Q240">_xlfn.IFS(L240="M","Medium",L240="L","Light",L240="D","Dark")</f>
        <v>Light</v>
      </c>
      <c r="R240" t="str">
        <f>_xlfn.XLOOKUP(Orders[[#This Row],[Customer ID]],customers!$A$1:$A$1001,customers!$I$1:$I$1001)</f>
        <v>Yes</v>
      </c>
    </row>
    <row r="241" spans="1:18" x14ac:dyDescent="0.35">
      <c r="A241" s="2" t="s">
        <v>1828</v>
      </c>
      <c r="B241" s="4">
        <v>44563</v>
      </c>
      <c r="C241" s="23">
        <f>Orders[[#This Row],[Order Date]]</f>
        <v>44563</v>
      </c>
      <c r="D241" s="2">
        <f>YEAR(Orders[[#This Row],[Order Date]])</f>
        <v>2022</v>
      </c>
      <c r="E241" s="2" t="s">
        <v>1829</v>
      </c>
      <c r="F241" t="s">
        <v>6178</v>
      </c>
      <c r="G241" s="20">
        <v>1</v>
      </c>
      <c r="H241" s="2" t="str">
        <f>INDEX(customers!$A$1:$I$1001,MATCH($E241,customers!$A$1:$A$1001,),MATCH($H$1,customers!$A$1:$I$1,0))</f>
        <v>Craggy Bril</v>
      </c>
      <c r="I241" s="2" t="str">
        <f>IF(INDEX(customers!$A$1:$I$1001,MATCH($E241,customers!$A$1:$A$1001,0),3)=0,"",INDEX(customers!$A$1:$I$1001,MATCH($E241,customers!$A$1:$A$1001,0),3))</f>
        <v/>
      </c>
      <c r="J241" s="2" t="str">
        <f>_xlfn.XLOOKUP(E241,customers!$A$1:$A$1001,customers!$G$1:$G$1001)</f>
        <v>United States</v>
      </c>
      <c r="K241" t="str">
        <f>INDEX(products!$A$1:$G$49,MATCH($F241,products!$A$1:$A$49,0),MATCH(K$1,products!$A$1:$G$1,0))</f>
        <v>Rob</v>
      </c>
      <c r="L241" t="str">
        <f>INDEX(products!$A$1:$G$49,MATCH($F241,products!$A$1:$A$49,0),MATCH(L$1,products!$A$1:$G$1,0))</f>
        <v>L</v>
      </c>
      <c r="M241" s="5">
        <f>INDEX(products!$A$1:$G$49,MATCH($F241,products!$A$1:$A$49,0),MATCH(M$1,products!$A$1:$G$1,0))</f>
        <v>0.2</v>
      </c>
      <c r="N241" s="7">
        <f>INDEX(products!$A$1:$G$49,MATCH($F241,products!$A$1:$A$49,0),MATCH(N$1,products!$A$1:$G$1,0))</f>
        <v>3.5849999999999995</v>
      </c>
      <c r="O241" s="7">
        <f t="shared" si="3"/>
        <v>3.5849999999999995</v>
      </c>
      <c r="P241" t="str" cm="1">
        <f t="array" ref="P241">_xlfn.IFS(K241="Rob","Robusta",K241="Exc","Excelsa",K241="Ara","Arabica",K241="Lib","Liberica")</f>
        <v>Robusta</v>
      </c>
      <c r="Q241" t="str" cm="1">
        <f t="array" ref="Q241">_xlfn.IFS(L241="M","Medium",L241="L","Light",L241="D","Dark")</f>
        <v>Light</v>
      </c>
      <c r="R241" t="str">
        <f>_xlfn.XLOOKUP(Orders[[#This Row],[Customer ID]],customers!$A$1:$A$1001,customers!$I$1:$I$1001)</f>
        <v>Yes</v>
      </c>
    </row>
    <row r="242" spans="1:18" x14ac:dyDescent="0.35">
      <c r="A242" s="2" t="s">
        <v>4585</v>
      </c>
      <c r="B242" s="4">
        <v>44043</v>
      </c>
      <c r="C242" s="23">
        <f>Orders[[#This Row],[Order Date]]</f>
        <v>44043</v>
      </c>
      <c r="D242" s="2">
        <f>YEAR(Orders[[#This Row],[Order Date]])</f>
        <v>2020</v>
      </c>
      <c r="E242" s="2" t="s">
        <v>4586</v>
      </c>
      <c r="F242" t="s">
        <v>6167</v>
      </c>
      <c r="G242" s="20">
        <v>6</v>
      </c>
      <c r="H242" s="2" t="str">
        <f>INDEX(customers!$A$1:$I$1001,MATCH($E242,customers!$A$1:$A$1001,),MATCH($H$1,customers!$A$1:$I$1,0))</f>
        <v>Cristina Aleixo</v>
      </c>
      <c r="I242" s="2" t="str">
        <f>IF(INDEX(customers!$A$1:$I$1001,MATCH($E242,customers!$A$1:$A$1001,0),3)=0,"",INDEX(customers!$A$1:$I$1001,MATCH($E242,customers!$A$1:$A$1001,0),3))</f>
        <v>caleixok5@globo.com</v>
      </c>
      <c r="J242" s="2" t="str">
        <f>_xlfn.XLOOKUP(E242,customers!$A$1:$A$1001,customers!$G$1:$G$1001)</f>
        <v>United States</v>
      </c>
      <c r="K242" t="str">
        <f>INDEX(products!$A$1:$G$49,MATCH($F242,products!$A$1:$A$49,0),MATCH(K$1,products!$A$1:$G$1,0))</f>
        <v>Ara</v>
      </c>
      <c r="L242" t="str">
        <f>INDEX(products!$A$1:$G$49,MATCH($F242,products!$A$1:$A$49,0),MATCH(L$1,products!$A$1:$G$1,0))</f>
        <v>L</v>
      </c>
      <c r="M242" s="5">
        <f>INDEX(products!$A$1:$G$49,MATCH($F242,products!$A$1:$A$49,0),MATCH(M$1,products!$A$1:$G$1,0))</f>
        <v>0.2</v>
      </c>
      <c r="N242" s="7">
        <f>INDEX(products!$A$1:$G$49,MATCH($F242,products!$A$1:$A$49,0),MATCH(N$1,products!$A$1:$G$1,0))</f>
        <v>3.8849999999999998</v>
      </c>
      <c r="O242" s="7">
        <f t="shared" si="3"/>
        <v>23.31</v>
      </c>
      <c r="P242" t="str" cm="1">
        <f t="array" ref="P242">_xlfn.IFS(K242="Rob","Robusta",K242="Exc","Excelsa",K242="Ara","Arabica",K242="Lib","Liberica")</f>
        <v>Arabica</v>
      </c>
      <c r="Q242" t="str" cm="1">
        <f t="array" ref="Q242">_xlfn.IFS(L242="M","Medium",L242="L","Light",L242="D","Dark")</f>
        <v>Light</v>
      </c>
      <c r="R242" t="str">
        <f>_xlfn.XLOOKUP(Orders[[#This Row],[Customer ID]],customers!$A$1:$A$1001,customers!$I$1:$I$1001)</f>
        <v>No</v>
      </c>
    </row>
    <row r="243" spans="1:18" x14ac:dyDescent="0.35">
      <c r="A243" s="2" t="s">
        <v>632</v>
      </c>
      <c r="B243" s="4">
        <v>44128</v>
      </c>
      <c r="C243" s="23">
        <f>Orders[[#This Row],[Order Date]]</f>
        <v>44128</v>
      </c>
      <c r="D243" s="2">
        <f>YEAR(Orders[[#This Row],[Order Date]])</f>
        <v>2020</v>
      </c>
      <c r="E243" s="2" t="s">
        <v>633</v>
      </c>
      <c r="F243" t="s">
        <v>6156</v>
      </c>
      <c r="G243" s="20">
        <v>3</v>
      </c>
      <c r="H243" s="2" t="str">
        <f>INDEX(customers!$A$1:$I$1001,MATCH($E243,customers!$A$1:$A$1001,),MATCH($H$1,customers!$A$1:$I$1,0))</f>
        <v>Culley Farris</v>
      </c>
      <c r="I243" s="2" t="str">
        <f>IF(INDEX(customers!$A$1:$I$1001,MATCH($E243,customers!$A$1:$A$1001,0),3)=0,"",INDEX(customers!$A$1:$I$1001,MATCH($E243,customers!$A$1:$A$1001,0),3))</f>
        <v/>
      </c>
      <c r="J243" s="2" t="str">
        <f>_xlfn.XLOOKUP(E243,customers!$A$1:$A$1001,customers!$G$1:$G$1001)</f>
        <v>United States</v>
      </c>
      <c r="K243" t="str">
        <f>INDEX(products!$A$1:$G$49,MATCH($F243,products!$A$1:$A$49,0),MATCH(K$1,products!$A$1:$G$1,0))</f>
        <v>Exc</v>
      </c>
      <c r="L243" t="str">
        <f>INDEX(products!$A$1:$G$49,MATCH($F243,products!$A$1:$A$49,0),MATCH(L$1,products!$A$1:$G$1,0))</f>
        <v>M</v>
      </c>
      <c r="M243" s="5">
        <f>INDEX(products!$A$1:$G$49,MATCH($F243,products!$A$1:$A$49,0),MATCH(M$1,products!$A$1:$G$1,0))</f>
        <v>0.2</v>
      </c>
      <c r="N243" s="7">
        <f>INDEX(products!$A$1:$G$49,MATCH($F243,products!$A$1:$A$49,0),MATCH(N$1,products!$A$1:$G$1,0))</f>
        <v>4.125</v>
      </c>
      <c r="O243" s="7">
        <f t="shared" si="3"/>
        <v>12.375</v>
      </c>
      <c r="P243" t="str" cm="1">
        <f t="array" ref="P243">_xlfn.IFS(K243="Rob","Robusta",K243="Exc","Excelsa",K243="Ara","Arabica",K243="Lib","Liberica")</f>
        <v>Excelsa</v>
      </c>
      <c r="Q243" t="str" cm="1">
        <f t="array" ref="Q243">_xlfn.IFS(L243="M","Medium",L243="L","Light",L243="D","Dark")</f>
        <v>Medium</v>
      </c>
      <c r="R243" t="str">
        <f>_xlfn.XLOOKUP(Orders[[#This Row],[Customer ID]],customers!$A$1:$A$1001,customers!$I$1:$I$1001)</f>
        <v>Yes</v>
      </c>
    </row>
    <row r="244" spans="1:18" x14ac:dyDescent="0.35">
      <c r="A244" s="2" t="s">
        <v>3289</v>
      </c>
      <c r="B244" s="4">
        <v>43710</v>
      </c>
      <c r="C244" s="23">
        <f>Orders[[#This Row],[Order Date]]</f>
        <v>43710</v>
      </c>
      <c r="D244" s="2">
        <f>YEAR(Orders[[#This Row],[Order Date]])</f>
        <v>2019</v>
      </c>
      <c r="E244" s="2" t="s">
        <v>3290</v>
      </c>
      <c r="F244" t="s">
        <v>6170</v>
      </c>
      <c r="G244" s="20">
        <v>5</v>
      </c>
      <c r="H244" s="2" t="str">
        <f>INDEX(customers!$A$1:$I$1001,MATCH($E244,customers!$A$1:$A$1001,),MATCH($H$1,customers!$A$1:$I$1,0))</f>
        <v>Currey MacAllister</v>
      </c>
      <c r="I244" s="2" t="str">
        <f>IF(INDEX(customers!$A$1:$I$1001,MATCH($E244,customers!$A$1:$A$1001,0),3)=0,"",INDEX(customers!$A$1:$I$1001,MATCH($E244,customers!$A$1:$A$1001,0),3))</f>
        <v/>
      </c>
      <c r="J244" s="2" t="str">
        <f>_xlfn.XLOOKUP(E244,customers!$A$1:$A$1001,customers!$G$1:$G$1001)</f>
        <v>United States</v>
      </c>
      <c r="K244" t="str">
        <f>INDEX(products!$A$1:$G$49,MATCH($F244,products!$A$1:$A$49,0),MATCH(K$1,products!$A$1:$G$1,0))</f>
        <v>Lib</v>
      </c>
      <c r="L244" t="str">
        <f>INDEX(products!$A$1:$G$49,MATCH($F244,products!$A$1:$A$49,0),MATCH(L$1,products!$A$1:$G$1,0))</f>
        <v>L</v>
      </c>
      <c r="M244" s="5">
        <f>INDEX(products!$A$1:$G$49,MATCH($F244,products!$A$1:$A$49,0),MATCH(M$1,products!$A$1:$G$1,0))</f>
        <v>1</v>
      </c>
      <c r="N244" s="7">
        <f>INDEX(products!$A$1:$G$49,MATCH($F244,products!$A$1:$A$49,0),MATCH(N$1,products!$A$1:$G$1,0))</f>
        <v>15.85</v>
      </c>
      <c r="O244" s="7">
        <f t="shared" si="3"/>
        <v>79.25</v>
      </c>
      <c r="P244" t="str" cm="1">
        <f t="array" ref="P244">_xlfn.IFS(K244="Rob","Robusta",K244="Exc","Excelsa",K244="Ara","Arabica",K244="Lib","Liberica")</f>
        <v>Liberica</v>
      </c>
      <c r="Q244" t="str" cm="1">
        <f t="array" ref="Q244">_xlfn.IFS(L244="M","Medium",L244="L","Light",L244="D","Dark")</f>
        <v>Light</v>
      </c>
      <c r="R244" t="str">
        <f>_xlfn.XLOOKUP(Orders[[#This Row],[Customer ID]],customers!$A$1:$A$1001,customers!$I$1:$I$1001)</f>
        <v>Yes</v>
      </c>
    </row>
    <row r="245" spans="1:18" x14ac:dyDescent="0.35">
      <c r="A245" s="2" t="s">
        <v>2153</v>
      </c>
      <c r="B245" s="4">
        <v>44057</v>
      </c>
      <c r="C245" s="23">
        <f>Orders[[#This Row],[Order Date]]</f>
        <v>44057</v>
      </c>
      <c r="D245" s="2">
        <f>YEAR(Orders[[#This Row],[Order Date]])</f>
        <v>2020</v>
      </c>
      <c r="E245" s="2" t="s">
        <v>2154</v>
      </c>
      <c r="F245" t="s">
        <v>6141</v>
      </c>
      <c r="G245" s="20">
        <v>2</v>
      </c>
      <c r="H245" s="2" t="str">
        <f>INDEX(customers!$A$1:$I$1001,MATCH($E245,customers!$A$1:$A$1001,),MATCH($H$1,customers!$A$1:$I$1,0))</f>
        <v>Cybill Graddell</v>
      </c>
      <c r="I245" s="2" t="str">
        <f>IF(INDEX(customers!$A$1:$I$1001,MATCH($E245,customers!$A$1:$A$1001,0),3)=0,"",INDEX(customers!$A$1:$I$1001,MATCH($E245,customers!$A$1:$A$1001,0),3))</f>
        <v/>
      </c>
      <c r="J245" s="2" t="str">
        <f>_xlfn.XLOOKUP(E245,customers!$A$1:$A$1001,customers!$G$1:$G$1001)</f>
        <v>United States</v>
      </c>
      <c r="K245" t="str">
        <f>INDEX(products!$A$1:$G$49,MATCH($F245,products!$A$1:$A$49,0),MATCH(K$1,products!$A$1:$G$1,0))</f>
        <v>Exc</v>
      </c>
      <c r="L245" t="str">
        <f>INDEX(products!$A$1:$G$49,MATCH($F245,products!$A$1:$A$49,0),MATCH(L$1,products!$A$1:$G$1,0))</f>
        <v>M</v>
      </c>
      <c r="M245" s="5">
        <f>INDEX(products!$A$1:$G$49,MATCH($F245,products!$A$1:$A$49,0),MATCH(M$1,products!$A$1:$G$1,0))</f>
        <v>1</v>
      </c>
      <c r="N245" s="7">
        <f>INDEX(products!$A$1:$G$49,MATCH($F245,products!$A$1:$A$49,0),MATCH(N$1,products!$A$1:$G$1,0))</f>
        <v>13.75</v>
      </c>
      <c r="O245" s="7">
        <f t="shared" si="3"/>
        <v>27.5</v>
      </c>
      <c r="P245" t="str" cm="1">
        <f t="array" ref="P245">_xlfn.IFS(K245="Rob","Robusta",K245="Exc","Excelsa",K245="Ara","Arabica",K245="Lib","Liberica")</f>
        <v>Excelsa</v>
      </c>
      <c r="Q245" t="str" cm="1">
        <f t="array" ref="Q245">_xlfn.IFS(L245="M","Medium",L245="L","Light",L245="D","Dark")</f>
        <v>Medium</v>
      </c>
      <c r="R245" t="str">
        <f>_xlfn.XLOOKUP(Orders[[#This Row],[Customer ID]],customers!$A$1:$A$1001,customers!$I$1:$I$1001)</f>
        <v>No</v>
      </c>
    </row>
    <row r="246" spans="1:18" x14ac:dyDescent="0.35">
      <c r="A246" s="2" t="s">
        <v>1682</v>
      </c>
      <c r="B246" s="4">
        <v>43921</v>
      </c>
      <c r="C246" s="23">
        <f>Orders[[#This Row],[Order Date]]</f>
        <v>43921</v>
      </c>
      <c r="D246" s="2">
        <f>YEAR(Orders[[#This Row],[Order Date]])</f>
        <v>2020</v>
      </c>
      <c r="E246" s="2" t="s">
        <v>1683</v>
      </c>
      <c r="F246" t="s">
        <v>6153</v>
      </c>
      <c r="G246" s="20">
        <v>4</v>
      </c>
      <c r="H246" s="2" t="str">
        <f>INDEX(customers!$A$1:$I$1001,MATCH($E246,customers!$A$1:$A$1001,),MATCH($H$1,customers!$A$1:$I$1,0))</f>
        <v>Dael Camilletti</v>
      </c>
      <c r="I246" s="2" t="str">
        <f>IF(INDEX(customers!$A$1:$I$1001,MATCH($E246,customers!$A$1:$A$1001,0),3)=0,"",INDEX(customers!$A$1:$I$1001,MATCH($E246,customers!$A$1:$A$1001,0),3))</f>
        <v>dcamilletti5w@businesswire.com</v>
      </c>
      <c r="J246" s="2" t="str">
        <f>_xlfn.XLOOKUP(E246,customers!$A$1:$A$1001,customers!$G$1:$G$1001)</f>
        <v>United States</v>
      </c>
      <c r="K246" t="str">
        <f>INDEX(products!$A$1:$G$49,MATCH($F246,products!$A$1:$A$49,0),MATCH(K$1,products!$A$1:$G$1,0))</f>
        <v>Exc</v>
      </c>
      <c r="L246" t="str">
        <f>INDEX(products!$A$1:$G$49,MATCH($F246,products!$A$1:$A$49,0),MATCH(L$1,products!$A$1:$G$1,0))</f>
        <v>D</v>
      </c>
      <c r="M246" s="5">
        <f>INDEX(products!$A$1:$G$49,MATCH($F246,products!$A$1:$A$49,0),MATCH(M$1,products!$A$1:$G$1,0))</f>
        <v>0.2</v>
      </c>
      <c r="N246" s="7">
        <f>INDEX(products!$A$1:$G$49,MATCH($F246,products!$A$1:$A$49,0),MATCH(N$1,products!$A$1:$G$1,0))</f>
        <v>3.645</v>
      </c>
      <c r="O246" s="7">
        <f t="shared" si="3"/>
        <v>14.58</v>
      </c>
      <c r="P246" t="str" cm="1">
        <f t="array" ref="P246">_xlfn.IFS(K246="Rob","Robusta",K246="Exc","Excelsa",K246="Ara","Arabica",K246="Lib","Liberica")</f>
        <v>Excelsa</v>
      </c>
      <c r="Q246" t="str" cm="1">
        <f t="array" ref="Q246">_xlfn.IFS(L246="M","Medium",L246="L","Light",L246="D","Dark")</f>
        <v>Dark</v>
      </c>
      <c r="R246" t="str">
        <f>_xlfn.XLOOKUP(Orders[[#This Row],[Customer ID]],customers!$A$1:$A$1001,customers!$I$1:$I$1001)</f>
        <v>Yes</v>
      </c>
    </row>
    <row r="247" spans="1:18" x14ac:dyDescent="0.35">
      <c r="A247" s="2" t="s">
        <v>3124</v>
      </c>
      <c r="B247" s="4">
        <v>44171</v>
      </c>
      <c r="C247" s="23">
        <f>Orders[[#This Row],[Order Date]]</f>
        <v>44171</v>
      </c>
      <c r="D247" s="2">
        <f>YEAR(Orders[[#This Row],[Order Date]])</f>
        <v>2020</v>
      </c>
      <c r="E247" s="2" t="s">
        <v>3125</v>
      </c>
      <c r="F247" t="s">
        <v>6154</v>
      </c>
      <c r="G247" s="20">
        <v>3</v>
      </c>
      <c r="H247" s="2" t="str">
        <f>INDEX(customers!$A$1:$I$1001,MATCH($E247,customers!$A$1:$A$1001,),MATCH($H$1,customers!$A$1:$I$1,0))</f>
        <v>Dagny Kornel</v>
      </c>
      <c r="I247" s="2" t="str">
        <f>IF(INDEX(customers!$A$1:$I$1001,MATCH($E247,customers!$A$1:$A$1001,0),3)=0,"",INDEX(customers!$A$1:$I$1001,MATCH($E247,customers!$A$1:$A$1001,0),3))</f>
        <v>dkornelcy@cyberchimps.com</v>
      </c>
      <c r="J247" s="2" t="str">
        <f>_xlfn.XLOOKUP(E247,customers!$A$1:$A$1001,customers!$G$1:$G$1001)</f>
        <v>United States</v>
      </c>
      <c r="K247" t="str">
        <f>INDEX(products!$A$1:$G$49,MATCH($F247,products!$A$1:$A$49,0),MATCH(K$1,products!$A$1:$G$1,0))</f>
        <v>Ara</v>
      </c>
      <c r="L247" t="str">
        <f>INDEX(products!$A$1:$G$49,MATCH($F247,products!$A$1:$A$49,0),MATCH(L$1,products!$A$1:$G$1,0))</f>
        <v>D</v>
      </c>
      <c r="M247" s="5">
        <f>INDEX(products!$A$1:$G$49,MATCH($F247,products!$A$1:$A$49,0),MATCH(M$1,products!$A$1:$G$1,0))</f>
        <v>0.2</v>
      </c>
      <c r="N247" s="7">
        <f>INDEX(products!$A$1:$G$49,MATCH($F247,products!$A$1:$A$49,0),MATCH(N$1,products!$A$1:$G$1,0))</f>
        <v>2.9849999999999999</v>
      </c>
      <c r="O247" s="7">
        <f t="shared" si="3"/>
        <v>8.9550000000000001</v>
      </c>
      <c r="P247" t="str" cm="1">
        <f t="array" ref="P247">_xlfn.IFS(K247="Rob","Robusta",K247="Exc","Excelsa",K247="Ara","Arabica",K247="Lib","Liberica")</f>
        <v>Arabica</v>
      </c>
      <c r="Q247" t="str" cm="1">
        <f t="array" ref="Q247">_xlfn.IFS(L247="M","Medium",L247="L","Light",L247="D","Dark")</f>
        <v>Dark</v>
      </c>
      <c r="R247" t="str">
        <f>_xlfn.XLOOKUP(Orders[[#This Row],[Customer ID]],customers!$A$1:$A$1001,customers!$I$1:$I$1001)</f>
        <v>Yes</v>
      </c>
    </row>
    <row r="248" spans="1:18" x14ac:dyDescent="0.35">
      <c r="A248" s="2" t="s">
        <v>4836</v>
      </c>
      <c r="B248" s="4">
        <v>43912</v>
      </c>
      <c r="C248" s="23">
        <f>Orders[[#This Row],[Order Date]]</f>
        <v>43912</v>
      </c>
      <c r="D248" s="2">
        <f>YEAR(Orders[[#This Row],[Order Date]])</f>
        <v>2020</v>
      </c>
      <c r="E248" s="2" t="s">
        <v>4837</v>
      </c>
      <c r="F248" t="s">
        <v>6151</v>
      </c>
      <c r="G248" s="20">
        <v>6</v>
      </c>
      <c r="H248" s="2" t="str">
        <f>INDEX(customers!$A$1:$I$1001,MATCH($E248,customers!$A$1:$A$1001,),MATCH($H$1,customers!$A$1:$I$1,0))</f>
        <v>Dalia Eburah</v>
      </c>
      <c r="I248" s="2" t="str">
        <f>IF(INDEX(customers!$A$1:$I$1001,MATCH($E248,customers!$A$1:$A$1001,0),3)=0,"",INDEX(customers!$A$1:$I$1001,MATCH($E248,customers!$A$1:$A$1001,0),3))</f>
        <v>deburahld@google.co.jp</v>
      </c>
      <c r="J248" s="2" t="str">
        <f>_xlfn.XLOOKUP(E248,customers!$A$1:$A$1001,customers!$G$1:$G$1001)</f>
        <v>United Kingdom</v>
      </c>
      <c r="K248" t="str">
        <f>INDEX(products!$A$1:$G$49,MATCH($F248,products!$A$1:$A$49,0),MATCH(K$1,products!$A$1:$G$1,0))</f>
        <v>Rob</v>
      </c>
      <c r="L248" t="str">
        <f>INDEX(products!$A$1:$G$49,MATCH($F248,products!$A$1:$A$49,0),MATCH(L$1,products!$A$1:$G$1,0))</f>
        <v>M</v>
      </c>
      <c r="M248" s="5">
        <f>INDEX(products!$A$1:$G$49,MATCH($F248,products!$A$1:$A$49,0),MATCH(M$1,products!$A$1:$G$1,0))</f>
        <v>2.5</v>
      </c>
      <c r="N248" s="7">
        <f>INDEX(products!$A$1:$G$49,MATCH($F248,products!$A$1:$A$49,0),MATCH(N$1,products!$A$1:$G$1,0))</f>
        <v>22.884999999999998</v>
      </c>
      <c r="O248" s="7">
        <f t="shared" si="3"/>
        <v>137.31</v>
      </c>
      <c r="P248" t="str" cm="1">
        <f t="array" ref="P248">_xlfn.IFS(K248="Rob","Robusta",K248="Exc","Excelsa",K248="Ara","Arabica",K248="Lib","Liberica")</f>
        <v>Robusta</v>
      </c>
      <c r="Q248" t="str" cm="1">
        <f t="array" ref="Q248">_xlfn.IFS(L248="M","Medium",L248="L","Light",L248="D","Dark")</f>
        <v>Medium</v>
      </c>
      <c r="R248" t="str">
        <f>_xlfn.XLOOKUP(Orders[[#This Row],[Customer ID]],customers!$A$1:$A$1001,customers!$I$1:$I$1001)</f>
        <v>No</v>
      </c>
    </row>
    <row r="249" spans="1:18" x14ac:dyDescent="0.35">
      <c r="A249" s="2" t="s">
        <v>4781</v>
      </c>
      <c r="B249" s="4">
        <v>44126</v>
      </c>
      <c r="C249" s="23">
        <f>Orders[[#This Row],[Order Date]]</f>
        <v>44126</v>
      </c>
      <c r="D249" s="2">
        <f>YEAR(Orders[[#This Row],[Order Date]])</f>
        <v>2020</v>
      </c>
      <c r="E249" s="2" t="s">
        <v>4782</v>
      </c>
      <c r="F249" t="s">
        <v>6165</v>
      </c>
      <c r="G249" s="20">
        <v>1</v>
      </c>
      <c r="H249" s="2" t="str">
        <f>INDEX(customers!$A$1:$I$1001,MATCH($E249,customers!$A$1:$A$1001,),MATCH($H$1,customers!$A$1:$I$1,0))</f>
        <v>Dallas Yarham</v>
      </c>
      <c r="I249" s="2" t="str">
        <f>IF(INDEX(customers!$A$1:$I$1001,MATCH($E249,customers!$A$1:$A$1001,0),3)=0,"",INDEX(customers!$A$1:$I$1001,MATCH($E249,customers!$A$1:$A$1001,0),3))</f>
        <v>dyarhaml3@moonfruit.com</v>
      </c>
      <c r="J249" s="2" t="str">
        <f>_xlfn.XLOOKUP(E249,customers!$A$1:$A$1001,customers!$G$1:$G$1001)</f>
        <v>United States</v>
      </c>
      <c r="K249" t="str">
        <f>INDEX(products!$A$1:$G$49,MATCH($F249,products!$A$1:$A$49,0),MATCH(K$1,products!$A$1:$G$1,0))</f>
        <v>Lib</v>
      </c>
      <c r="L249" t="str">
        <f>INDEX(products!$A$1:$G$49,MATCH($F249,products!$A$1:$A$49,0),MATCH(L$1,products!$A$1:$G$1,0))</f>
        <v>D</v>
      </c>
      <c r="M249" s="5">
        <f>INDEX(products!$A$1:$G$49,MATCH($F249,products!$A$1:$A$49,0),MATCH(M$1,products!$A$1:$G$1,0))</f>
        <v>2.5</v>
      </c>
      <c r="N249" s="7">
        <f>INDEX(products!$A$1:$G$49,MATCH($F249,products!$A$1:$A$49,0),MATCH(N$1,products!$A$1:$G$1,0))</f>
        <v>29.784999999999997</v>
      </c>
      <c r="O249" s="7">
        <f t="shared" si="3"/>
        <v>29.784999999999997</v>
      </c>
      <c r="P249" t="str" cm="1">
        <f t="array" ref="P249">_xlfn.IFS(K249="Rob","Robusta",K249="Exc","Excelsa",K249="Ara","Arabica",K249="Lib","Liberica")</f>
        <v>Liberica</v>
      </c>
      <c r="Q249" t="str" cm="1">
        <f t="array" ref="Q249">_xlfn.IFS(L249="M","Medium",L249="L","Light",L249="D","Dark")</f>
        <v>Dark</v>
      </c>
      <c r="R249" t="str">
        <f>_xlfn.XLOOKUP(Orders[[#This Row],[Customer ID]],customers!$A$1:$A$1001,customers!$I$1:$I$1001)</f>
        <v>Yes</v>
      </c>
    </row>
    <row r="250" spans="1:18" x14ac:dyDescent="0.35">
      <c r="A250" s="2" t="s">
        <v>3818</v>
      </c>
      <c r="B250" s="4">
        <v>43671</v>
      </c>
      <c r="C250" s="23">
        <f>Orders[[#This Row],[Order Date]]</f>
        <v>43671</v>
      </c>
      <c r="D250" s="2">
        <f>YEAR(Orders[[#This Row],[Order Date]])</f>
        <v>2019</v>
      </c>
      <c r="E250" s="2" t="s">
        <v>3819</v>
      </c>
      <c r="F250" t="s">
        <v>6148</v>
      </c>
      <c r="G250" s="20">
        <v>6</v>
      </c>
      <c r="H250" s="2" t="str">
        <f>INDEX(customers!$A$1:$I$1001,MATCH($E250,customers!$A$1:$A$1001,),MATCH($H$1,customers!$A$1:$I$1,0))</f>
        <v>Daniel Heinonen</v>
      </c>
      <c r="I250" s="2" t="str">
        <f>IF(INDEX(customers!$A$1:$I$1001,MATCH($E250,customers!$A$1:$A$1001,0),3)=0,"",INDEX(customers!$A$1:$I$1001,MATCH($E250,customers!$A$1:$A$1001,0),3))</f>
        <v>dheinonengd@printfriendly.com</v>
      </c>
      <c r="J250" s="2" t="str">
        <f>_xlfn.XLOOKUP(E250,customers!$A$1:$A$1001,customers!$G$1:$G$1001)</f>
        <v>United States</v>
      </c>
      <c r="K250" t="str">
        <f>INDEX(products!$A$1:$G$49,MATCH($F250,products!$A$1:$A$49,0),MATCH(K$1,products!$A$1:$G$1,0))</f>
        <v>Exc</v>
      </c>
      <c r="L250" t="str">
        <f>INDEX(products!$A$1:$G$49,MATCH($F250,products!$A$1:$A$49,0),MATCH(L$1,products!$A$1:$G$1,0))</f>
        <v>L</v>
      </c>
      <c r="M250" s="5">
        <f>INDEX(products!$A$1:$G$49,MATCH($F250,products!$A$1:$A$49,0),MATCH(M$1,products!$A$1:$G$1,0))</f>
        <v>2.5</v>
      </c>
      <c r="N250" s="7">
        <f>INDEX(products!$A$1:$G$49,MATCH($F250,products!$A$1:$A$49,0),MATCH(N$1,products!$A$1:$G$1,0))</f>
        <v>34.154999999999994</v>
      </c>
      <c r="O250" s="7">
        <f t="shared" si="3"/>
        <v>204.92999999999995</v>
      </c>
      <c r="P250" t="str" cm="1">
        <f t="array" ref="P250">_xlfn.IFS(K250="Rob","Robusta",K250="Exc","Excelsa",K250="Ara","Arabica",K250="Lib","Liberica")</f>
        <v>Excelsa</v>
      </c>
      <c r="Q250" t="str" cm="1">
        <f t="array" ref="Q250">_xlfn.IFS(L250="M","Medium",L250="L","Light",L250="D","Dark")</f>
        <v>Light</v>
      </c>
      <c r="R250" t="str">
        <f>_xlfn.XLOOKUP(Orders[[#This Row],[Customer ID]],customers!$A$1:$A$1001,customers!$I$1:$I$1001)</f>
        <v>No</v>
      </c>
    </row>
    <row r="251" spans="1:18" x14ac:dyDescent="0.35">
      <c r="A251" s="2" t="s">
        <v>3850</v>
      </c>
      <c r="B251" s="4">
        <v>44527</v>
      </c>
      <c r="C251" s="23">
        <f>Orders[[#This Row],[Order Date]]</f>
        <v>44527</v>
      </c>
      <c r="D251" s="2">
        <f>YEAR(Orders[[#This Row],[Order Date]])</f>
        <v>2021</v>
      </c>
      <c r="E251" s="2" t="s">
        <v>3851</v>
      </c>
      <c r="F251" t="s">
        <v>6171</v>
      </c>
      <c r="G251" s="20">
        <v>1</v>
      </c>
      <c r="H251" s="2" t="str">
        <f>INDEX(customers!$A$1:$I$1001,MATCH($E251,customers!$A$1:$A$1001,),MATCH($H$1,customers!$A$1:$I$1,0))</f>
        <v>Darby Dummer</v>
      </c>
      <c r="I251" s="2" t="str">
        <f>IF(INDEX(customers!$A$1:$I$1001,MATCH($E251,customers!$A$1:$A$1001,0),3)=0,"",INDEX(customers!$A$1:$I$1001,MATCH($E251,customers!$A$1:$A$1001,0),3))</f>
        <v/>
      </c>
      <c r="J251" s="2" t="str">
        <f>_xlfn.XLOOKUP(E251,customers!$A$1:$A$1001,customers!$G$1:$G$1001)</f>
        <v>United Kingdom</v>
      </c>
      <c r="K251" t="str">
        <f>INDEX(products!$A$1:$G$49,MATCH($F251,products!$A$1:$A$49,0),MATCH(K$1,products!$A$1:$G$1,0))</f>
        <v>Exc</v>
      </c>
      <c r="L251" t="str">
        <f>INDEX(products!$A$1:$G$49,MATCH($F251,products!$A$1:$A$49,0),MATCH(L$1,products!$A$1:$G$1,0))</f>
        <v>L</v>
      </c>
      <c r="M251" s="5">
        <f>INDEX(products!$A$1:$G$49,MATCH($F251,products!$A$1:$A$49,0),MATCH(M$1,products!$A$1:$G$1,0))</f>
        <v>1</v>
      </c>
      <c r="N251" s="7">
        <f>INDEX(products!$A$1:$G$49,MATCH($F251,products!$A$1:$A$49,0),MATCH(N$1,products!$A$1:$G$1,0))</f>
        <v>14.85</v>
      </c>
      <c r="O251" s="7">
        <f t="shared" si="3"/>
        <v>14.85</v>
      </c>
      <c r="P251" t="str" cm="1">
        <f t="array" ref="P251">_xlfn.IFS(K251="Rob","Robusta",K251="Exc","Excelsa",K251="Ara","Arabica",K251="Lib","Liberica")</f>
        <v>Excelsa</v>
      </c>
      <c r="Q251" t="str" cm="1">
        <f t="array" ref="Q251">_xlfn.IFS(L251="M","Medium",L251="L","Light",L251="D","Dark")</f>
        <v>Light</v>
      </c>
      <c r="R251" t="str">
        <f>_xlfn.XLOOKUP(Orders[[#This Row],[Customer ID]],customers!$A$1:$A$1001,customers!$I$1:$I$1001)</f>
        <v>No</v>
      </c>
    </row>
    <row r="252" spans="1:18" x14ac:dyDescent="0.35">
      <c r="A252" s="2" t="s">
        <v>5609</v>
      </c>
      <c r="B252" s="4">
        <v>43560</v>
      </c>
      <c r="C252" s="23">
        <f>Orders[[#This Row],[Order Date]]</f>
        <v>43560</v>
      </c>
      <c r="D252" s="2">
        <f>YEAR(Orders[[#This Row],[Order Date]])</f>
        <v>2019</v>
      </c>
      <c r="E252" s="2" t="s">
        <v>5610</v>
      </c>
      <c r="F252" t="s">
        <v>6157</v>
      </c>
      <c r="G252" s="20">
        <v>6</v>
      </c>
      <c r="H252" s="2" t="str">
        <f>INDEX(customers!$A$1:$I$1001,MATCH($E252,customers!$A$1:$A$1001,),MATCH($H$1,customers!$A$1:$I$1,0))</f>
        <v>Darcy Lochran</v>
      </c>
      <c r="I252" s="2" t="str">
        <f>IF(INDEX(customers!$A$1:$I$1001,MATCH($E252,customers!$A$1:$A$1001,0),3)=0,"",INDEX(customers!$A$1:$I$1001,MATCH($E252,customers!$A$1:$A$1001,0),3))</f>
        <v/>
      </c>
      <c r="J252" s="2" t="str">
        <f>_xlfn.XLOOKUP(E252,customers!$A$1:$A$1001,customers!$G$1:$G$1001)</f>
        <v>United States</v>
      </c>
      <c r="K252" t="str">
        <f>INDEX(products!$A$1:$G$49,MATCH($F252,products!$A$1:$A$49,0),MATCH(K$1,products!$A$1:$G$1,0))</f>
        <v>Ara</v>
      </c>
      <c r="L252" t="str">
        <f>INDEX(products!$A$1:$G$49,MATCH($F252,products!$A$1:$A$49,0),MATCH(L$1,products!$A$1:$G$1,0))</f>
        <v>M</v>
      </c>
      <c r="M252" s="5">
        <f>INDEX(products!$A$1:$G$49,MATCH($F252,products!$A$1:$A$49,0),MATCH(M$1,products!$A$1:$G$1,0))</f>
        <v>0.5</v>
      </c>
      <c r="N252" s="7">
        <f>INDEX(products!$A$1:$G$49,MATCH($F252,products!$A$1:$A$49,0),MATCH(N$1,products!$A$1:$G$1,0))</f>
        <v>6.75</v>
      </c>
      <c r="O252" s="7">
        <f t="shared" si="3"/>
        <v>40.5</v>
      </c>
      <c r="P252" t="str" cm="1">
        <f t="array" ref="P252">_xlfn.IFS(K252="Rob","Robusta",K252="Exc","Excelsa",K252="Ara","Arabica",K252="Lib","Liberica")</f>
        <v>Arabica</v>
      </c>
      <c r="Q252" t="str" cm="1">
        <f t="array" ref="Q252">_xlfn.IFS(L252="M","Medium",L252="L","Light",L252="D","Dark")</f>
        <v>Medium</v>
      </c>
      <c r="R252" t="str">
        <f>_xlfn.XLOOKUP(Orders[[#This Row],[Customer ID]],customers!$A$1:$A$1001,customers!$I$1:$I$1001)</f>
        <v>Yes</v>
      </c>
    </row>
    <row r="253" spans="1:18" x14ac:dyDescent="0.35">
      <c r="A253" s="2" t="s">
        <v>4545</v>
      </c>
      <c r="B253" s="4">
        <v>44348</v>
      </c>
      <c r="C253" s="23">
        <f>Orders[[#This Row],[Order Date]]</f>
        <v>44348</v>
      </c>
      <c r="D253" s="2">
        <f>YEAR(Orders[[#This Row],[Order Date]])</f>
        <v>2021</v>
      </c>
      <c r="E253" s="2" t="s">
        <v>4546</v>
      </c>
      <c r="F253" t="s">
        <v>6143</v>
      </c>
      <c r="G253" s="20">
        <v>3</v>
      </c>
      <c r="H253" s="2" t="str">
        <f>INDEX(customers!$A$1:$I$1001,MATCH($E253,customers!$A$1:$A$1001,),MATCH($H$1,customers!$A$1:$I$1,0))</f>
        <v>Darice Heaford</v>
      </c>
      <c r="I253" s="2" t="str">
        <f>IF(INDEX(customers!$A$1:$I$1001,MATCH($E253,customers!$A$1:$A$1001,0),3)=0,"",INDEX(customers!$A$1:$I$1001,MATCH($E253,customers!$A$1:$A$1001,0),3))</f>
        <v>dheafordjy@twitpic.com</v>
      </c>
      <c r="J253" s="2" t="str">
        <f>_xlfn.XLOOKUP(E253,customers!$A$1:$A$1001,customers!$G$1:$G$1001)</f>
        <v>United States</v>
      </c>
      <c r="K253" t="str">
        <f>INDEX(products!$A$1:$G$49,MATCH($F253,products!$A$1:$A$49,0),MATCH(K$1,products!$A$1:$G$1,0))</f>
        <v>Lib</v>
      </c>
      <c r="L253" t="str">
        <f>INDEX(products!$A$1:$G$49,MATCH($F253,products!$A$1:$A$49,0),MATCH(L$1,products!$A$1:$G$1,0))</f>
        <v>D</v>
      </c>
      <c r="M253" s="5">
        <f>INDEX(products!$A$1:$G$49,MATCH($F253,products!$A$1:$A$49,0),MATCH(M$1,products!$A$1:$G$1,0))</f>
        <v>1</v>
      </c>
      <c r="N253" s="7">
        <f>INDEX(products!$A$1:$G$49,MATCH($F253,products!$A$1:$A$49,0),MATCH(N$1,products!$A$1:$G$1,0))</f>
        <v>12.95</v>
      </c>
      <c r="O253" s="7">
        <f t="shared" si="3"/>
        <v>38.849999999999994</v>
      </c>
      <c r="P253" t="str" cm="1">
        <f t="array" ref="P253">_xlfn.IFS(K253="Rob","Robusta",K253="Exc","Excelsa",K253="Ara","Arabica",K253="Lib","Liberica")</f>
        <v>Liberica</v>
      </c>
      <c r="Q253" t="str" cm="1">
        <f t="array" ref="Q253">_xlfn.IFS(L253="M","Medium",L253="L","Light",L253="D","Dark")</f>
        <v>Dark</v>
      </c>
      <c r="R253" t="str">
        <f>_xlfn.XLOOKUP(Orders[[#This Row],[Customer ID]],customers!$A$1:$A$1001,customers!$I$1:$I$1001)</f>
        <v>No</v>
      </c>
    </row>
    <row r="254" spans="1:18" x14ac:dyDescent="0.35">
      <c r="A254" s="2" t="s">
        <v>5030</v>
      </c>
      <c r="B254" s="4">
        <v>43955</v>
      </c>
      <c r="C254" s="23">
        <f>Orders[[#This Row],[Order Date]]</f>
        <v>43955</v>
      </c>
      <c r="D254" s="2">
        <f>YEAR(Orders[[#This Row],[Order Date]])</f>
        <v>2020</v>
      </c>
      <c r="E254" s="2" t="s">
        <v>5031</v>
      </c>
      <c r="F254" t="s">
        <v>6166</v>
      </c>
      <c r="G254" s="20">
        <v>4</v>
      </c>
      <c r="H254" s="2" t="str">
        <f>INDEX(customers!$A$1:$I$1001,MATCH($E254,customers!$A$1:$A$1001,),MATCH($H$1,customers!$A$1:$I$1,0))</f>
        <v>Darn Penquet</v>
      </c>
      <c r="I254" s="2" t="str">
        <f>IF(INDEX(customers!$A$1:$I$1001,MATCH($E254,customers!$A$1:$A$1001,0),3)=0,"",INDEX(customers!$A$1:$I$1001,MATCH($E254,customers!$A$1:$A$1001,0),3))</f>
        <v>dpenquetmb@diigo.com</v>
      </c>
      <c r="J254" s="2" t="str">
        <f>_xlfn.XLOOKUP(E254,customers!$A$1:$A$1001,customers!$G$1:$G$1001)</f>
        <v>United States</v>
      </c>
      <c r="K254" t="str">
        <f>INDEX(products!$A$1:$G$49,MATCH($F254,products!$A$1:$A$49,0),MATCH(K$1,products!$A$1:$G$1,0))</f>
        <v>Exc</v>
      </c>
      <c r="L254" t="str">
        <f>INDEX(products!$A$1:$G$49,MATCH($F254,products!$A$1:$A$49,0),MATCH(L$1,products!$A$1:$G$1,0))</f>
        <v>M</v>
      </c>
      <c r="M254" s="5">
        <f>INDEX(products!$A$1:$G$49,MATCH($F254,products!$A$1:$A$49,0),MATCH(M$1,products!$A$1:$G$1,0))</f>
        <v>2.5</v>
      </c>
      <c r="N254" s="7">
        <f>INDEX(products!$A$1:$G$49,MATCH($F254,products!$A$1:$A$49,0),MATCH(N$1,products!$A$1:$G$1,0))</f>
        <v>31.624999999999996</v>
      </c>
      <c r="O254" s="7">
        <f t="shared" si="3"/>
        <v>126.49999999999999</v>
      </c>
      <c r="P254" t="str" cm="1">
        <f t="array" ref="P254">_xlfn.IFS(K254="Rob","Robusta",K254="Exc","Excelsa",K254="Ara","Arabica",K254="Lib","Liberica")</f>
        <v>Excelsa</v>
      </c>
      <c r="Q254" t="str" cm="1">
        <f t="array" ref="Q254">_xlfn.IFS(L254="M","Medium",L254="L","Light",L254="D","Dark")</f>
        <v>Medium</v>
      </c>
      <c r="R254" t="str">
        <f>_xlfn.XLOOKUP(Orders[[#This Row],[Customer ID]],customers!$A$1:$A$1001,customers!$I$1:$I$1001)</f>
        <v>No</v>
      </c>
    </row>
    <row r="255" spans="1:18" x14ac:dyDescent="0.35">
      <c r="A255" s="2" t="s">
        <v>2199</v>
      </c>
      <c r="B255" s="4">
        <v>44412</v>
      </c>
      <c r="C255" s="23">
        <f>Orders[[#This Row],[Order Date]]</f>
        <v>44412</v>
      </c>
      <c r="D255" s="2">
        <f>YEAR(Orders[[#This Row],[Order Date]])</f>
        <v>2021</v>
      </c>
      <c r="E255" s="2" t="s">
        <v>2200</v>
      </c>
      <c r="F255" t="s">
        <v>6185</v>
      </c>
      <c r="G255" s="20">
        <v>4</v>
      </c>
      <c r="H255" s="2" t="str">
        <f>INDEX(customers!$A$1:$I$1001,MATCH($E255,customers!$A$1:$A$1001,),MATCH($H$1,customers!$A$1:$I$1,0))</f>
        <v>Darrin Tingly</v>
      </c>
      <c r="I255" s="2" t="str">
        <f>IF(INDEX(customers!$A$1:$I$1001,MATCH($E255,customers!$A$1:$A$1001,0),3)=0,"",INDEX(customers!$A$1:$I$1001,MATCH($E255,customers!$A$1:$A$1001,0),3))</f>
        <v>dtingly8f@goo.ne.jp</v>
      </c>
      <c r="J255" s="2" t="str">
        <f>_xlfn.XLOOKUP(E255,customers!$A$1:$A$1001,customers!$G$1:$G$1001)</f>
        <v>United States</v>
      </c>
      <c r="K255" t="str">
        <f>INDEX(products!$A$1:$G$49,MATCH($F255,products!$A$1:$A$49,0),MATCH(K$1,products!$A$1:$G$1,0))</f>
        <v>Exc</v>
      </c>
      <c r="L255" t="str">
        <f>INDEX(products!$A$1:$G$49,MATCH($F255,products!$A$1:$A$49,0),MATCH(L$1,products!$A$1:$G$1,0))</f>
        <v>D</v>
      </c>
      <c r="M255" s="5">
        <f>INDEX(products!$A$1:$G$49,MATCH($F255,products!$A$1:$A$49,0),MATCH(M$1,products!$A$1:$G$1,0))</f>
        <v>2.5</v>
      </c>
      <c r="N255" s="7">
        <f>INDEX(products!$A$1:$G$49,MATCH($F255,products!$A$1:$A$49,0),MATCH(N$1,products!$A$1:$G$1,0))</f>
        <v>27.945</v>
      </c>
      <c r="O255" s="7">
        <f t="shared" si="3"/>
        <v>111.78</v>
      </c>
      <c r="P255" t="str" cm="1">
        <f t="array" ref="P255">_xlfn.IFS(K255="Rob","Robusta",K255="Exc","Excelsa",K255="Ara","Arabica",K255="Lib","Liberica")</f>
        <v>Excelsa</v>
      </c>
      <c r="Q255" t="str" cm="1">
        <f t="array" ref="Q255">_xlfn.IFS(L255="M","Medium",L255="L","Light",L255="D","Dark")</f>
        <v>Dark</v>
      </c>
      <c r="R255" t="str">
        <f>_xlfn.XLOOKUP(Orders[[#This Row],[Customer ID]],customers!$A$1:$A$1001,customers!$I$1:$I$1001)</f>
        <v>Yes</v>
      </c>
    </row>
    <row r="256" spans="1:18" x14ac:dyDescent="0.35">
      <c r="A256" s="2" t="s">
        <v>5570</v>
      </c>
      <c r="B256" s="4">
        <v>44089</v>
      </c>
      <c r="C256" s="23">
        <f>Orders[[#This Row],[Order Date]]</f>
        <v>44089</v>
      </c>
      <c r="D256" s="2">
        <f>YEAR(Orders[[#This Row],[Order Date]])</f>
        <v>2020</v>
      </c>
      <c r="E256" s="2" t="s">
        <v>5571</v>
      </c>
      <c r="F256" t="s">
        <v>6173</v>
      </c>
      <c r="G256" s="20">
        <v>5</v>
      </c>
      <c r="H256" s="2" t="str">
        <f>INDEX(customers!$A$1:$I$1001,MATCH($E256,customers!$A$1:$A$1001,),MATCH($H$1,customers!$A$1:$I$1,0))</f>
        <v>Daryn Cassius</v>
      </c>
      <c r="I256" s="2" t="str">
        <f>IF(INDEX(customers!$A$1:$I$1001,MATCH($E256,customers!$A$1:$A$1001,0),3)=0,"",INDEX(customers!$A$1:$I$1001,MATCH($E256,customers!$A$1:$A$1001,0),3))</f>
        <v/>
      </c>
      <c r="J256" s="2" t="str">
        <f>_xlfn.XLOOKUP(E256,customers!$A$1:$A$1001,customers!$G$1:$G$1001)</f>
        <v>United States</v>
      </c>
      <c r="K256" t="str">
        <f>INDEX(products!$A$1:$G$49,MATCH($F256,products!$A$1:$A$49,0),MATCH(K$1,products!$A$1:$G$1,0))</f>
        <v>Rob</v>
      </c>
      <c r="L256" t="str">
        <f>INDEX(products!$A$1:$G$49,MATCH($F256,products!$A$1:$A$49,0),MATCH(L$1,products!$A$1:$G$1,0))</f>
        <v>L</v>
      </c>
      <c r="M256" s="5">
        <f>INDEX(products!$A$1:$G$49,MATCH($F256,products!$A$1:$A$49,0),MATCH(M$1,products!$A$1:$G$1,0))</f>
        <v>0.5</v>
      </c>
      <c r="N256" s="7">
        <f>INDEX(products!$A$1:$G$49,MATCH($F256,products!$A$1:$A$49,0),MATCH(N$1,products!$A$1:$G$1,0))</f>
        <v>7.169999999999999</v>
      </c>
      <c r="O256" s="7">
        <f t="shared" si="3"/>
        <v>35.849999999999994</v>
      </c>
      <c r="P256" t="str" cm="1">
        <f t="array" ref="P256">_xlfn.IFS(K256="Rob","Robusta",K256="Exc","Excelsa",K256="Ara","Arabica",K256="Lib","Liberica")</f>
        <v>Robusta</v>
      </c>
      <c r="Q256" t="str" cm="1">
        <f t="array" ref="Q256">_xlfn.IFS(L256="M","Medium",L256="L","Light",L256="D","Dark")</f>
        <v>Light</v>
      </c>
      <c r="R256" t="str">
        <f>_xlfn.XLOOKUP(Orders[[#This Row],[Customer ID]],customers!$A$1:$A$1001,customers!$I$1:$I$1001)</f>
        <v>No</v>
      </c>
    </row>
    <row r="257" spans="1:18" x14ac:dyDescent="0.35">
      <c r="A257" s="2" t="s">
        <v>3176</v>
      </c>
      <c r="B257" s="4">
        <v>44767</v>
      </c>
      <c r="C257" s="23">
        <f>Orders[[#This Row],[Order Date]]</f>
        <v>44767</v>
      </c>
      <c r="D257" s="2">
        <f>YEAR(Orders[[#This Row],[Order Date]])</f>
        <v>2022</v>
      </c>
      <c r="E257" s="2" t="s">
        <v>3177</v>
      </c>
      <c r="F257" t="s">
        <v>6159</v>
      </c>
      <c r="G257" s="20">
        <v>2</v>
      </c>
      <c r="H257" s="2" t="str">
        <f>INDEX(customers!$A$1:$I$1001,MATCH($E257,customers!$A$1:$A$1001,),MATCH($H$1,customers!$A$1:$I$1,0))</f>
        <v>Daryn Dibley</v>
      </c>
      <c r="I257" s="2" t="str">
        <f>IF(INDEX(customers!$A$1:$I$1001,MATCH($E257,customers!$A$1:$A$1001,0),3)=0,"",INDEX(customers!$A$1:$I$1001,MATCH($E257,customers!$A$1:$A$1001,0),3))</f>
        <v>ddibleyd7@feedburner.com</v>
      </c>
      <c r="J257" s="2" t="str">
        <f>_xlfn.XLOOKUP(E257,customers!$A$1:$A$1001,customers!$G$1:$G$1001)</f>
        <v>United States</v>
      </c>
      <c r="K257" t="str">
        <f>INDEX(products!$A$1:$G$49,MATCH($F257,products!$A$1:$A$49,0),MATCH(K$1,products!$A$1:$G$1,0))</f>
        <v>Lib</v>
      </c>
      <c r="L257" t="str">
        <f>INDEX(products!$A$1:$G$49,MATCH($F257,products!$A$1:$A$49,0),MATCH(L$1,products!$A$1:$G$1,0))</f>
        <v>M</v>
      </c>
      <c r="M257" s="5">
        <f>INDEX(products!$A$1:$G$49,MATCH($F257,products!$A$1:$A$49,0),MATCH(M$1,products!$A$1:$G$1,0))</f>
        <v>0.2</v>
      </c>
      <c r="N257" s="7">
        <f>INDEX(products!$A$1:$G$49,MATCH($F257,products!$A$1:$A$49,0),MATCH(N$1,products!$A$1:$G$1,0))</f>
        <v>4.3650000000000002</v>
      </c>
      <c r="O257" s="7">
        <f t="shared" si="3"/>
        <v>8.73</v>
      </c>
      <c r="P257" t="str" cm="1">
        <f t="array" ref="P257">_xlfn.IFS(K257="Rob","Robusta",K257="Exc","Excelsa",K257="Ara","Arabica",K257="Lib","Liberica")</f>
        <v>Liberica</v>
      </c>
      <c r="Q257" t="str" cm="1">
        <f t="array" ref="Q257">_xlfn.IFS(L257="M","Medium",L257="L","Light",L257="D","Dark")</f>
        <v>Medium</v>
      </c>
      <c r="R257" t="str">
        <f>_xlfn.XLOOKUP(Orders[[#This Row],[Customer ID]],customers!$A$1:$A$1001,customers!$I$1:$I$1001)</f>
        <v>No</v>
      </c>
    </row>
    <row r="258" spans="1:18" x14ac:dyDescent="0.35">
      <c r="A258" s="2" t="s">
        <v>4417</v>
      </c>
      <c r="B258" s="4">
        <v>44300</v>
      </c>
      <c r="C258" s="23">
        <f>Orders[[#This Row],[Order Date]]</f>
        <v>44300</v>
      </c>
      <c r="D258" s="2">
        <f>YEAR(Orders[[#This Row],[Order Date]])</f>
        <v>2021</v>
      </c>
      <c r="E258" s="2" t="s">
        <v>4418</v>
      </c>
      <c r="F258" t="s">
        <v>6164</v>
      </c>
      <c r="G258" s="20">
        <v>5</v>
      </c>
      <c r="H258" s="2" t="str">
        <f>INDEX(customers!$A$1:$I$1001,MATCH($E258,customers!$A$1:$A$1001,),MATCH($H$1,customers!$A$1:$I$1,0))</f>
        <v>Davida Caro</v>
      </c>
      <c r="I258" s="2" t="str">
        <f>IF(INDEX(customers!$A$1:$I$1001,MATCH($E258,customers!$A$1:$A$1001,0),3)=0,"",INDEX(customers!$A$1:$I$1001,MATCH($E258,customers!$A$1:$A$1001,0),3))</f>
        <v>dcarojb@twitter.com</v>
      </c>
      <c r="J258" s="2" t="str">
        <f>_xlfn.XLOOKUP(E258,customers!$A$1:$A$1001,customers!$G$1:$G$1001)</f>
        <v>United States</v>
      </c>
      <c r="K258" t="str">
        <f>INDEX(products!$A$1:$G$49,MATCH($F258,products!$A$1:$A$49,0),MATCH(K$1,products!$A$1:$G$1,0))</f>
        <v>Lib</v>
      </c>
      <c r="L258" t="str">
        <f>INDEX(products!$A$1:$G$49,MATCH($F258,products!$A$1:$A$49,0),MATCH(L$1,products!$A$1:$G$1,0))</f>
        <v>L</v>
      </c>
      <c r="M258" s="5">
        <f>INDEX(products!$A$1:$G$49,MATCH($F258,products!$A$1:$A$49,0),MATCH(M$1,products!$A$1:$G$1,0))</f>
        <v>2.5</v>
      </c>
      <c r="N258" s="7">
        <f>INDEX(products!$A$1:$G$49,MATCH($F258,products!$A$1:$A$49,0),MATCH(N$1,products!$A$1:$G$1,0))</f>
        <v>36.454999999999998</v>
      </c>
      <c r="O258" s="7">
        <f t="shared" ref="O258:O321" si="4">N258*G258</f>
        <v>182.27499999999998</v>
      </c>
      <c r="P258" t="str" cm="1">
        <f t="array" ref="P258">_xlfn.IFS(K258="Rob","Robusta",K258="Exc","Excelsa",K258="Ara","Arabica",K258="Lib","Liberica")</f>
        <v>Liberica</v>
      </c>
      <c r="Q258" t="str" cm="1">
        <f t="array" ref="Q258">_xlfn.IFS(L258="M","Medium",L258="L","Light",L258="D","Dark")</f>
        <v>Light</v>
      </c>
      <c r="R258" t="str">
        <f>_xlfn.XLOOKUP(Orders[[#This Row],[Customer ID]],customers!$A$1:$A$1001,customers!$I$1:$I$1001)</f>
        <v>Yes</v>
      </c>
    </row>
    <row r="259" spans="1:18" x14ac:dyDescent="0.35">
      <c r="A259" s="2" t="s">
        <v>5256</v>
      </c>
      <c r="B259" s="4">
        <v>44387</v>
      </c>
      <c r="C259" s="23">
        <f>Orders[[#This Row],[Order Date]]</f>
        <v>44387</v>
      </c>
      <c r="D259" s="2">
        <f>YEAR(Orders[[#This Row],[Order Date]])</f>
        <v>2021</v>
      </c>
      <c r="E259" s="2" t="s">
        <v>5257</v>
      </c>
      <c r="F259" t="s">
        <v>6156</v>
      </c>
      <c r="G259" s="20">
        <v>2</v>
      </c>
      <c r="H259" s="2" t="str">
        <f>INDEX(customers!$A$1:$I$1001,MATCH($E259,customers!$A$1:$A$1001,),MATCH($H$1,customers!$A$1:$I$1,0))</f>
        <v>De Drewitt</v>
      </c>
      <c r="I259" s="2" t="str">
        <f>IF(INDEX(customers!$A$1:$I$1001,MATCH($E259,customers!$A$1:$A$1001,0),3)=0,"",INDEX(customers!$A$1:$I$1001,MATCH($E259,customers!$A$1:$A$1001,0),3))</f>
        <v>ddrewittnf@mapquest.com</v>
      </c>
      <c r="J259" s="2" t="str">
        <f>_xlfn.XLOOKUP(E259,customers!$A$1:$A$1001,customers!$G$1:$G$1001)</f>
        <v>United States</v>
      </c>
      <c r="K259" t="str">
        <f>INDEX(products!$A$1:$G$49,MATCH($F259,products!$A$1:$A$49,0),MATCH(K$1,products!$A$1:$G$1,0))</f>
        <v>Exc</v>
      </c>
      <c r="L259" t="str">
        <f>INDEX(products!$A$1:$G$49,MATCH($F259,products!$A$1:$A$49,0),MATCH(L$1,products!$A$1:$G$1,0))</f>
        <v>M</v>
      </c>
      <c r="M259" s="5">
        <f>INDEX(products!$A$1:$G$49,MATCH($F259,products!$A$1:$A$49,0),MATCH(M$1,products!$A$1:$G$1,0))</f>
        <v>0.2</v>
      </c>
      <c r="N259" s="7">
        <f>INDEX(products!$A$1:$G$49,MATCH($F259,products!$A$1:$A$49,0),MATCH(N$1,products!$A$1:$G$1,0))</f>
        <v>4.125</v>
      </c>
      <c r="O259" s="7">
        <f t="shared" si="4"/>
        <v>8.25</v>
      </c>
      <c r="P259" t="str" cm="1">
        <f t="array" ref="P259">_xlfn.IFS(K259="Rob","Robusta",K259="Exc","Excelsa",K259="Ara","Arabica",K259="Lib","Liberica")</f>
        <v>Excelsa</v>
      </c>
      <c r="Q259" t="str" cm="1">
        <f t="array" ref="Q259">_xlfn.IFS(L259="M","Medium",L259="L","Light",L259="D","Dark")</f>
        <v>Medium</v>
      </c>
      <c r="R259" t="str">
        <f>_xlfn.XLOOKUP(Orders[[#This Row],[Customer ID]],customers!$A$1:$A$1001,customers!$I$1:$I$1001)</f>
        <v>Yes</v>
      </c>
    </row>
    <row r="260" spans="1:18" x14ac:dyDescent="0.35">
      <c r="A260" s="2" t="s">
        <v>1293</v>
      </c>
      <c r="B260" s="4">
        <v>44083</v>
      </c>
      <c r="C260" s="23">
        <f>Orders[[#This Row],[Order Date]]</f>
        <v>44083</v>
      </c>
      <c r="D260" s="2">
        <f>YEAR(Orders[[#This Row],[Order Date]])</f>
        <v>2020</v>
      </c>
      <c r="E260" s="2" t="s">
        <v>1294</v>
      </c>
      <c r="F260" t="s">
        <v>6160</v>
      </c>
      <c r="G260" s="20">
        <v>2</v>
      </c>
      <c r="H260" s="2" t="str">
        <f>INDEX(customers!$A$1:$I$1001,MATCH($E260,customers!$A$1:$A$1001,),MATCH($H$1,customers!$A$1:$I$1,0))</f>
        <v>Deana Staite</v>
      </c>
      <c r="I260" s="2" t="str">
        <f>IF(INDEX(customers!$A$1:$I$1001,MATCH($E260,customers!$A$1:$A$1001,0),3)=0,"",INDEX(customers!$A$1:$I$1001,MATCH($E260,customers!$A$1:$A$1001,0),3))</f>
        <v>dstaite3z@scientificamerican.com</v>
      </c>
      <c r="J260" s="2" t="str">
        <f>_xlfn.XLOOKUP(E260,customers!$A$1:$A$1001,customers!$G$1:$G$1001)</f>
        <v>United States</v>
      </c>
      <c r="K260" t="str">
        <f>INDEX(products!$A$1:$G$49,MATCH($F260,products!$A$1:$A$49,0),MATCH(K$1,products!$A$1:$G$1,0))</f>
        <v>Lib</v>
      </c>
      <c r="L260" t="str">
        <f>INDEX(products!$A$1:$G$49,MATCH($F260,products!$A$1:$A$49,0),MATCH(L$1,products!$A$1:$G$1,0))</f>
        <v>M</v>
      </c>
      <c r="M260" s="5">
        <f>INDEX(products!$A$1:$G$49,MATCH($F260,products!$A$1:$A$49,0),MATCH(M$1,products!$A$1:$G$1,0))</f>
        <v>0.5</v>
      </c>
      <c r="N260" s="7">
        <f>INDEX(products!$A$1:$G$49,MATCH($F260,products!$A$1:$A$49,0),MATCH(N$1,products!$A$1:$G$1,0))</f>
        <v>8.73</v>
      </c>
      <c r="O260" s="7">
        <f t="shared" si="4"/>
        <v>17.46</v>
      </c>
      <c r="P260" t="str" cm="1">
        <f t="array" ref="P260">_xlfn.IFS(K260="Rob","Robusta",K260="Exc","Excelsa",K260="Ara","Arabica",K260="Lib","Liberica")</f>
        <v>Liberica</v>
      </c>
      <c r="Q260" t="str" cm="1">
        <f t="array" ref="Q260">_xlfn.IFS(L260="M","Medium",L260="L","Light",L260="D","Dark")</f>
        <v>Medium</v>
      </c>
      <c r="R260" t="str">
        <f>_xlfn.XLOOKUP(Orders[[#This Row],[Customer ID]],customers!$A$1:$A$1001,customers!$I$1:$I$1001)</f>
        <v>No</v>
      </c>
    </row>
    <row r="261" spans="1:18" x14ac:dyDescent="0.35">
      <c r="A261" s="2" t="s">
        <v>5489</v>
      </c>
      <c r="B261" s="4">
        <v>43941</v>
      </c>
      <c r="C261" s="23">
        <f>Orders[[#This Row],[Order Date]]</f>
        <v>43941</v>
      </c>
      <c r="D261" s="2">
        <f>YEAR(Orders[[#This Row],[Order Date]])</f>
        <v>2020</v>
      </c>
      <c r="E261" s="2" t="s">
        <v>5490</v>
      </c>
      <c r="F261" t="s">
        <v>6172</v>
      </c>
      <c r="G261" s="20">
        <v>1</v>
      </c>
      <c r="H261" s="2" t="str">
        <f>INDEX(customers!$A$1:$I$1001,MATCH($E261,customers!$A$1:$A$1001,),MATCH($H$1,customers!$A$1:$I$1,0))</f>
        <v>Delainey Kiddy</v>
      </c>
      <c r="I261" s="2" t="str">
        <f>IF(INDEX(customers!$A$1:$I$1001,MATCH($E261,customers!$A$1:$A$1001,0),3)=0,"",INDEX(customers!$A$1:$I$1001,MATCH($E261,customers!$A$1:$A$1001,0),3))</f>
        <v>dkiddyok@fda.gov</v>
      </c>
      <c r="J261" s="2" t="str">
        <f>_xlfn.XLOOKUP(E261,customers!$A$1:$A$1001,customers!$G$1:$G$1001)</f>
        <v>United States</v>
      </c>
      <c r="K261" t="str">
        <f>INDEX(products!$A$1:$G$49,MATCH($F261,products!$A$1:$A$49,0),MATCH(K$1,products!$A$1:$G$1,0))</f>
        <v>Rob</v>
      </c>
      <c r="L261" t="str">
        <f>INDEX(products!$A$1:$G$49,MATCH($F261,products!$A$1:$A$49,0),MATCH(L$1,products!$A$1:$G$1,0))</f>
        <v>D</v>
      </c>
      <c r="M261" s="5">
        <f>INDEX(products!$A$1:$G$49,MATCH($F261,products!$A$1:$A$49,0),MATCH(M$1,products!$A$1:$G$1,0))</f>
        <v>0.5</v>
      </c>
      <c r="N261" s="7">
        <f>INDEX(products!$A$1:$G$49,MATCH($F261,products!$A$1:$A$49,0),MATCH(N$1,products!$A$1:$G$1,0))</f>
        <v>5.3699999999999992</v>
      </c>
      <c r="O261" s="7">
        <f t="shared" si="4"/>
        <v>5.3699999999999992</v>
      </c>
      <c r="P261" t="str" cm="1">
        <f t="array" ref="P261">_xlfn.IFS(K261="Rob","Robusta",K261="Exc","Excelsa",K261="Ara","Arabica",K261="Lib","Liberica")</f>
        <v>Robusta</v>
      </c>
      <c r="Q261" t="str" cm="1">
        <f t="array" ref="Q261">_xlfn.IFS(L261="M","Medium",L261="L","Light",L261="D","Dark")</f>
        <v>Dark</v>
      </c>
      <c r="R261" t="str">
        <f>_xlfn.XLOOKUP(Orders[[#This Row],[Customer ID]],customers!$A$1:$A$1001,customers!$I$1:$I$1001)</f>
        <v>Yes</v>
      </c>
    </row>
    <row r="262" spans="1:18" x14ac:dyDescent="0.35">
      <c r="A262" s="2" t="s">
        <v>2458</v>
      </c>
      <c r="B262" s="4">
        <v>44743</v>
      </c>
      <c r="C262" s="23">
        <f>Orders[[#This Row],[Order Date]]</f>
        <v>44743</v>
      </c>
      <c r="D262" s="2">
        <f>YEAR(Orders[[#This Row],[Order Date]])</f>
        <v>2022</v>
      </c>
      <c r="E262" s="2" t="s">
        <v>2459</v>
      </c>
      <c r="F262" t="s">
        <v>6178</v>
      </c>
      <c r="G262" s="20">
        <v>4</v>
      </c>
      <c r="H262" s="2" t="str">
        <f>INDEX(customers!$A$1:$I$1001,MATCH($E262,customers!$A$1:$A$1001,),MATCH($H$1,customers!$A$1:$I$1,0))</f>
        <v>Dell Daveridge</v>
      </c>
      <c r="I262" s="2" t="str">
        <f>IF(INDEX(customers!$A$1:$I$1001,MATCH($E262,customers!$A$1:$A$1001,0),3)=0,"",INDEX(customers!$A$1:$I$1001,MATCH($E262,customers!$A$1:$A$1001,0),3))</f>
        <v>ddaveridge9p@arstechnica.com</v>
      </c>
      <c r="J262" s="2" t="str">
        <f>_xlfn.XLOOKUP(E262,customers!$A$1:$A$1001,customers!$G$1:$G$1001)</f>
        <v>United States</v>
      </c>
      <c r="K262" t="str">
        <f>INDEX(products!$A$1:$G$49,MATCH($F262,products!$A$1:$A$49,0),MATCH(K$1,products!$A$1:$G$1,0))</f>
        <v>Rob</v>
      </c>
      <c r="L262" t="str">
        <f>INDEX(products!$A$1:$G$49,MATCH($F262,products!$A$1:$A$49,0),MATCH(L$1,products!$A$1:$G$1,0))</f>
        <v>L</v>
      </c>
      <c r="M262" s="5">
        <f>INDEX(products!$A$1:$G$49,MATCH($F262,products!$A$1:$A$49,0),MATCH(M$1,products!$A$1:$G$1,0))</f>
        <v>0.2</v>
      </c>
      <c r="N262" s="7">
        <f>INDEX(products!$A$1:$G$49,MATCH($F262,products!$A$1:$A$49,0),MATCH(N$1,products!$A$1:$G$1,0))</f>
        <v>3.5849999999999995</v>
      </c>
      <c r="O262" s="7">
        <f t="shared" si="4"/>
        <v>14.339999999999998</v>
      </c>
      <c r="P262" t="str" cm="1">
        <f t="array" ref="P262">_xlfn.IFS(K262="Rob","Robusta",K262="Exc","Excelsa",K262="Ara","Arabica",K262="Lib","Liberica")</f>
        <v>Robusta</v>
      </c>
      <c r="Q262" t="str" cm="1">
        <f t="array" ref="Q262">_xlfn.IFS(L262="M","Medium",L262="L","Light",L262="D","Dark")</f>
        <v>Light</v>
      </c>
      <c r="R262" t="str">
        <f>_xlfn.XLOOKUP(Orders[[#This Row],[Customer ID]],customers!$A$1:$A$1001,customers!$I$1:$I$1001)</f>
        <v>No</v>
      </c>
    </row>
    <row r="263" spans="1:18" x14ac:dyDescent="0.35">
      <c r="A263" s="2" t="s">
        <v>5791</v>
      </c>
      <c r="B263" s="4">
        <v>43829</v>
      </c>
      <c r="C263" s="23">
        <f>Orders[[#This Row],[Order Date]]</f>
        <v>43829</v>
      </c>
      <c r="D263" s="2">
        <f>YEAR(Orders[[#This Row],[Order Date]])</f>
        <v>2019</v>
      </c>
      <c r="E263" s="2" t="s">
        <v>5792</v>
      </c>
      <c r="F263" t="s">
        <v>6171</v>
      </c>
      <c r="G263" s="20">
        <v>5</v>
      </c>
      <c r="H263" s="2" t="str">
        <f>INDEX(customers!$A$1:$I$1001,MATCH($E263,customers!$A$1:$A$1001,),MATCH($H$1,customers!$A$1:$I$1,0))</f>
        <v>Dell Gut</v>
      </c>
      <c r="I263" s="2" t="str">
        <f>IF(INDEX(customers!$A$1:$I$1001,MATCH($E263,customers!$A$1:$A$1001,0),3)=0,"",INDEX(customers!$A$1:$I$1001,MATCH($E263,customers!$A$1:$A$1001,0),3))</f>
        <v>dgutq2@umich.edu</v>
      </c>
      <c r="J263" s="2" t="str">
        <f>_xlfn.XLOOKUP(E263,customers!$A$1:$A$1001,customers!$G$1:$G$1001)</f>
        <v>United States</v>
      </c>
      <c r="K263" t="str">
        <f>INDEX(products!$A$1:$G$49,MATCH($F263,products!$A$1:$A$49,0),MATCH(K$1,products!$A$1:$G$1,0))</f>
        <v>Exc</v>
      </c>
      <c r="L263" t="str">
        <f>INDEX(products!$A$1:$G$49,MATCH($F263,products!$A$1:$A$49,0),MATCH(L$1,products!$A$1:$G$1,0))</f>
        <v>L</v>
      </c>
      <c r="M263" s="5">
        <f>INDEX(products!$A$1:$G$49,MATCH($F263,products!$A$1:$A$49,0),MATCH(M$1,products!$A$1:$G$1,0))</f>
        <v>1</v>
      </c>
      <c r="N263" s="7">
        <f>INDEX(products!$A$1:$G$49,MATCH($F263,products!$A$1:$A$49,0),MATCH(N$1,products!$A$1:$G$1,0))</f>
        <v>14.85</v>
      </c>
      <c r="O263" s="7">
        <f t="shared" si="4"/>
        <v>74.25</v>
      </c>
      <c r="P263" t="str" cm="1">
        <f t="array" ref="P263">_xlfn.IFS(K263="Rob","Robusta",K263="Exc","Excelsa",K263="Ara","Arabica",K263="Lib","Liberica")</f>
        <v>Excelsa</v>
      </c>
      <c r="Q263" t="str" cm="1">
        <f t="array" ref="Q263">_xlfn.IFS(L263="M","Medium",L263="L","Light",L263="D","Dark")</f>
        <v>Light</v>
      </c>
      <c r="R263" t="str">
        <f>_xlfn.XLOOKUP(Orders[[#This Row],[Customer ID]],customers!$A$1:$A$1001,customers!$I$1:$I$1001)</f>
        <v>Yes</v>
      </c>
    </row>
    <row r="264" spans="1:18" x14ac:dyDescent="0.35">
      <c r="A264" s="2" t="s">
        <v>1884</v>
      </c>
      <c r="B264" s="4">
        <v>44131</v>
      </c>
      <c r="C264" s="23">
        <f>Orders[[#This Row],[Order Date]]</f>
        <v>44131</v>
      </c>
      <c r="D264" s="2">
        <f>YEAR(Orders[[#This Row],[Order Date]])</f>
        <v>2020</v>
      </c>
      <c r="E264" s="2" t="s">
        <v>1885</v>
      </c>
      <c r="F264" t="s">
        <v>6178</v>
      </c>
      <c r="G264" s="20">
        <v>6</v>
      </c>
      <c r="H264" s="2" t="str">
        <f>INDEX(customers!$A$1:$I$1001,MATCH($E264,customers!$A$1:$A$1001,),MATCH($H$1,customers!$A$1:$I$1,0))</f>
        <v>Delmar Beasant</v>
      </c>
      <c r="I264" s="2" t="str">
        <f>IF(INDEX(customers!$A$1:$I$1001,MATCH($E264,customers!$A$1:$A$1001,0),3)=0,"",INDEX(customers!$A$1:$I$1001,MATCH($E264,customers!$A$1:$A$1001,0),3))</f>
        <v/>
      </c>
      <c r="J264" s="2" t="str">
        <f>_xlfn.XLOOKUP(E264,customers!$A$1:$A$1001,customers!$G$1:$G$1001)</f>
        <v>Ireland</v>
      </c>
      <c r="K264" t="str">
        <f>INDEX(products!$A$1:$G$49,MATCH($F264,products!$A$1:$A$49,0),MATCH(K$1,products!$A$1:$G$1,0))</f>
        <v>Rob</v>
      </c>
      <c r="L264" t="str">
        <f>INDEX(products!$A$1:$G$49,MATCH($F264,products!$A$1:$A$49,0),MATCH(L$1,products!$A$1:$G$1,0))</f>
        <v>L</v>
      </c>
      <c r="M264" s="5">
        <f>INDEX(products!$A$1:$G$49,MATCH($F264,products!$A$1:$A$49,0),MATCH(M$1,products!$A$1:$G$1,0))</f>
        <v>0.2</v>
      </c>
      <c r="N264" s="7">
        <f>INDEX(products!$A$1:$G$49,MATCH($F264,products!$A$1:$A$49,0),MATCH(N$1,products!$A$1:$G$1,0))</f>
        <v>3.5849999999999995</v>
      </c>
      <c r="O264" s="7">
        <f t="shared" si="4"/>
        <v>21.509999999999998</v>
      </c>
      <c r="P264" t="str" cm="1">
        <f t="array" ref="P264">_xlfn.IFS(K264="Rob","Robusta",K264="Exc","Excelsa",K264="Ara","Arabica",K264="Lib","Liberica")</f>
        <v>Robusta</v>
      </c>
      <c r="Q264" t="str" cm="1">
        <f t="array" ref="Q264">_xlfn.IFS(L264="M","Medium",L264="L","Light",L264="D","Dark")</f>
        <v>Light</v>
      </c>
      <c r="R264" t="str">
        <f>_xlfn.XLOOKUP(Orders[[#This Row],[Customer ID]],customers!$A$1:$A$1001,customers!$I$1:$I$1001)</f>
        <v>Yes</v>
      </c>
    </row>
    <row r="265" spans="1:18" x14ac:dyDescent="0.35">
      <c r="A265" s="2" t="s">
        <v>6030</v>
      </c>
      <c r="B265" s="4">
        <v>43982</v>
      </c>
      <c r="C265" s="23">
        <f>Orders[[#This Row],[Order Date]]</f>
        <v>43982</v>
      </c>
      <c r="D265" s="2">
        <f>YEAR(Orders[[#This Row],[Order Date]])</f>
        <v>2020</v>
      </c>
      <c r="E265" s="2" t="s">
        <v>6031</v>
      </c>
      <c r="F265" t="s">
        <v>6185</v>
      </c>
      <c r="G265" s="20">
        <v>6</v>
      </c>
      <c r="H265" s="2" t="str">
        <f>INDEX(customers!$A$1:$I$1001,MATCH($E265,customers!$A$1:$A$1001,),MATCH($H$1,customers!$A$1:$I$1,0))</f>
        <v>Demetris Micheli</v>
      </c>
      <c r="I265" s="2" t="str">
        <f>IF(INDEX(customers!$A$1:$I$1001,MATCH($E265,customers!$A$1:$A$1001,0),3)=0,"",INDEX(customers!$A$1:$I$1001,MATCH($E265,customers!$A$1:$A$1001,0),3))</f>
        <v/>
      </c>
      <c r="J265" s="2" t="str">
        <f>_xlfn.XLOOKUP(E265,customers!$A$1:$A$1001,customers!$G$1:$G$1001)</f>
        <v>United States</v>
      </c>
      <c r="K265" t="str">
        <f>INDEX(products!$A$1:$G$49,MATCH($F265,products!$A$1:$A$49,0),MATCH(K$1,products!$A$1:$G$1,0))</f>
        <v>Exc</v>
      </c>
      <c r="L265" t="str">
        <f>INDEX(products!$A$1:$G$49,MATCH($F265,products!$A$1:$A$49,0),MATCH(L$1,products!$A$1:$G$1,0))</f>
        <v>D</v>
      </c>
      <c r="M265" s="5">
        <f>INDEX(products!$A$1:$G$49,MATCH($F265,products!$A$1:$A$49,0),MATCH(M$1,products!$A$1:$G$1,0))</f>
        <v>2.5</v>
      </c>
      <c r="N265" s="7">
        <f>INDEX(products!$A$1:$G$49,MATCH($F265,products!$A$1:$A$49,0),MATCH(N$1,products!$A$1:$G$1,0))</f>
        <v>27.945</v>
      </c>
      <c r="O265" s="7">
        <f t="shared" si="4"/>
        <v>167.67000000000002</v>
      </c>
      <c r="P265" t="str" cm="1">
        <f t="array" ref="P265">_xlfn.IFS(K265="Rob","Robusta",K265="Exc","Excelsa",K265="Ara","Arabica",K265="Lib","Liberica")</f>
        <v>Excelsa</v>
      </c>
      <c r="Q265" t="str" cm="1">
        <f t="array" ref="Q265">_xlfn.IFS(L265="M","Medium",L265="L","Light",L265="D","Dark")</f>
        <v>Dark</v>
      </c>
      <c r="R265" t="str">
        <f>_xlfn.XLOOKUP(Orders[[#This Row],[Customer ID]],customers!$A$1:$A$1001,customers!$I$1:$I$1001)</f>
        <v>Yes</v>
      </c>
    </row>
    <row r="266" spans="1:18" x14ac:dyDescent="0.35">
      <c r="A266" s="2" t="s">
        <v>4133</v>
      </c>
      <c r="B266" s="4">
        <v>44106</v>
      </c>
      <c r="C266" s="23">
        <f>Orders[[#This Row],[Order Date]]</f>
        <v>44106</v>
      </c>
      <c r="D266" s="2">
        <f>YEAR(Orders[[#This Row],[Order Date]])</f>
        <v>2020</v>
      </c>
      <c r="E266" s="2" t="s">
        <v>4134</v>
      </c>
      <c r="F266" t="s">
        <v>6168</v>
      </c>
      <c r="G266" s="20">
        <v>3</v>
      </c>
      <c r="H266" s="2" t="str">
        <f>INDEX(customers!$A$1:$I$1001,MATCH($E266,customers!$A$1:$A$1001,),MATCH($H$1,customers!$A$1:$I$1,0))</f>
        <v>Denny O' Ronan</v>
      </c>
      <c r="I266" s="2" t="str">
        <f>IF(INDEX(customers!$A$1:$I$1001,MATCH($E266,customers!$A$1:$A$1001,0),3)=0,"",INDEX(customers!$A$1:$I$1001,MATCH($E266,customers!$A$1:$A$1001,0),3))</f>
        <v>dohx@redcross.org</v>
      </c>
      <c r="J266" s="2" t="str">
        <f>_xlfn.XLOOKUP(E266,customers!$A$1:$A$1001,customers!$G$1:$G$1001)</f>
        <v>United States</v>
      </c>
      <c r="K266" t="str">
        <f>INDEX(products!$A$1:$G$49,MATCH($F266,products!$A$1:$A$49,0),MATCH(K$1,products!$A$1:$G$1,0))</f>
        <v>Ara</v>
      </c>
      <c r="L266" t="str">
        <f>INDEX(products!$A$1:$G$49,MATCH($F266,products!$A$1:$A$49,0),MATCH(L$1,products!$A$1:$G$1,0))</f>
        <v>D</v>
      </c>
      <c r="M266" s="5">
        <f>INDEX(products!$A$1:$G$49,MATCH($F266,products!$A$1:$A$49,0),MATCH(M$1,products!$A$1:$G$1,0))</f>
        <v>2.5</v>
      </c>
      <c r="N266" s="7">
        <f>INDEX(products!$A$1:$G$49,MATCH($F266,products!$A$1:$A$49,0),MATCH(N$1,products!$A$1:$G$1,0))</f>
        <v>22.884999999999998</v>
      </c>
      <c r="O266" s="7">
        <f t="shared" si="4"/>
        <v>68.655000000000001</v>
      </c>
      <c r="P266" t="str" cm="1">
        <f t="array" ref="P266">_xlfn.IFS(K266="Rob","Robusta",K266="Exc","Excelsa",K266="Ara","Arabica",K266="Lib","Liberica")</f>
        <v>Arabica</v>
      </c>
      <c r="Q266" t="str" cm="1">
        <f t="array" ref="Q266">_xlfn.IFS(L266="M","Medium",L266="L","Light",L266="D","Dark")</f>
        <v>Dark</v>
      </c>
      <c r="R266" t="str">
        <f>_xlfn.XLOOKUP(Orders[[#This Row],[Customer ID]],customers!$A$1:$A$1001,customers!$I$1:$I$1001)</f>
        <v>Yes</v>
      </c>
    </row>
    <row r="267" spans="1:18" x14ac:dyDescent="0.35">
      <c r="A267" s="2" t="s">
        <v>1940</v>
      </c>
      <c r="B267" s="4">
        <v>44676</v>
      </c>
      <c r="C267" s="23">
        <f>Orders[[#This Row],[Order Date]]</f>
        <v>44676</v>
      </c>
      <c r="D267" s="2">
        <f>YEAR(Orders[[#This Row],[Order Date]])</f>
        <v>2022</v>
      </c>
      <c r="E267" s="2" t="s">
        <v>1941</v>
      </c>
      <c r="F267" t="s">
        <v>6185</v>
      </c>
      <c r="G267" s="20">
        <v>1</v>
      </c>
      <c r="H267" s="2" t="str">
        <f>INDEX(customers!$A$1:$I$1001,MATCH($E267,customers!$A$1:$A$1001,),MATCH($H$1,customers!$A$1:$I$1,0))</f>
        <v>Denyse O'Calleran</v>
      </c>
      <c r="I267" s="2" t="str">
        <f>IF(INDEX(customers!$A$1:$I$1001,MATCH($E267,customers!$A$1:$A$1001,0),3)=0,"",INDEX(customers!$A$1:$I$1001,MATCH($E267,customers!$A$1:$A$1001,0),3))</f>
        <v>docalleran75@ucla.edu</v>
      </c>
      <c r="J267" s="2" t="str">
        <f>_xlfn.XLOOKUP(E267,customers!$A$1:$A$1001,customers!$G$1:$G$1001)</f>
        <v>United States</v>
      </c>
      <c r="K267" t="str">
        <f>INDEX(products!$A$1:$G$49,MATCH($F267,products!$A$1:$A$49,0),MATCH(K$1,products!$A$1:$G$1,0))</f>
        <v>Exc</v>
      </c>
      <c r="L267" t="str">
        <f>INDEX(products!$A$1:$G$49,MATCH($F267,products!$A$1:$A$49,0),MATCH(L$1,products!$A$1:$G$1,0))</f>
        <v>D</v>
      </c>
      <c r="M267" s="5">
        <f>INDEX(products!$A$1:$G$49,MATCH($F267,products!$A$1:$A$49,0),MATCH(M$1,products!$A$1:$G$1,0))</f>
        <v>2.5</v>
      </c>
      <c r="N267" s="7">
        <f>INDEX(products!$A$1:$G$49,MATCH($F267,products!$A$1:$A$49,0),MATCH(N$1,products!$A$1:$G$1,0))</f>
        <v>27.945</v>
      </c>
      <c r="O267" s="7">
        <f t="shared" si="4"/>
        <v>27.945</v>
      </c>
      <c r="P267" t="str" cm="1">
        <f t="array" ref="P267">_xlfn.IFS(K267="Rob","Robusta",K267="Exc","Excelsa",K267="Ara","Arabica",K267="Lib","Liberica")</f>
        <v>Excelsa</v>
      </c>
      <c r="Q267" t="str" cm="1">
        <f t="array" ref="Q267">_xlfn.IFS(L267="M","Medium",L267="L","Light",L267="D","Dark")</f>
        <v>Dark</v>
      </c>
      <c r="R267" t="str">
        <f>_xlfn.XLOOKUP(Orders[[#This Row],[Customer ID]],customers!$A$1:$A$1001,customers!$I$1:$I$1001)</f>
        <v>Yes</v>
      </c>
    </row>
    <row r="268" spans="1:18" x14ac:dyDescent="0.35">
      <c r="A268" s="2" t="s">
        <v>4365</v>
      </c>
      <c r="B268" s="4">
        <v>44330</v>
      </c>
      <c r="C268" s="23">
        <f>Orders[[#This Row],[Order Date]]</f>
        <v>44330</v>
      </c>
      <c r="D268" s="2">
        <f>YEAR(Orders[[#This Row],[Order Date]])</f>
        <v>2021</v>
      </c>
      <c r="E268" s="2" t="s">
        <v>4366</v>
      </c>
      <c r="F268" t="s">
        <v>6163</v>
      </c>
      <c r="G268" s="20">
        <v>3</v>
      </c>
      <c r="H268" s="2" t="str">
        <f>INDEX(customers!$A$1:$I$1001,MATCH($E268,customers!$A$1:$A$1001,),MATCH($H$1,customers!$A$1:$I$1,0))</f>
        <v>Deonne Shortall</v>
      </c>
      <c r="I268" s="2" t="str">
        <f>IF(INDEX(customers!$A$1:$I$1001,MATCH($E268,customers!$A$1:$A$1001,0),3)=0,"",INDEX(customers!$A$1:$I$1001,MATCH($E268,customers!$A$1:$A$1001,0),3))</f>
        <v>dshortallj2@wikipedia.org</v>
      </c>
      <c r="J268" s="2" t="str">
        <f>_xlfn.XLOOKUP(E268,customers!$A$1:$A$1001,customers!$G$1:$G$1001)</f>
        <v>United States</v>
      </c>
      <c r="K268" t="str">
        <f>INDEX(products!$A$1:$G$49,MATCH($F268,products!$A$1:$A$49,0),MATCH(K$1,products!$A$1:$G$1,0))</f>
        <v>Rob</v>
      </c>
      <c r="L268" t="str">
        <f>INDEX(products!$A$1:$G$49,MATCH($F268,products!$A$1:$A$49,0),MATCH(L$1,products!$A$1:$G$1,0))</f>
        <v>D</v>
      </c>
      <c r="M268" s="5">
        <f>INDEX(products!$A$1:$G$49,MATCH($F268,products!$A$1:$A$49,0),MATCH(M$1,products!$A$1:$G$1,0))</f>
        <v>0.2</v>
      </c>
      <c r="N268" s="7">
        <f>INDEX(products!$A$1:$G$49,MATCH($F268,products!$A$1:$A$49,0),MATCH(N$1,products!$A$1:$G$1,0))</f>
        <v>2.6849999999999996</v>
      </c>
      <c r="O268" s="7">
        <f t="shared" si="4"/>
        <v>8.0549999999999997</v>
      </c>
      <c r="P268" t="str" cm="1">
        <f t="array" ref="P268">_xlfn.IFS(K268="Rob","Robusta",K268="Exc","Excelsa",K268="Ara","Arabica",K268="Lib","Liberica")</f>
        <v>Robusta</v>
      </c>
      <c r="Q268" t="str" cm="1">
        <f t="array" ref="Q268">_xlfn.IFS(L268="M","Medium",L268="L","Light",L268="D","Dark")</f>
        <v>Dark</v>
      </c>
      <c r="R268" t="str">
        <f>_xlfn.XLOOKUP(Orders[[#This Row],[Customer ID]],customers!$A$1:$A$1001,customers!$I$1:$I$1001)</f>
        <v>Yes</v>
      </c>
    </row>
    <row r="269" spans="1:18" x14ac:dyDescent="0.35">
      <c r="A269" s="2" t="s">
        <v>5720</v>
      </c>
      <c r="B269" s="4">
        <v>44770</v>
      </c>
      <c r="C269" s="23">
        <f>Orders[[#This Row],[Order Date]]</f>
        <v>44770</v>
      </c>
      <c r="D269" s="2">
        <f>YEAR(Orders[[#This Row],[Order Date]])</f>
        <v>2022</v>
      </c>
      <c r="E269" s="2" t="s">
        <v>5554</v>
      </c>
      <c r="F269" t="s">
        <v>6157</v>
      </c>
      <c r="G269" s="20">
        <v>3</v>
      </c>
      <c r="H269" s="2" t="str">
        <f>INDEX(customers!$A$1:$I$1001,MATCH($E269,customers!$A$1:$A$1001,),MATCH($H$1,customers!$A$1:$I$1,0))</f>
        <v>Derick Snow</v>
      </c>
      <c r="I269" s="2" t="str">
        <f>IF(INDEX(customers!$A$1:$I$1001,MATCH($E269,customers!$A$1:$A$1001,0),3)=0,"",INDEX(customers!$A$1:$I$1001,MATCH($E269,customers!$A$1:$A$1001,0),3))</f>
        <v/>
      </c>
      <c r="J269" s="2" t="str">
        <f>_xlfn.XLOOKUP(E269,customers!$A$1:$A$1001,customers!$G$1:$G$1001)</f>
        <v>United States</v>
      </c>
      <c r="K269" t="str">
        <f>INDEX(products!$A$1:$G$49,MATCH($F269,products!$A$1:$A$49,0),MATCH(K$1,products!$A$1:$G$1,0))</f>
        <v>Ara</v>
      </c>
      <c r="L269" t="str">
        <f>INDEX(products!$A$1:$G$49,MATCH($F269,products!$A$1:$A$49,0),MATCH(L$1,products!$A$1:$G$1,0))</f>
        <v>M</v>
      </c>
      <c r="M269" s="5">
        <f>INDEX(products!$A$1:$G$49,MATCH($F269,products!$A$1:$A$49,0),MATCH(M$1,products!$A$1:$G$1,0))</f>
        <v>0.5</v>
      </c>
      <c r="N269" s="7">
        <f>INDEX(products!$A$1:$G$49,MATCH($F269,products!$A$1:$A$49,0),MATCH(N$1,products!$A$1:$G$1,0))</f>
        <v>6.75</v>
      </c>
      <c r="O269" s="7">
        <f t="shared" si="4"/>
        <v>20.25</v>
      </c>
      <c r="P269" t="str" cm="1">
        <f t="array" ref="P269">_xlfn.IFS(K269="Rob","Robusta",K269="Exc","Excelsa",K269="Ara","Arabica",K269="Lib","Liberica")</f>
        <v>Arabica</v>
      </c>
      <c r="Q269" t="str" cm="1">
        <f t="array" ref="Q269">_xlfn.IFS(L269="M","Medium",L269="L","Light",L269="D","Dark")</f>
        <v>Medium</v>
      </c>
      <c r="R269" t="str">
        <f>_xlfn.XLOOKUP(Orders[[#This Row],[Customer ID]],customers!$A$1:$A$1001,customers!$I$1:$I$1001)</f>
        <v>No</v>
      </c>
    </row>
    <row r="270" spans="1:18" x14ac:dyDescent="0.35">
      <c r="A270" s="2" t="s">
        <v>5575</v>
      </c>
      <c r="B270" s="4">
        <v>44523</v>
      </c>
      <c r="C270" s="23">
        <f>Orders[[#This Row],[Order Date]]</f>
        <v>44523</v>
      </c>
      <c r="D270" s="2">
        <f>YEAR(Orders[[#This Row],[Order Date]])</f>
        <v>2021</v>
      </c>
      <c r="E270" s="2" t="s">
        <v>5554</v>
      </c>
      <c r="F270" t="s">
        <v>6162</v>
      </c>
      <c r="G270" s="20">
        <v>5</v>
      </c>
      <c r="H270" s="2" t="str">
        <f>INDEX(customers!$A$1:$I$1001,MATCH($E270,customers!$A$1:$A$1001,),MATCH($H$1,customers!$A$1:$I$1,0))</f>
        <v>Derick Snow</v>
      </c>
      <c r="I270" s="2" t="str">
        <f>IF(INDEX(customers!$A$1:$I$1001,MATCH($E270,customers!$A$1:$A$1001,0),3)=0,"",INDEX(customers!$A$1:$I$1001,MATCH($E270,customers!$A$1:$A$1001,0),3))</f>
        <v/>
      </c>
      <c r="J270" s="2" t="str">
        <f>_xlfn.XLOOKUP(E270,customers!$A$1:$A$1001,customers!$G$1:$G$1001)</f>
        <v>United States</v>
      </c>
      <c r="K270" t="str">
        <f>INDEX(products!$A$1:$G$49,MATCH($F270,products!$A$1:$A$49,0),MATCH(K$1,products!$A$1:$G$1,0))</f>
        <v>Lib</v>
      </c>
      <c r="L270" t="str">
        <f>INDEX(products!$A$1:$G$49,MATCH($F270,products!$A$1:$A$49,0),MATCH(L$1,products!$A$1:$G$1,0))</f>
        <v>M</v>
      </c>
      <c r="M270" s="5">
        <f>INDEX(products!$A$1:$G$49,MATCH($F270,products!$A$1:$A$49,0),MATCH(M$1,products!$A$1:$G$1,0))</f>
        <v>1</v>
      </c>
      <c r="N270" s="7">
        <f>INDEX(products!$A$1:$G$49,MATCH($F270,products!$A$1:$A$49,0),MATCH(N$1,products!$A$1:$G$1,0))</f>
        <v>14.55</v>
      </c>
      <c r="O270" s="7">
        <f t="shared" si="4"/>
        <v>72.75</v>
      </c>
      <c r="P270" t="str" cm="1">
        <f t="array" ref="P270">_xlfn.IFS(K270="Rob","Robusta",K270="Exc","Excelsa",K270="Ara","Arabica",K270="Lib","Liberica")</f>
        <v>Liberica</v>
      </c>
      <c r="Q270" t="str" cm="1">
        <f t="array" ref="Q270">_xlfn.IFS(L270="M","Medium",L270="L","Light",L270="D","Dark")</f>
        <v>Medium</v>
      </c>
      <c r="R270" t="str">
        <f>_xlfn.XLOOKUP(Orders[[#This Row],[Customer ID]],customers!$A$1:$A$1001,customers!$I$1:$I$1001)</f>
        <v>No</v>
      </c>
    </row>
    <row r="271" spans="1:18" x14ac:dyDescent="0.35">
      <c r="A271" s="2" t="s">
        <v>5553</v>
      </c>
      <c r="B271" s="4">
        <v>44521</v>
      </c>
      <c r="C271" s="23">
        <f>Orders[[#This Row],[Order Date]]</f>
        <v>44521</v>
      </c>
      <c r="D271" s="2">
        <f>YEAR(Orders[[#This Row],[Order Date]])</f>
        <v>2021</v>
      </c>
      <c r="E271" s="2" t="s">
        <v>5554</v>
      </c>
      <c r="F271" t="s">
        <v>6166</v>
      </c>
      <c r="G271" s="20">
        <v>5</v>
      </c>
      <c r="H271" s="2" t="str">
        <f>INDEX(customers!$A$1:$I$1001,MATCH($E271,customers!$A$1:$A$1001,),MATCH($H$1,customers!$A$1:$I$1,0))</f>
        <v>Derick Snow</v>
      </c>
      <c r="I271" s="2" t="str">
        <f>IF(INDEX(customers!$A$1:$I$1001,MATCH($E271,customers!$A$1:$A$1001,0),3)=0,"",INDEX(customers!$A$1:$I$1001,MATCH($E271,customers!$A$1:$A$1001,0),3))</f>
        <v/>
      </c>
      <c r="J271" s="2" t="str">
        <f>_xlfn.XLOOKUP(E271,customers!$A$1:$A$1001,customers!$G$1:$G$1001)</f>
        <v>United States</v>
      </c>
      <c r="K271" t="str">
        <f>INDEX(products!$A$1:$G$49,MATCH($F271,products!$A$1:$A$49,0),MATCH(K$1,products!$A$1:$G$1,0))</f>
        <v>Exc</v>
      </c>
      <c r="L271" t="str">
        <f>INDEX(products!$A$1:$G$49,MATCH($F271,products!$A$1:$A$49,0),MATCH(L$1,products!$A$1:$G$1,0))</f>
        <v>M</v>
      </c>
      <c r="M271" s="5">
        <f>INDEX(products!$A$1:$G$49,MATCH($F271,products!$A$1:$A$49,0),MATCH(M$1,products!$A$1:$G$1,0))</f>
        <v>2.5</v>
      </c>
      <c r="N271" s="7">
        <f>INDEX(products!$A$1:$G$49,MATCH($F271,products!$A$1:$A$49,0),MATCH(N$1,products!$A$1:$G$1,0))</f>
        <v>31.624999999999996</v>
      </c>
      <c r="O271" s="7">
        <f t="shared" si="4"/>
        <v>158.12499999999997</v>
      </c>
      <c r="P271" t="str" cm="1">
        <f t="array" ref="P271">_xlfn.IFS(K271="Rob","Robusta",K271="Exc","Excelsa",K271="Ara","Arabica",K271="Lib","Liberica")</f>
        <v>Excelsa</v>
      </c>
      <c r="Q271" t="str" cm="1">
        <f t="array" ref="Q271">_xlfn.IFS(L271="M","Medium",L271="L","Light",L271="D","Dark")</f>
        <v>Medium</v>
      </c>
      <c r="R271" t="str">
        <f>_xlfn.XLOOKUP(Orders[[#This Row],[Customer ID]],customers!$A$1:$A$1001,customers!$I$1:$I$1001)</f>
        <v>No</v>
      </c>
    </row>
    <row r="272" spans="1:18" x14ac:dyDescent="0.35">
      <c r="A272" s="2" t="s">
        <v>4591</v>
      </c>
      <c r="B272" s="4">
        <v>44571</v>
      </c>
      <c r="C272" s="23">
        <f>Orders[[#This Row],[Order Date]]</f>
        <v>44571</v>
      </c>
      <c r="D272" s="2">
        <f>YEAR(Orders[[#This Row],[Order Date]])</f>
        <v>2022</v>
      </c>
      <c r="E272" s="2" t="s">
        <v>4592</v>
      </c>
      <c r="F272" t="s">
        <v>6164</v>
      </c>
      <c r="G272" s="20">
        <v>4</v>
      </c>
      <c r="H272" s="2" t="str">
        <f>INDEX(customers!$A$1:$I$1001,MATCH($E272,customers!$A$1:$A$1001,),MATCH($H$1,customers!$A$1:$I$1,0))</f>
        <v>Derrek Allpress</v>
      </c>
      <c r="I272" s="2" t="str">
        <f>IF(INDEX(customers!$A$1:$I$1001,MATCH($E272,customers!$A$1:$A$1001,0),3)=0,"",INDEX(customers!$A$1:$I$1001,MATCH($E272,customers!$A$1:$A$1001,0),3))</f>
        <v/>
      </c>
      <c r="J272" s="2" t="str">
        <f>_xlfn.XLOOKUP(E272,customers!$A$1:$A$1001,customers!$G$1:$G$1001)</f>
        <v>United States</v>
      </c>
      <c r="K272" t="str">
        <f>INDEX(products!$A$1:$G$49,MATCH($F272,products!$A$1:$A$49,0),MATCH(K$1,products!$A$1:$G$1,0))</f>
        <v>Lib</v>
      </c>
      <c r="L272" t="str">
        <f>INDEX(products!$A$1:$G$49,MATCH($F272,products!$A$1:$A$49,0),MATCH(L$1,products!$A$1:$G$1,0))</f>
        <v>L</v>
      </c>
      <c r="M272" s="5">
        <f>INDEX(products!$A$1:$G$49,MATCH($F272,products!$A$1:$A$49,0),MATCH(M$1,products!$A$1:$G$1,0))</f>
        <v>2.5</v>
      </c>
      <c r="N272" s="7">
        <f>INDEX(products!$A$1:$G$49,MATCH($F272,products!$A$1:$A$49,0),MATCH(N$1,products!$A$1:$G$1,0))</f>
        <v>36.454999999999998</v>
      </c>
      <c r="O272" s="7">
        <f t="shared" si="4"/>
        <v>145.82</v>
      </c>
      <c r="P272" t="str" cm="1">
        <f t="array" ref="P272">_xlfn.IFS(K272="Rob","Robusta",K272="Exc","Excelsa",K272="Ara","Arabica",K272="Lib","Liberica")</f>
        <v>Liberica</v>
      </c>
      <c r="Q272" t="str" cm="1">
        <f t="array" ref="Q272">_xlfn.IFS(L272="M","Medium",L272="L","Light",L272="D","Dark")</f>
        <v>Light</v>
      </c>
      <c r="R272" t="str">
        <f>_xlfn.XLOOKUP(Orders[[#This Row],[Customer ID]],customers!$A$1:$A$1001,customers!$I$1:$I$1001)</f>
        <v>No</v>
      </c>
    </row>
    <row r="273" spans="1:18" x14ac:dyDescent="0.35">
      <c r="A273" s="2" t="s">
        <v>6096</v>
      </c>
      <c r="B273" s="4">
        <v>44276</v>
      </c>
      <c r="C273" s="23">
        <f>Orders[[#This Row],[Order Date]]</f>
        <v>44276</v>
      </c>
      <c r="D273" s="2">
        <f>YEAR(Orders[[#This Row],[Order Date]])</f>
        <v>2021</v>
      </c>
      <c r="E273" s="2" t="s">
        <v>6097</v>
      </c>
      <c r="F273" t="s">
        <v>6164</v>
      </c>
      <c r="G273" s="20">
        <v>3</v>
      </c>
      <c r="H273" s="2" t="str">
        <f>INDEX(customers!$A$1:$I$1001,MATCH($E273,customers!$A$1:$A$1001,),MATCH($H$1,customers!$A$1:$I$1,0))</f>
        <v>Desdemona Eye</v>
      </c>
      <c r="I273" s="2" t="str">
        <f>IF(INDEX(customers!$A$1:$I$1001,MATCH($E273,customers!$A$1:$A$1001,0),3)=0,"",INDEX(customers!$A$1:$I$1001,MATCH($E273,customers!$A$1:$A$1001,0),3))</f>
        <v/>
      </c>
      <c r="J273" s="2" t="str">
        <f>_xlfn.XLOOKUP(E273,customers!$A$1:$A$1001,customers!$G$1:$G$1001)</f>
        <v>Ireland</v>
      </c>
      <c r="K273" t="str">
        <f>INDEX(products!$A$1:$G$49,MATCH($F273,products!$A$1:$A$49,0),MATCH(K$1,products!$A$1:$G$1,0))</f>
        <v>Lib</v>
      </c>
      <c r="L273" t="str">
        <f>INDEX(products!$A$1:$G$49,MATCH($F273,products!$A$1:$A$49,0),MATCH(L$1,products!$A$1:$G$1,0))</f>
        <v>L</v>
      </c>
      <c r="M273" s="5">
        <f>INDEX(products!$A$1:$G$49,MATCH($F273,products!$A$1:$A$49,0),MATCH(M$1,products!$A$1:$G$1,0))</f>
        <v>2.5</v>
      </c>
      <c r="N273" s="7">
        <f>INDEX(products!$A$1:$G$49,MATCH($F273,products!$A$1:$A$49,0),MATCH(N$1,products!$A$1:$G$1,0))</f>
        <v>36.454999999999998</v>
      </c>
      <c r="O273" s="7">
        <f t="shared" si="4"/>
        <v>109.36499999999999</v>
      </c>
      <c r="P273" t="str" cm="1">
        <f t="array" ref="P273">_xlfn.IFS(K273="Rob","Robusta",K273="Exc","Excelsa",K273="Ara","Arabica",K273="Lib","Liberica")</f>
        <v>Liberica</v>
      </c>
      <c r="Q273" t="str" cm="1">
        <f t="array" ref="Q273">_xlfn.IFS(L273="M","Medium",L273="L","Light",L273="D","Dark")</f>
        <v>Light</v>
      </c>
      <c r="R273" t="str">
        <f>_xlfn.XLOOKUP(Orders[[#This Row],[Customer ID]],customers!$A$1:$A$1001,customers!$I$1:$I$1001)</f>
        <v>No</v>
      </c>
    </row>
    <row r="274" spans="1:18" x14ac:dyDescent="0.35">
      <c r="A274" s="2" t="s">
        <v>5321</v>
      </c>
      <c r="B274" s="4">
        <v>43632</v>
      </c>
      <c r="C274" s="23">
        <f>Orders[[#This Row],[Order Date]]</f>
        <v>43632</v>
      </c>
      <c r="D274" s="2">
        <f>YEAR(Orders[[#This Row],[Order Date]])</f>
        <v>2019</v>
      </c>
      <c r="E274" s="2" t="s">
        <v>5322</v>
      </c>
      <c r="F274" t="s">
        <v>6165</v>
      </c>
      <c r="G274" s="20">
        <v>3</v>
      </c>
      <c r="H274" s="2" t="str">
        <f>INDEX(customers!$A$1:$I$1001,MATCH($E274,customers!$A$1:$A$1001,),MATCH($H$1,customers!$A$1:$I$1,0))</f>
        <v>Devan Crownshaw</v>
      </c>
      <c r="I274" s="2" t="str">
        <f>IF(INDEX(customers!$A$1:$I$1001,MATCH($E274,customers!$A$1:$A$1001,0),3)=0,"",INDEX(customers!$A$1:$I$1001,MATCH($E274,customers!$A$1:$A$1001,0),3))</f>
        <v>dcrownshawnr@photobucket.com</v>
      </c>
      <c r="J274" s="2" t="str">
        <f>_xlfn.XLOOKUP(E274,customers!$A$1:$A$1001,customers!$G$1:$G$1001)</f>
        <v>United States</v>
      </c>
      <c r="K274" t="str">
        <f>INDEX(products!$A$1:$G$49,MATCH($F274,products!$A$1:$A$49,0),MATCH(K$1,products!$A$1:$G$1,0))</f>
        <v>Lib</v>
      </c>
      <c r="L274" t="str">
        <f>INDEX(products!$A$1:$G$49,MATCH($F274,products!$A$1:$A$49,0),MATCH(L$1,products!$A$1:$G$1,0))</f>
        <v>D</v>
      </c>
      <c r="M274" s="5">
        <f>INDEX(products!$A$1:$G$49,MATCH($F274,products!$A$1:$A$49,0),MATCH(M$1,products!$A$1:$G$1,0))</f>
        <v>2.5</v>
      </c>
      <c r="N274" s="7">
        <f>INDEX(products!$A$1:$G$49,MATCH($F274,products!$A$1:$A$49,0),MATCH(N$1,products!$A$1:$G$1,0))</f>
        <v>29.784999999999997</v>
      </c>
      <c r="O274" s="7">
        <f t="shared" si="4"/>
        <v>89.35499999999999</v>
      </c>
      <c r="P274" t="str" cm="1">
        <f t="array" ref="P274">_xlfn.IFS(K274="Rob","Robusta",K274="Exc","Excelsa",K274="Ara","Arabica",K274="Lib","Liberica")</f>
        <v>Liberica</v>
      </c>
      <c r="Q274" t="str" cm="1">
        <f t="array" ref="Q274">_xlfn.IFS(L274="M","Medium",L274="L","Light",L274="D","Dark")</f>
        <v>Dark</v>
      </c>
      <c r="R274" t="str">
        <f>_xlfn.XLOOKUP(Orders[[#This Row],[Customer ID]],customers!$A$1:$A$1001,customers!$I$1:$I$1001)</f>
        <v>No</v>
      </c>
    </row>
    <row r="275" spans="1:18" x14ac:dyDescent="0.35">
      <c r="A275" s="2" t="s">
        <v>5780</v>
      </c>
      <c r="B275" s="4">
        <v>44493</v>
      </c>
      <c r="C275" s="23">
        <f>Orders[[#This Row],[Order Date]]</f>
        <v>44493</v>
      </c>
      <c r="D275" s="2">
        <f>YEAR(Orders[[#This Row],[Order Date]])</f>
        <v>2021</v>
      </c>
      <c r="E275" s="2" t="s">
        <v>5781</v>
      </c>
      <c r="F275" t="s">
        <v>6169</v>
      </c>
      <c r="G275" s="20">
        <v>3</v>
      </c>
      <c r="H275" s="2" t="str">
        <f>INDEX(customers!$A$1:$I$1001,MATCH($E275,customers!$A$1:$A$1001,),MATCH($H$1,customers!$A$1:$I$1,0))</f>
        <v>Devland Gritton</v>
      </c>
      <c r="I275" s="2" t="str">
        <f>IF(INDEX(customers!$A$1:$I$1001,MATCH($E275,customers!$A$1:$A$1001,0),3)=0,"",INDEX(customers!$A$1:$I$1001,MATCH($E275,customers!$A$1:$A$1001,0),3))</f>
        <v>dgrittonq0@nydailynews.com</v>
      </c>
      <c r="J275" s="2" t="str">
        <f>_xlfn.XLOOKUP(E275,customers!$A$1:$A$1001,customers!$G$1:$G$1001)</f>
        <v>United States</v>
      </c>
      <c r="K275" t="str">
        <f>INDEX(products!$A$1:$G$49,MATCH($F275,products!$A$1:$A$49,0),MATCH(K$1,products!$A$1:$G$1,0))</f>
        <v>Lib</v>
      </c>
      <c r="L275" t="str">
        <f>INDEX(products!$A$1:$G$49,MATCH($F275,products!$A$1:$A$49,0),MATCH(L$1,products!$A$1:$G$1,0))</f>
        <v>D</v>
      </c>
      <c r="M275" s="5">
        <f>INDEX(products!$A$1:$G$49,MATCH($F275,products!$A$1:$A$49,0),MATCH(M$1,products!$A$1:$G$1,0))</f>
        <v>0.5</v>
      </c>
      <c r="N275" s="7">
        <f>INDEX(products!$A$1:$G$49,MATCH($F275,products!$A$1:$A$49,0),MATCH(N$1,products!$A$1:$G$1,0))</f>
        <v>7.77</v>
      </c>
      <c r="O275" s="7">
        <f t="shared" si="4"/>
        <v>23.31</v>
      </c>
      <c r="P275" t="str" cm="1">
        <f t="array" ref="P275">_xlfn.IFS(K275="Rob","Robusta",K275="Exc","Excelsa",K275="Ara","Arabica",K275="Lib","Liberica")</f>
        <v>Liberica</v>
      </c>
      <c r="Q275" t="str" cm="1">
        <f t="array" ref="Q275">_xlfn.IFS(L275="M","Medium",L275="L","Light",L275="D","Dark")</f>
        <v>Dark</v>
      </c>
      <c r="R275" t="str">
        <f>_xlfn.XLOOKUP(Orders[[#This Row],[Customer ID]],customers!$A$1:$A$1001,customers!$I$1:$I$1001)</f>
        <v>Yes</v>
      </c>
    </row>
    <row r="276" spans="1:18" x14ac:dyDescent="0.35">
      <c r="A276" s="2" t="s">
        <v>5780</v>
      </c>
      <c r="B276" s="4">
        <v>44493</v>
      </c>
      <c r="C276" s="23">
        <f>Orders[[#This Row],[Order Date]]</f>
        <v>44493</v>
      </c>
      <c r="D276" s="2">
        <f>YEAR(Orders[[#This Row],[Order Date]])</f>
        <v>2021</v>
      </c>
      <c r="E276" s="2" t="s">
        <v>5781</v>
      </c>
      <c r="F276" t="s">
        <v>6151</v>
      </c>
      <c r="G276" s="20">
        <v>4</v>
      </c>
      <c r="H276" s="2" t="str">
        <f>INDEX(customers!$A$1:$I$1001,MATCH($E276,customers!$A$1:$A$1001,),MATCH($H$1,customers!$A$1:$I$1,0))</f>
        <v>Devland Gritton</v>
      </c>
      <c r="I276" s="2" t="str">
        <f>IF(INDEX(customers!$A$1:$I$1001,MATCH($E276,customers!$A$1:$A$1001,0),3)=0,"",INDEX(customers!$A$1:$I$1001,MATCH($E276,customers!$A$1:$A$1001,0),3))</f>
        <v>dgrittonq0@nydailynews.com</v>
      </c>
      <c r="J276" s="2" t="str">
        <f>_xlfn.XLOOKUP(E276,customers!$A$1:$A$1001,customers!$G$1:$G$1001)</f>
        <v>United States</v>
      </c>
      <c r="K276" t="str">
        <f>INDEX(products!$A$1:$G$49,MATCH($F276,products!$A$1:$A$49,0),MATCH(K$1,products!$A$1:$G$1,0))</f>
        <v>Rob</v>
      </c>
      <c r="L276" t="str">
        <f>INDEX(products!$A$1:$G$49,MATCH($F276,products!$A$1:$A$49,0),MATCH(L$1,products!$A$1:$G$1,0))</f>
        <v>M</v>
      </c>
      <c r="M276" s="5">
        <f>INDEX(products!$A$1:$G$49,MATCH($F276,products!$A$1:$A$49,0),MATCH(M$1,products!$A$1:$G$1,0))</f>
        <v>2.5</v>
      </c>
      <c r="N276" s="7">
        <f>INDEX(products!$A$1:$G$49,MATCH($F276,products!$A$1:$A$49,0),MATCH(N$1,products!$A$1:$G$1,0))</f>
        <v>22.884999999999998</v>
      </c>
      <c r="O276" s="7">
        <f t="shared" si="4"/>
        <v>91.539999999999992</v>
      </c>
      <c r="P276" t="str" cm="1">
        <f t="array" ref="P276">_xlfn.IFS(K276="Rob","Robusta",K276="Exc","Excelsa",K276="Ara","Arabica",K276="Lib","Liberica")</f>
        <v>Robusta</v>
      </c>
      <c r="Q276" t="str" cm="1">
        <f t="array" ref="Q276">_xlfn.IFS(L276="M","Medium",L276="L","Light",L276="D","Dark")</f>
        <v>Medium</v>
      </c>
      <c r="R276" t="str">
        <f>_xlfn.XLOOKUP(Orders[[#This Row],[Customer ID]],customers!$A$1:$A$1001,customers!$I$1:$I$1001)</f>
        <v>Yes</v>
      </c>
    </row>
    <row r="277" spans="1:18" x14ac:dyDescent="0.35">
      <c r="A277" s="2" t="s">
        <v>1839</v>
      </c>
      <c r="B277" s="4">
        <v>43881</v>
      </c>
      <c r="C277" s="23">
        <f>Orders[[#This Row],[Order Date]]</f>
        <v>43881</v>
      </c>
      <c r="D277" s="2">
        <f>YEAR(Orders[[#This Row],[Order Date]])</f>
        <v>2020</v>
      </c>
      <c r="E277" s="2" t="s">
        <v>1840</v>
      </c>
      <c r="F277" t="s">
        <v>6171</v>
      </c>
      <c r="G277" s="20">
        <v>4</v>
      </c>
      <c r="H277" s="2" t="str">
        <f>INDEX(customers!$A$1:$I$1001,MATCH($E277,customers!$A$1:$A$1001,),MATCH($H$1,customers!$A$1:$I$1,0))</f>
        <v>Devon Magowan</v>
      </c>
      <c r="I277" s="2" t="str">
        <f>IF(INDEX(customers!$A$1:$I$1001,MATCH($E277,customers!$A$1:$A$1001,0),3)=0,"",INDEX(customers!$A$1:$I$1001,MATCH($E277,customers!$A$1:$A$1001,0),3))</f>
        <v>dmagowan6n@fc2.com</v>
      </c>
      <c r="J277" s="2" t="str">
        <f>_xlfn.XLOOKUP(E277,customers!$A$1:$A$1001,customers!$G$1:$G$1001)</f>
        <v>United States</v>
      </c>
      <c r="K277" t="str">
        <f>INDEX(products!$A$1:$G$49,MATCH($F277,products!$A$1:$A$49,0),MATCH(K$1,products!$A$1:$G$1,0))</f>
        <v>Exc</v>
      </c>
      <c r="L277" t="str">
        <f>INDEX(products!$A$1:$G$49,MATCH($F277,products!$A$1:$A$49,0),MATCH(L$1,products!$A$1:$G$1,0))</f>
        <v>L</v>
      </c>
      <c r="M277" s="5">
        <f>INDEX(products!$A$1:$G$49,MATCH($F277,products!$A$1:$A$49,0),MATCH(M$1,products!$A$1:$G$1,0))</f>
        <v>1</v>
      </c>
      <c r="N277" s="7">
        <f>INDEX(products!$A$1:$G$49,MATCH($F277,products!$A$1:$A$49,0),MATCH(N$1,products!$A$1:$G$1,0))</f>
        <v>14.85</v>
      </c>
      <c r="O277" s="7">
        <f t="shared" si="4"/>
        <v>59.4</v>
      </c>
      <c r="P277" t="str" cm="1">
        <f t="array" ref="P277">_xlfn.IFS(K277="Rob","Robusta",K277="Exc","Excelsa",K277="Ara","Arabica",K277="Lib","Liberica")</f>
        <v>Excelsa</v>
      </c>
      <c r="Q277" t="str" cm="1">
        <f t="array" ref="Q277">_xlfn.IFS(L277="M","Medium",L277="L","Light",L277="D","Dark")</f>
        <v>Light</v>
      </c>
      <c r="R277" t="str">
        <f>_xlfn.XLOOKUP(Orders[[#This Row],[Customer ID]],customers!$A$1:$A$1001,customers!$I$1:$I$1001)</f>
        <v>No</v>
      </c>
    </row>
    <row r="278" spans="1:18" x14ac:dyDescent="0.35">
      <c r="A278" s="2" t="s">
        <v>1912</v>
      </c>
      <c r="B278" s="4">
        <v>44779</v>
      </c>
      <c r="C278" s="23">
        <f>Orders[[#This Row],[Order Date]]</f>
        <v>44779</v>
      </c>
      <c r="D278" s="2">
        <f>YEAR(Orders[[#This Row],[Order Date]])</f>
        <v>2022</v>
      </c>
      <c r="E278" s="2" t="s">
        <v>1913</v>
      </c>
      <c r="F278" t="s">
        <v>6147</v>
      </c>
      <c r="G278" s="20">
        <v>3</v>
      </c>
      <c r="H278" s="2" t="str">
        <f>INDEX(customers!$A$1:$I$1001,MATCH($E278,customers!$A$1:$A$1001,),MATCH($H$1,customers!$A$1:$I$1,0))</f>
        <v>Devy Bulbrook</v>
      </c>
      <c r="I278" s="2" t="str">
        <f>IF(INDEX(customers!$A$1:$I$1001,MATCH($E278,customers!$A$1:$A$1001,0),3)=0,"",INDEX(customers!$A$1:$I$1001,MATCH($E278,customers!$A$1:$A$1001,0),3))</f>
        <v/>
      </c>
      <c r="J278" s="2" t="str">
        <f>_xlfn.XLOOKUP(E278,customers!$A$1:$A$1001,customers!$G$1:$G$1001)</f>
        <v>United States</v>
      </c>
      <c r="K278" t="str">
        <f>INDEX(products!$A$1:$G$49,MATCH($F278,products!$A$1:$A$49,0),MATCH(K$1,products!$A$1:$G$1,0))</f>
        <v>Ara</v>
      </c>
      <c r="L278" t="str">
        <f>INDEX(products!$A$1:$G$49,MATCH($F278,products!$A$1:$A$49,0),MATCH(L$1,products!$A$1:$G$1,0))</f>
        <v>D</v>
      </c>
      <c r="M278" s="5">
        <f>INDEX(products!$A$1:$G$49,MATCH($F278,products!$A$1:$A$49,0),MATCH(M$1,products!$A$1:$G$1,0))</f>
        <v>1</v>
      </c>
      <c r="N278" s="7">
        <f>INDEX(products!$A$1:$G$49,MATCH($F278,products!$A$1:$A$49,0),MATCH(N$1,products!$A$1:$G$1,0))</f>
        <v>9.9499999999999993</v>
      </c>
      <c r="O278" s="7">
        <f t="shared" si="4"/>
        <v>29.849999999999998</v>
      </c>
      <c r="P278" t="str" cm="1">
        <f t="array" ref="P278">_xlfn.IFS(K278="Rob","Robusta",K278="Exc","Excelsa",K278="Ara","Arabica",K278="Lib","Liberica")</f>
        <v>Arabica</v>
      </c>
      <c r="Q278" t="str" cm="1">
        <f t="array" ref="Q278">_xlfn.IFS(L278="M","Medium",L278="L","Light",L278="D","Dark")</f>
        <v>Dark</v>
      </c>
      <c r="R278" t="str">
        <f>_xlfn.XLOOKUP(Orders[[#This Row],[Customer ID]],customers!$A$1:$A$1001,customers!$I$1:$I$1001)</f>
        <v>No</v>
      </c>
    </row>
    <row r="279" spans="1:18" x14ac:dyDescent="0.35">
      <c r="A279" s="2" t="s">
        <v>3349</v>
      </c>
      <c r="B279" s="4">
        <v>44184</v>
      </c>
      <c r="C279" s="23">
        <f>Orders[[#This Row],[Order Date]]</f>
        <v>44184</v>
      </c>
      <c r="D279" s="2">
        <f>YEAR(Orders[[#This Row],[Order Date]])</f>
        <v>2020</v>
      </c>
      <c r="E279" s="2" t="s">
        <v>3350</v>
      </c>
      <c r="F279" t="s">
        <v>6140</v>
      </c>
      <c r="G279" s="20">
        <v>2</v>
      </c>
      <c r="H279" s="2" t="str">
        <f>INDEX(customers!$A$1:$I$1001,MATCH($E279,customers!$A$1:$A$1001,),MATCH($H$1,customers!$A$1:$I$1,0))</f>
        <v>Diane-marie Wincer</v>
      </c>
      <c r="I279" s="2" t="str">
        <f>IF(INDEX(customers!$A$1:$I$1001,MATCH($E279,customers!$A$1:$A$1001,0),3)=0,"",INDEX(customers!$A$1:$I$1001,MATCH($E279,customers!$A$1:$A$1001,0),3))</f>
        <v>dwincere2@marriott.com</v>
      </c>
      <c r="J279" s="2" t="str">
        <f>_xlfn.XLOOKUP(E279,customers!$A$1:$A$1001,customers!$G$1:$G$1001)</f>
        <v>United States</v>
      </c>
      <c r="K279" t="str">
        <f>INDEX(products!$A$1:$G$49,MATCH($F279,products!$A$1:$A$49,0),MATCH(K$1,products!$A$1:$G$1,0))</f>
        <v>Ara</v>
      </c>
      <c r="L279" t="str">
        <f>INDEX(products!$A$1:$G$49,MATCH($F279,products!$A$1:$A$49,0),MATCH(L$1,products!$A$1:$G$1,0))</f>
        <v>L</v>
      </c>
      <c r="M279" s="5">
        <f>INDEX(products!$A$1:$G$49,MATCH($F279,products!$A$1:$A$49,0),MATCH(M$1,products!$A$1:$G$1,0))</f>
        <v>1</v>
      </c>
      <c r="N279" s="7">
        <f>INDEX(products!$A$1:$G$49,MATCH($F279,products!$A$1:$A$49,0),MATCH(N$1,products!$A$1:$G$1,0))</f>
        <v>12.95</v>
      </c>
      <c r="O279" s="7">
        <f t="shared" si="4"/>
        <v>25.9</v>
      </c>
      <c r="P279" t="str" cm="1">
        <f t="array" ref="P279">_xlfn.IFS(K279="Rob","Robusta",K279="Exc","Excelsa",K279="Ara","Arabica",K279="Lib","Liberica")</f>
        <v>Arabica</v>
      </c>
      <c r="Q279" t="str" cm="1">
        <f t="array" ref="Q279">_xlfn.IFS(L279="M","Medium",L279="L","Light",L279="D","Dark")</f>
        <v>Light</v>
      </c>
      <c r="R279" t="str">
        <f>_xlfn.XLOOKUP(Orders[[#This Row],[Customer ID]],customers!$A$1:$A$1001,customers!$I$1:$I$1001)</f>
        <v>Yes</v>
      </c>
    </row>
    <row r="280" spans="1:18" x14ac:dyDescent="0.35">
      <c r="A280" s="2" t="s">
        <v>4012</v>
      </c>
      <c r="B280" s="4">
        <v>44010</v>
      </c>
      <c r="C280" s="23">
        <f>Orders[[#This Row],[Order Date]]</f>
        <v>44010</v>
      </c>
      <c r="D280" s="2">
        <f>YEAR(Orders[[#This Row],[Order Date]])</f>
        <v>2020</v>
      </c>
      <c r="E280" s="2" t="s">
        <v>4013</v>
      </c>
      <c r="F280" t="s">
        <v>6166</v>
      </c>
      <c r="G280" s="20">
        <v>2</v>
      </c>
      <c r="H280" s="2" t="str">
        <f>INDEX(customers!$A$1:$I$1001,MATCH($E280,customers!$A$1:$A$1001,),MATCH($H$1,customers!$A$1:$I$1,0))</f>
        <v>Dianne Chardin</v>
      </c>
      <c r="I280" s="2" t="str">
        <f>IF(INDEX(customers!$A$1:$I$1001,MATCH($E280,customers!$A$1:$A$1001,0),3)=0,"",INDEX(customers!$A$1:$I$1001,MATCH($E280,customers!$A$1:$A$1001,0),3))</f>
        <v>dchardinhc@nhs.uk</v>
      </c>
      <c r="J280" s="2" t="str">
        <f>_xlfn.XLOOKUP(E280,customers!$A$1:$A$1001,customers!$G$1:$G$1001)</f>
        <v>Ireland</v>
      </c>
      <c r="K280" t="str">
        <f>INDEX(products!$A$1:$G$49,MATCH($F280,products!$A$1:$A$49,0),MATCH(K$1,products!$A$1:$G$1,0))</f>
        <v>Exc</v>
      </c>
      <c r="L280" t="str">
        <f>INDEX(products!$A$1:$G$49,MATCH($F280,products!$A$1:$A$49,0),MATCH(L$1,products!$A$1:$G$1,0))</f>
        <v>M</v>
      </c>
      <c r="M280" s="5">
        <f>INDEX(products!$A$1:$G$49,MATCH($F280,products!$A$1:$A$49,0),MATCH(M$1,products!$A$1:$G$1,0))</f>
        <v>2.5</v>
      </c>
      <c r="N280" s="7">
        <f>INDEX(products!$A$1:$G$49,MATCH($F280,products!$A$1:$A$49,0),MATCH(N$1,products!$A$1:$G$1,0))</f>
        <v>31.624999999999996</v>
      </c>
      <c r="O280" s="7">
        <f t="shared" si="4"/>
        <v>63.249999999999993</v>
      </c>
      <c r="P280" t="str" cm="1">
        <f t="array" ref="P280">_xlfn.IFS(K280="Rob","Robusta",K280="Exc","Excelsa",K280="Ara","Arabica",K280="Lib","Liberica")</f>
        <v>Excelsa</v>
      </c>
      <c r="Q280" t="str" cm="1">
        <f t="array" ref="Q280">_xlfn.IFS(L280="M","Medium",L280="L","Light",L280="D","Dark")</f>
        <v>Medium</v>
      </c>
      <c r="R280" t="str">
        <f>_xlfn.XLOOKUP(Orders[[#This Row],[Customer ID]],customers!$A$1:$A$1001,customers!$I$1:$I$1001)</f>
        <v>Yes</v>
      </c>
    </row>
    <row r="281" spans="1:18" x14ac:dyDescent="0.35">
      <c r="A281" s="2" t="s">
        <v>3118</v>
      </c>
      <c r="B281" s="4">
        <v>43814</v>
      </c>
      <c r="C281" s="23">
        <f>Orders[[#This Row],[Order Date]]</f>
        <v>43814</v>
      </c>
      <c r="D281" s="2">
        <f>YEAR(Orders[[#This Row],[Order Date]])</f>
        <v>2019</v>
      </c>
      <c r="E281" s="2" t="s">
        <v>3119</v>
      </c>
      <c r="F281" t="s">
        <v>6149</v>
      </c>
      <c r="G281" s="20">
        <v>1</v>
      </c>
      <c r="H281" s="2" t="str">
        <f>INDEX(customers!$A$1:$I$1001,MATCH($E281,customers!$A$1:$A$1001,),MATCH($H$1,customers!$A$1:$I$1,0))</f>
        <v>Dick Drinkall</v>
      </c>
      <c r="I281" s="2" t="str">
        <f>IF(INDEX(customers!$A$1:$I$1001,MATCH($E281,customers!$A$1:$A$1001,0),3)=0,"",INDEX(customers!$A$1:$I$1001,MATCH($E281,customers!$A$1:$A$1001,0),3))</f>
        <v>ddrinkallcx@psu.edu</v>
      </c>
      <c r="J281" s="2" t="str">
        <f>_xlfn.XLOOKUP(E281,customers!$A$1:$A$1001,customers!$G$1:$G$1001)</f>
        <v>United States</v>
      </c>
      <c r="K281" t="str">
        <f>INDEX(products!$A$1:$G$49,MATCH($F281,products!$A$1:$A$49,0),MATCH(K$1,products!$A$1:$G$1,0))</f>
        <v>Rob</v>
      </c>
      <c r="L281" t="str">
        <f>INDEX(products!$A$1:$G$49,MATCH($F281,products!$A$1:$A$49,0),MATCH(L$1,products!$A$1:$G$1,0))</f>
        <v>D</v>
      </c>
      <c r="M281" s="5">
        <f>INDEX(products!$A$1:$G$49,MATCH($F281,products!$A$1:$A$49,0),MATCH(M$1,products!$A$1:$G$1,0))</f>
        <v>2.5</v>
      </c>
      <c r="N281" s="7">
        <f>INDEX(products!$A$1:$G$49,MATCH($F281,products!$A$1:$A$49,0),MATCH(N$1,products!$A$1:$G$1,0))</f>
        <v>20.584999999999997</v>
      </c>
      <c r="O281" s="7">
        <f t="shared" si="4"/>
        <v>20.584999999999997</v>
      </c>
      <c r="P281" t="str" cm="1">
        <f t="array" ref="P281">_xlfn.IFS(K281="Rob","Robusta",K281="Exc","Excelsa",K281="Ara","Arabica",K281="Lib","Liberica")</f>
        <v>Robusta</v>
      </c>
      <c r="Q281" t="str" cm="1">
        <f t="array" ref="Q281">_xlfn.IFS(L281="M","Medium",L281="L","Light",L281="D","Dark")</f>
        <v>Dark</v>
      </c>
      <c r="R281" t="str">
        <f>_xlfn.XLOOKUP(Orders[[#This Row],[Customer ID]],customers!$A$1:$A$1001,customers!$I$1:$I$1001)</f>
        <v>Yes</v>
      </c>
    </row>
    <row r="282" spans="1:18" x14ac:dyDescent="0.35">
      <c r="A282" s="2" t="s">
        <v>2319</v>
      </c>
      <c r="B282" s="4">
        <v>43666</v>
      </c>
      <c r="C282" s="23">
        <f>Orders[[#This Row],[Order Date]]</f>
        <v>43666</v>
      </c>
      <c r="D282" s="2">
        <f>YEAR(Orders[[#This Row],[Order Date]])</f>
        <v>2019</v>
      </c>
      <c r="E282" s="2" t="s">
        <v>2320</v>
      </c>
      <c r="F282" t="s">
        <v>6141</v>
      </c>
      <c r="G282" s="20">
        <v>1</v>
      </c>
      <c r="H282" s="2" t="str">
        <f>INDEX(customers!$A$1:$I$1001,MATCH($E282,customers!$A$1:$A$1001,),MATCH($H$1,customers!$A$1:$I$1,0))</f>
        <v>Diena Peetermann</v>
      </c>
      <c r="I282" s="2" t="str">
        <f>IF(INDEX(customers!$A$1:$I$1001,MATCH($E282,customers!$A$1:$A$1001,0),3)=0,"",INDEX(customers!$A$1:$I$1001,MATCH($E282,customers!$A$1:$A$1001,0),3))</f>
        <v/>
      </c>
      <c r="J282" s="2" t="str">
        <f>_xlfn.XLOOKUP(E282,customers!$A$1:$A$1001,customers!$G$1:$G$1001)</f>
        <v>United States</v>
      </c>
      <c r="K282" t="str">
        <f>INDEX(products!$A$1:$G$49,MATCH($F282,products!$A$1:$A$49,0),MATCH(K$1,products!$A$1:$G$1,0))</f>
        <v>Exc</v>
      </c>
      <c r="L282" t="str">
        <f>INDEX(products!$A$1:$G$49,MATCH($F282,products!$A$1:$A$49,0),MATCH(L$1,products!$A$1:$G$1,0))</f>
        <v>M</v>
      </c>
      <c r="M282" s="5">
        <f>INDEX(products!$A$1:$G$49,MATCH($F282,products!$A$1:$A$49,0),MATCH(M$1,products!$A$1:$G$1,0))</f>
        <v>1</v>
      </c>
      <c r="N282" s="7">
        <f>INDEX(products!$A$1:$G$49,MATCH($F282,products!$A$1:$A$49,0),MATCH(N$1,products!$A$1:$G$1,0))</f>
        <v>13.75</v>
      </c>
      <c r="O282" s="7">
        <f t="shared" si="4"/>
        <v>13.75</v>
      </c>
      <c r="P282" t="str" cm="1">
        <f t="array" ref="P282">_xlfn.IFS(K282="Rob","Robusta",K282="Exc","Excelsa",K282="Ara","Arabica",K282="Lib","Liberica")</f>
        <v>Excelsa</v>
      </c>
      <c r="Q282" t="str" cm="1">
        <f t="array" ref="Q282">_xlfn.IFS(L282="M","Medium",L282="L","Light",L282="D","Dark")</f>
        <v>Medium</v>
      </c>
      <c r="R282" t="str">
        <f>_xlfn.XLOOKUP(Orders[[#This Row],[Customer ID]],customers!$A$1:$A$1001,customers!$I$1:$I$1001)</f>
        <v>No</v>
      </c>
    </row>
    <row r="283" spans="1:18" x14ac:dyDescent="0.35">
      <c r="A283" s="2" t="s">
        <v>5984</v>
      </c>
      <c r="B283" s="4">
        <v>44411</v>
      </c>
      <c r="C283" s="23">
        <f>Orders[[#This Row],[Order Date]]</f>
        <v>44411</v>
      </c>
      <c r="D283" s="2">
        <f>YEAR(Orders[[#This Row],[Order Date]])</f>
        <v>2021</v>
      </c>
      <c r="E283" s="2" t="s">
        <v>5985</v>
      </c>
      <c r="F283" t="s">
        <v>6182</v>
      </c>
      <c r="G283" s="20">
        <v>3</v>
      </c>
      <c r="H283" s="2" t="str">
        <f>INDEX(customers!$A$1:$I$1001,MATCH($E283,customers!$A$1:$A$1001,),MATCH($H$1,customers!$A$1:$I$1,0))</f>
        <v>Dinah Crutcher</v>
      </c>
      <c r="I283" s="2" t="str">
        <f>IF(INDEX(customers!$A$1:$I$1001,MATCH($E283,customers!$A$1:$A$1001,0),3)=0,"",INDEX(customers!$A$1:$I$1001,MATCH($E283,customers!$A$1:$A$1001,0),3))</f>
        <v/>
      </c>
      <c r="J283" s="2" t="str">
        <f>_xlfn.XLOOKUP(E283,customers!$A$1:$A$1001,customers!$G$1:$G$1001)</f>
        <v>Ireland</v>
      </c>
      <c r="K283" t="str">
        <f>INDEX(products!$A$1:$G$49,MATCH($F283,products!$A$1:$A$49,0),MATCH(K$1,products!$A$1:$G$1,0))</f>
        <v>Ara</v>
      </c>
      <c r="L283" t="str">
        <f>INDEX(products!$A$1:$G$49,MATCH($F283,products!$A$1:$A$49,0),MATCH(L$1,products!$A$1:$G$1,0))</f>
        <v>L</v>
      </c>
      <c r="M283" s="5">
        <f>INDEX(products!$A$1:$G$49,MATCH($F283,products!$A$1:$A$49,0),MATCH(M$1,products!$A$1:$G$1,0))</f>
        <v>2.5</v>
      </c>
      <c r="N283" s="7">
        <f>INDEX(products!$A$1:$G$49,MATCH($F283,products!$A$1:$A$49,0),MATCH(N$1,products!$A$1:$G$1,0))</f>
        <v>29.784999999999997</v>
      </c>
      <c r="O283" s="7">
        <f t="shared" si="4"/>
        <v>89.35499999999999</v>
      </c>
      <c r="P283" t="str" cm="1">
        <f t="array" ref="P283">_xlfn.IFS(K283="Rob","Robusta",K283="Exc","Excelsa",K283="Ara","Arabica",K283="Lib","Liberica")</f>
        <v>Arabica</v>
      </c>
      <c r="Q283" t="str" cm="1">
        <f t="array" ref="Q283">_xlfn.IFS(L283="M","Medium",L283="L","Light",L283="D","Dark")</f>
        <v>Light</v>
      </c>
      <c r="R283" t="str">
        <f>_xlfn.XLOOKUP(Orders[[#This Row],[Customer ID]],customers!$A$1:$A$1001,customers!$I$1:$I$1001)</f>
        <v>Yes</v>
      </c>
    </row>
    <row r="284" spans="1:18" x14ac:dyDescent="0.35">
      <c r="A284" s="2" t="s">
        <v>4383</v>
      </c>
      <c r="B284" s="4">
        <v>44346</v>
      </c>
      <c r="C284" s="23">
        <f>Orders[[#This Row],[Order Date]]</f>
        <v>44346</v>
      </c>
      <c r="D284" s="2">
        <f>YEAR(Orders[[#This Row],[Order Date]])</f>
        <v>2021</v>
      </c>
      <c r="E284" s="2" t="s">
        <v>4384</v>
      </c>
      <c r="F284" t="s">
        <v>6157</v>
      </c>
      <c r="G284" s="20">
        <v>5</v>
      </c>
      <c r="H284" s="2" t="str">
        <f>INDEX(customers!$A$1:$I$1001,MATCH($E284,customers!$A$1:$A$1001,),MATCH($H$1,customers!$A$1:$I$1,0))</f>
        <v>Dionne Skyner</v>
      </c>
      <c r="I284" s="2" t="str">
        <f>IF(INDEX(customers!$A$1:$I$1001,MATCH($E284,customers!$A$1:$A$1001,0),3)=0,"",INDEX(customers!$A$1:$I$1001,MATCH($E284,customers!$A$1:$A$1001,0),3))</f>
        <v>dskynerj5@hubpages.com</v>
      </c>
      <c r="J284" s="2" t="str">
        <f>_xlfn.XLOOKUP(E284,customers!$A$1:$A$1001,customers!$G$1:$G$1001)</f>
        <v>United States</v>
      </c>
      <c r="K284" t="str">
        <f>INDEX(products!$A$1:$G$49,MATCH($F284,products!$A$1:$A$49,0),MATCH(K$1,products!$A$1:$G$1,0))</f>
        <v>Ara</v>
      </c>
      <c r="L284" t="str">
        <f>INDEX(products!$A$1:$G$49,MATCH($F284,products!$A$1:$A$49,0),MATCH(L$1,products!$A$1:$G$1,0))</f>
        <v>M</v>
      </c>
      <c r="M284" s="5">
        <f>INDEX(products!$A$1:$G$49,MATCH($F284,products!$A$1:$A$49,0),MATCH(M$1,products!$A$1:$G$1,0))</f>
        <v>0.5</v>
      </c>
      <c r="N284" s="7">
        <f>INDEX(products!$A$1:$G$49,MATCH($F284,products!$A$1:$A$49,0),MATCH(N$1,products!$A$1:$G$1,0))</f>
        <v>6.75</v>
      </c>
      <c r="O284" s="7">
        <f t="shared" si="4"/>
        <v>33.75</v>
      </c>
      <c r="P284" t="str" cm="1">
        <f t="array" ref="P284">_xlfn.IFS(K284="Rob","Robusta",K284="Exc","Excelsa",K284="Ara","Arabica",K284="Lib","Liberica")</f>
        <v>Arabica</v>
      </c>
      <c r="Q284" t="str" cm="1">
        <f t="array" ref="Q284">_xlfn.IFS(L284="M","Medium",L284="L","Light",L284="D","Dark")</f>
        <v>Medium</v>
      </c>
      <c r="R284" t="str">
        <f>_xlfn.XLOOKUP(Orders[[#This Row],[Customer ID]],customers!$A$1:$A$1001,customers!$I$1:$I$1001)</f>
        <v>No</v>
      </c>
    </row>
    <row r="285" spans="1:18" x14ac:dyDescent="0.35">
      <c r="A285" s="2" t="s">
        <v>1180</v>
      </c>
      <c r="B285" s="4">
        <v>44724</v>
      </c>
      <c r="C285" s="23">
        <f>Orders[[#This Row],[Order Date]]</f>
        <v>44724</v>
      </c>
      <c r="D285" s="2">
        <f>YEAR(Orders[[#This Row],[Order Date]])</f>
        <v>2022</v>
      </c>
      <c r="E285" s="2" t="s">
        <v>1181</v>
      </c>
      <c r="F285" t="s">
        <v>6164</v>
      </c>
      <c r="G285" s="20">
        <v>4</v>
      </c>
      <c r="H285" s="2" t="str">
        <f>INDEX(customers!$A$1:$I$1001,MATCH($E285,customers!$A$1:$A$1001,),MATCH($H$1,customers!$A$1:$I$1,0))</f>
        <v>Doll Beauchamp</v>
      </c>
      <c r="I285" s="2" t="str">
        <f>IF(INDEX(customers!$A$1:$I$1001,MATCH($E285,customers!$A$1:$A$1001,0),3)=0,"",INDEX(customers!$A$1:$I$1001,MATCH($E285,customers!$A$1:$A$1001,0),3))</f>
        <v>dbeauchamp3f@usda.gov</v>
      </c>
      <c r="J285" s="2" t="str">
        <f>_xlfn.XLOOKUP(E285,customers!$A$1:$A$1001,customers!$G$1:$G$1001)</f>
        <v>United States</v>
      </c>
      <c r="K285" t="str">
        <f>INDEX(products!$A$1:$G$49,MATCH($F285,products!$A$1:$A$49,0),MATCH(K$1,products!$A$1:$G$1,0))</f>
        <v>Lib</v>
      </c>
      <c r="L285" t="str">
        <f>INDEX(products!$A$1:$G$49,MATCH($F285,products!$A$1:$A$49,0),MATCH(L$1,products!$A$1:$G$1,0))</f>
        <v>L</v>
      </c>
      <c r="M285" s="5">
        <f>INDEX(products!$A$1:$G$49,MATCH($F285,products!$A$1:$A$49,0),MATCH(M$1,products!$A$1:$G$1,0))</f>
        <v>2.5</v>
      </c>
      <c r="N285" s="7">
        <f>INDEX(products!$A$1:$G$49,MATCH($F285,products!$A$1:$A$49,0),MATCH(N$1,products!$A$1:$G$1,0))</f>
        <v>36.454999999999998</v>
      </c>
      <c r="O285" s="7">
        <f t="shared" si="4"/>
        <v>145.82</v>
      </c>
      <c r="P285" t="str" cm="1">
        <f t="array" ref="P285">_xlfn.IFS(K285="Rob","Robusta",K285="Exc","Excelsa",K285="Ara","Arabica",K285="Lib","Liberica")</f>
        <v>Liberica</v>
      </c>
      <c r="Q285" t="str" cm="1">
        <f t="array" ref="Q285">_xlfn.IFS(L285="M","Medium",L285="L","Light",L285="D","Dark")</f>
        <v>Light</v>
      </c>
      <c r="R285" t="str">
        <f>_xlfn.XLOOKUP(Orders[[#This Row],[Customer ID]],customers!$A$1:$A$1001,customers!$I$1:$I$1001)</f>
        <v>No</v>
      </c>
    </row>
    <row r="286" spans="1:18" x14ac:dyDescent="0.35">
      <c r="A286" s="2" t="s">
        <v>4211</v>
      </c>
      <c r="B286" s="4">
        <v>44693</v>
      </c>
      <c r="C286" s="23">
        <f>Orders[[#This Row],[Order Date]]</f>
        <v>44693</v>
      </c>
      <c r="D286" s="2">
        <f>YEAR(Orders[[#This Row],[Order Date]])</f>
        <v>2022</v>
      </c>
      <c r="E286" s="2" t="s">
        <v>4212</v>
      </c>
      <c r="F286" t="s">
        <v>6168</v>
      </c>
      <c r="G286" s="20">
        <v>2</v>
      </c>
      <c r="H286" s="2" t="str">
        <f>INDEX(customers!$A$1:$I$1001,MATCH($E286,customers!$A$1:$A$1001,),MATCH($H$1,customers!$A$1:$I$1,0))</f>
        <v>Dollie Gadsden</v>
      </c>
      <c r="I286" s="2" t="str">
        <f>IF(INDEX(customers!$A$1:$I$1001,MATCH($E286,customers!$A$1:$A$1001,0),3)=0,"",INDEX(customers!$A$1:$I$1001,MATCH($E286,customers!$A$1:$A$1001,0),3))</f>
        <v>dgadsdenib@google.com.hk</v>
      </c>
      <c r="J286" s="2" t="str">
        <f>_xlfn.XLOOKUP(E286,customers!$A$1:$A$1001,customers!$G$1:$G$1001)</f>
        <v>Ireland</v>
      </c>
      <c r="K286" t="str">
        <f>INDEX(products!$A$1:$G$49,MATCH($F286,products!$A$1:$A$49,0),MATCH(K$1,products!$A$1:$G$1,0))</f>
        <v>Ara</v>
      </c>
      <c r="L286" t="str">
        <f>INDEX(products!$A$1:$G$49,MATCH($F286,products!$A$1:$A$49,0),MATCH(L$1,products!$A$1:$G$1,0))</f>
        <v>D</v>
      </c>
      <c r="M286" s="5">
        <f>INDEX(products!$A$1:$G$49,MATCH($F286,products!$A$1:$A$49,0),MATCH(M$1,products!$A$1:$G$1,0))</f>
        <v>2.5</v>
      </c>
      <c r="N286" s="7">
        <f>INDEX(products!$A$1:$G$49,MATCH($F286,products!$A$1:$A$49,0),MATCH(N$1,products!$A$1:$G$1,0))</f>
        <v>22.884999999999998</v>
      </c>
      <c r="O286" s="7">
        <f t="shared" si="4"/>
        <v>45.769999999999996</v>
      </c>
      <c r="P286" t="str" cm="1">
        <f t="array" ref="P286">_xlfn.IFS(K286="Rob","Robusta",K286="Exc","Excelsa",K286="Ara","Arabica",K286="Lib","Liberica")</f>
        <v>Arabica</v>
      </c>
      <c r="Q286" t="str" cm="1">
        <f t="array" ref="Q286">_xlfn.IFS(L286="M","Medium",L286="L","Light",L286="D","Dark")</f>
        <v>Dark</v>
      </c>
      <c r="R286" t="str">
        <f>_xlfn.XLOOKUP(Orders[[#This Row],[Customer ID]],customers!$A$1:$A$1001,customers!$I$1:$I$1001)</f>
        <v>Yes</v>
      </c>
    </row>
    <row r="287" spans="1:18" x14ac:dyDescent="0.35">
      <c r="A287" s="2" t="s">
        <v>5731</v>
      </c>
      <c r="B287" s="4">
        <v>43474</v>
      </c>
      <c r="C287" s="23">
        <f>Orders[[#This Row],[Order Date]]</f>
        <v>43474</v>
      </c>
      <c r="D287" s="2">
        <f>YEAR(Orders[[#This Row],[Order Date]])</f>
        <v>2019</v>
      </c>
      <c r="E287" s="2" t="s">
        <v>5732</v>
      </c>
      <c r="F287" t="s">
        <v>6185</v>
      </c>
      <c r="G287" s="20">
        <v>4</v>
      </c>
      <c r="H287" s="2" t="str">
        <f>INDEX(customers!$A$1:$I$1001,MATCH($E287,customers!$A$1:$A$1001,),MATCH($H$1,customers!$A$1:$I$1,0))</f>
        <v>Dolores Duffie</v>
      </c>
      <c r="I287" s="2" t="str">
        <f>IF(INDEX(customers!$A$1:$I$1001,MATCH($E287,customers!$A$1:$A$1001,0),3)=0,"",INDEX(customers!$A$1:$I$1001,MATCH($E287,customers!$A$1:$A$1001,0),3))</f>
        <v>dduffiepr@time.com</v>
      </c>
      <c r="J287" s="2" t="str">
        <f>_xlfn.XLOOKUP(E287,customers!$A$1:$A$1001,customers!$G$1:$G$1001)</f>
        <v>United States</v>
      </c>
      <c r="K287" t="str">
        <f>INDEX(products!$A$1:$G$49,MATCH($F287,products!$A$1:$A$49,0),MATCH(K$1,products!$A$1:$G$1,0))</f>
        <v>Exc</v>
      </c>
      <c r="L287" t="str">
        <f>INDEX(products!$A$1:$G$49,MATCH($F287,products!$A$1:$A$49,0),MATCH(L$1,products!$A$1:$G$1,0))</f>
        <v>D</v>
      </c>
      <c r="M287" s="5">
        <f>INDEX(products!$A$1:$G$49,MATCH($F287,products!$A$1:$A$49,0),MATCH(M$1,products!$A$1:$G$1,0))</f>
        <v>2.5</v>
      </c>
      <c r="N287" s="7">
        <f>INDEX(products!$A$1:$G$49,MATCH($F287,products!$A$1:$A$49,0),MATCH(N$1,products!$A$1:$G$1,0))</f>
        <v>27.945</v>
      </c>
      <c r="O287" s="7">
        <f t="shared" si="4"/>
        <v>111.78</v>
      </c>
      <c r="P287" t="str" cm="1">
        <f t="array" ref="P287">_xlfn.IFS(K287="Rob","Robusta",K287="Exc","Excelsa",K287="Ara","Arabica",K287="Lib","Liberica")</f>
        <v>Excelsa</v>
      </c>
      <c r="Q287" t="str" cm="1">
        <f t="array" ref="Q287">_xlfn.IFS(L287="M","Medium",L287="L","Light",L287="D","Dark")</f>
        <v>Dark</v>
      </c>
      <c r="R287" t="str">
        <f>_xlfn.XLOOKUP(Orders[[#This Row],[Customer ID]],customers!$A$1:$A$1001,customers!$I$1:$I$1001)</f>
        <v>No</v>
      </c>
    </row>
    <row r="288" spans="1:18" x14ac:dyDescent="0.35">
      <c r="A288" s="2" t="s">
        <v>3577</v>
      </c>
      <c r="B288" s="4">
        <v>44127</v>
      </c>
      <c r="C288" s="23">
        <f>Orders[[#This Row],[Order Date]]</f>
        <v>44127</v>
      </c>
      <c r="D288" s="2">
        <f>YEAR(Orders[[#This Row],[Order Date]])</f>
        <v>2020</v>
      </c>
      <c r="E288" s="2" t="s">
        <v>3578</v>
      </c>
      <c r="F288" t="s">
        <v>6185</v>
      </c>
      <c r="G288" s="20">
        <v>3</v>
      </c>
      <c r="H288" s="2" t="str">
        <f>INDEX(customers!$A$1:$I$1001,MATCH($E288,customers!$A$1:$A$1001,),MATCH($H$1,customers!$A$1:$I$1,0))</f>
        <v>Dom Milella</v>
      </c>
      <c r="I288" s="2" t="str">
        <f>IF(INDEX(customers!$A$1:$I$1001,MATCH($E288,customers!$A$1:$A$1001,0),3)=0,"",INDEX(customers!$A$1:$I$1001,MATCH($E288,customers!$A$1:$A$1001,0),3))</f>
        <v/>
      </c>
      <c r="J288" s="2" t="str">
        <f>_xlfn.XLOOKUP(E288,customers!$A$1:$A$1001,customers!$G$1:$G$1001)</f>
        <v>Ireland</v>
      </c>
      <c r="K288" t="str">
        <f>INDEX(products!$A$1:$G$49,MATCH($F288,products!$A$1:$A$49,0),MATCH(K$1,products!$A$1:$G$1,0))</f>
        <v>Exc</v>
      </c>
      <c r="L288" t="str">
        <f>INDEX(products!$A$1:$G$49,MATCH($F288,products!$A$1:$A$49,0),MATCH(L$1,products!$A$1:$G$1,0))</f>
        <v>D</v>
      </c>
      <c r="M288" s="5">
        <f>INDEX(products!$A$1:$G$49,MATCH($F288,products!$A$1:$A$49,0),MATCH(M$1,products!$A$1:$G$1,0))</f>
        <v>2.5</v>
      </c>
      <c r="N288" s="7">
        <f>INDEX(products!$A$1:$G$49,MATCH($F288,products!$A$1:$A$49,0),MATCH(N$1,products!$A$1:$G$1,0))</f>
        <v>27.945</v>
      </c>
      <c r="O288" s="7">
        <f t="shared" si="4"/>
        <v>83.835000000000008</v>
      </c>
      <c r="P288" t="str" cm="1">
        <f t="array" ref="P288">_xlfn.IFS(K288="Rob","Robusta",K288="Exc","Excelsa",K288="Ara","Arabica",K288="Lib","Liberica")</f>
        <v>Excelsa</v>
      </c>
      <c r="Q288" t="str" cm="1">
        <f t="array" ref="Q288">_xlfn.IFS(L288="M","Medium",L288="L","Light",L288="D","Dark")</f>
        <v>Dark</v>
      </c>
      <c r="R288" t="str">
        <f>_xlfn.XLOOKUP(Orders[[#This Row],[Customer ID]],customers!$A$1:$A$1001,customers!$I$1:$I$1001)</f>
        <v>No</v>
      </c>
    </row>
    <row r="289" spans="1:18" x14ac:dyDescent="0.35">
      <c r="A289" s="2" t="s">
        <v>2127</v>
      </c>
      <c r="B289" s="4">
        <v>44497</v>
      </c>
      <c r="C289" s="23">
        <f>Orders[[#This Row],[Order Date]]</f>
        <v>44497</v>
      </c>
      <c r="D289" s="2">
        <f>YEAR(Orders[[#This Row],[Order Date]])</f>
        <v>2021</v>
      </c>
      <c r="E289" s="2" t="s">
        <v>2128</v>
      </c>
      <c r="F289" t="s">
        <v>6147</v>
      </c>
      <c r="G289" s="20">
        <v>5</v>
      </c>
      <c r="H289" s="2" t="str">
        <f>INDEX(customers!$A$1:$I$1001,MATCH($E289,customers!$A$1:$A$1001,),MATCH($H$1,customers!$A$1:$I$1,0))</f>
        <v>Domeniga Duke</v>
      </c>
      <c r="I289" s="2" t="str">
        <f>IF(INDEX(customers!$A$1:$I$1001,MATCH($E289,customers!$A$1:$A$1001,0),3)=0,"",INDEX(customers!$A$1:$I$1001,MATCH($E289,customers!$A$1:$A$1001,0),3))</f>
        <v>dduke82@vkontakte.ru</v>
      </c>
      <c r="J289" s="2" t="str">
        <f>_xlfn.XLOOKUP(E289,customers!$A$1:$A$1001,customers!$G$1:$G$1001)</f>
        <v>United States</v>
      </c>
      <c r="K289" t="str">
        <f>INDEX(products!$A$1:$G$49,MATCH($F289,products!$A$1:$A$49,0),MATCH(K$1,products!$A$1:$G$1,0))</f>
        <v>Ara</v>
      </c>
      <c r="L289" t="str">
        <f>INDEX(products!$A$1:$G$49,MATCH($F289,products!$A$1:$A$49,0),MATCH(L$1,products!$A$1:$G$1,0))</f>
        <v>D</v>
      </c>
      <c r="M289" s="5">
        <f>INDEX(products!$A$1:$G$49,MATCH($F289,products!$A$1:$A$49,0),MATCH(M$1,products!$A$1:$G$1,0))</f>
        <v>1</v>
      </c>
      <c r="N289" s="7">
        <f>INDEX(products!$A$1:$G$49,MATCH($F289,products!$A$1:$A$49,0),MATCH(N$1,products!$A$1:$G$1,0))</f>
        <v>9.9499999999999993</v>
      </c>
      <c r="O289" s="7">
        <f t="shared" si="4"/>
        <v>49.75</v>
      </c>
      <c r="P289" t="str" cm="1">
        <f t="array" ref="P289">_xlfn.IFS(K289="Rob","Robusta",K289="Exc","Excelsa",K289="Ara","Arabica",K289="Lib","Liberica")</f>
        <v>Arabica</v>
      </c>
      <c r="Q289" t="str" cm="1">
        <f t="array" ref="Q289">_xlfn.IFS(L289="M","Medium",L289="L","Light",L289="D","Dark")</f>
        <v>Dark</v>
      </c>
      <c r="R289" t="str">
        <f>_xlfn.XLOOKUP(Orders[[#This Row],[Customer ID]],customers!$A$1:$A$1001,customers!$I$1:$I$1001)</f>
        <v>No</v>
      </c>
    </row>
    <row r="290" spans="1:18" x14ac:dyDescent="0.35">
      <c r="A290" s="2" t="s">
        <v>3751</v>
      </c>
      <c r="B290" s="4">
        <v>44410</v>
      </c>
      <c r="C290" s="23">
        <f>Orders[[#This Row],[Order Date]]</f>
        <v>44410</v>
      </c>
      <c r="D290" s="2">
        <f>YEAR(Orders[[#This Row],[Order Date]])</f>
        <v>2021</v>
      </c>
      <c r="E290" s="2" t="s">
        <v>3752</v>
      </c>
      <c r="F290" t="s">
        <v>6162</v>
      </c>
      <c r="G290" s="20">
        <v>4</v>
      </c>
      <c r="H290" s="2" t="str">
        <f>INDEX(customers!$A$1:$I$1001,MATCH($E290,customers!$A$1:$A$1001,),MATCH($H$1,customers!$A$1:$I$1,0))</f>
        <v>Don Flintiff</v>
      </c>
      <c r="I290" s="2" t="str">
        <f>IF(INDEX(customers!$A$1:$I$1001,MATCH($E290,customers!$A$1:$A$1001,0),3)=0,"",INDEX(customers!$A$1:$I$1001,MATCH($E290,customers!$A$1:$A$1001,0),3))</f>
        <v>dflintiffg1@e-recht24.de</v>
      </c>
      <c r="J290" s="2" t="str">
        <f>_xlfn.XLOOKUP(E290,customers!$A$1:$A$1001,customers!$G$1:$G$1001)</f>
        <v>United Kingdom</v>
      </c>
      <c r="K290" t="str">
        <f>INDEX(products!$A$1:$G$49,MATCH($F290,products!$A$1:$A$49,0),MATCH(K$1,products!$A$1:$G$1,0))</f>
        <v>Lib</v>
      </c>
      <c r="L290" t="str">
        <f>INDEX(products!$A$1:$G$49,MATCH($F290,products!$A$1:$A$49,0),MATCH(L$1,products!$A$1:$G$1,0))</f>
        <v>M</v>
      </c>
      <c r="M290" s="5">
        <f>INDEX(products!$A$1:$G$49,MATCH($F290,products!$A$1:$A$49,0),MATCH(M$1,products!$A$1:$G$1,0))</f>
        <v>1</v>
      </c>
      <c r="N290" s="7">
        <f>INDEX(products!$A$1:$G$49,MATCH($F290,products!$A$1:$A$49,0),MATCH(N$1,products!$A$1:$G$1,0))</f>
        <v>14.55</v>
      </c>
      <c r="O290" s="7">
        <f t="shared" si="4"/>
        <v>58.2</v>
      </c>
      <c r="P290" t="str" cm="1">
        <f t="array" ref="P290">_xlfn.IFS(K290="Rob","Robusta",K290="Exc","Excelsa",K290="Ara","Arabica",K290="Lib","Liberica")</f>
        <v>Liberica</v>
      </c>
      <c r="Q290" t="str" cm="1">
        <f t="array" ref="Q290">_xlfn.IFS(L290="M","Medium",L290="L","Light",L290="D","Dark")</f>
        <v>Medium</v>
      </c>
      <c r="R290" t="str">
        <f>_xlfn.XLOOKUP(Orders[[#This Row],[Customer ID]],customers!$A$1:$A$1001,customers!$I$1:$I$1001)</f>
        <v>No</v>
      </c>
    </row>
    <row r="291" spans="1:18" x14ac:dyDescent="0.35">
      <c r="A291" s="2" t="s">
        <v>3671</v>
      </c>
      <c r="B291" s="4">
        <v>43991</v>
      </c>
      <c r="C291" s="23">
        <f>Orders[[#This Row],[Order Date]]</f>
        <v>43991</v>
      </c>
      <c r="D291" s="2">
        <f>YEAR(Orders[[#This Row],[Order Date]])</f>
        <v>2020</v>
      </c>
      <c r="E291" s="2" t="s">
        <v>3752</v>
      </c>
      <c r="F291" t="s">
        <v>6141</v>
      </c>
      <c r="G291" s="20">
        <v>6</v>
      </c>
      <c r="H291" s="2" t="str">
        <f>INDEX(customers!$A$1:$I$1001,MATCH($E291,customers!$A$1:$A$1001,),MATCH($H$1,customers!$A$1:$I$1,0))</f>
        <v>Don Flintiff</v>
      </c>
      <c r="I291" s="2" t="str">
        <f>IF(INDEX(customers!$A$1:$I$1001,MATCH($E291,customers!$A$1:$A$1001,0),3)=0,"",INDEX(customers!$A$1:$I$1001,MATCH($E291,customers!$A$1:$A$1001,0),3))</f>
        <v>dflintiffg1@e-recht24.de</v>
      </c>
      <c r="J291" s="2" t="str">
        <f>_xlfn.XLOOKUP(E291,customers!$A$1:$A$1001,customers!$G$1:$G$1001)</f>
        <v>United Kingdom</v>
      </c>
      <c r="K291" t="str">
        <f>INDEX(products!$A$1:$G$49,MATCH($F291,products!$A$1:$A$49,0),MATCH(K$1,products!$A$1:$G$1,0))</f>
        <v>Exc</v>
      </c>
      <c r="L291" t="str">
        <f>INDEX(products!$A$1:$G$49,MATCH($F291,products!$A$1:$A$49,0),MATCH(L$1,products!$A$1:$G$1,0))</f>
        <v>M</v>
      </c>
      <c r="M291" s="5">
        <f>INDEX(products!$A$1:$G$49,MATCH($F291,products!$A$1:$A$49,0),MATCH(M$1,products!$A$1:$G$1,0))</f>
        <v>1</v>
      </c>
      <c r="N291" s="7">
        <f>INDEX(products!$A$1:$G$49,MATCH($F291,products!$A$1:$A$49,0),MATCH(N$1,products!$A$1:$G$1,0))</f>
        <v>13.75</v>
      </c>
      <c r="O291" s="7">
        <f t="shared" si="4"/>
        <v>82.5</v>
      </c>
      <c r="P291" t="str" cm="1">
        <f t="array" ref="P291">_xlfn.IFS(K291="Rob","Robusta",K291="Exc","Excelsa",K291="Ara","Arabica",K291="Lib","Liberica")</f>
        <v>Excelsa</v>
      </c>
      <c r="Q291" t="str" cm="1">
        <f t="array" ref="Q291">_xlfn.IFS(L291="M","Medium",L291="L","Light",L291="D","Dark")</f>
        <v>Medium</v>
      </c>
      <c r="R291" t="str">
        <f>_xlfn.XLOOKUP(Orders[[#This Row],[Customer ID]],customers!$A$1:$A$1001,customers!$I$1:$I$1001)</f>
        <v>No</v>
      </c>
    </row>
    <row r="292" spans="1:18" x14ac:dyDescent="0.35">
      <c r="A292" s="2" t="s">
        <v>3706</v>
      </c>
      <c r="B292" s="4">
        <v>43879</v>
      </c>
      <c r="C292" s="23">
        <f>Orders[[#This Row],[Order Date]]</f>
        <v>43879</v>
      </c>
      <c r="D292" s="2">
        <f>YEAR(Orders[[#This Row],[Order Date]])</f>
        <v>2020</v>
      </c>
      <c r="E292" s="2" t="s">
        <v>3752</v>
      </c>
      <c r="F292" t="s">
        <v>6168</v>
      </c>
      <c r="G292" s="20">
        <v>6</v>
      </c>
      <c r="H292" s="2" t="str">
        <f>INDEX(customers!$A$1:$I$1001,MATCH($E292,customers!$A$1:$A$1001,),MATCH($H$1,customers!$A$1:$I$1,0))</f>
        <v>Don Flintiff</v>
      </c>
      <c r="I292" s="2" t="str">
        <f>IF(INDEX(customers!$A$1:$I$1001,MATCH($E292,customers!$A$1:$A$1001,0),3)=0,"",INDEX(customers!$A$1:$I$1001,MATCH($E292,customers!$A$1:$A$1001,0),3))</f>
        <v>dflintiffg1@e-recht24.de</v>
      </c>
      <c r="J292" s="2" t="str">
        <f>_xlfn.XLOOKUP(E292,customers!$A$1:$A$1001,customers!$G$1:$G$1001)</f>
        <v>United Kingdom</v>
      </c>
      <c r="K292" t="str">
        <f>INDEX(products!$A$1:$G$49,MATCH($F292,products!$A$1:$A$49,0),MATCH(K$1,products!$A$1:$G$1,0))</f>
        <v>Ara</v>
      </c>
      <c r="L292" t="str">
        <f>INDEX(products!$A$1:$G$49,MATCH($F292,products!$A$1:$A$49,0),MATCH(L$1,products!$A$1:$G$1,0))</f>
        <v>D</v>
      </c>
      <c r="M292" s="5">
        <f>INDEX(products!$A$1:$G$49,MATCH($F292,products!$A$1:$A$49,0),MATCH(M$1,products!$A$1:$G$1,0))</f>
        <v>2.5</v>
      </c>
      <c r="N292" s="7">
        <f>INDEX(products!$A$1:$G$49,MATCH($F292,products!$A$1:$A$49,0),MATCH(N$1,products!$A$1:$G$1,0))</f>
        <v>22.884999999999998</v>
      </c>
      <c r="O292" s="7">
        <f t="shared" si="4"/>
        <v>137.31</v>
      </c>
      <c r="P292" t="str" cm="1">
        <f t="array" ref="P292">_xlfn.IFS(K292="Rob","Robusta",K292="Exc","Excelsa",K292="Ara","Arabica",K292="Lib","Liberica")</f>
        <v>Arabica</v>
      </c>
      <c r="Q292" t="str" cm="1">
        <f t="array" ref="Q292">_xlfn.IFS(L292="M","Medium",L292="L","Light",L292="D","Dark")</f>
        <v>Dark</v>
      </c>
      <c r="R292" t="str">
        <f>_xlfn.XLOOKUP(Orders[[#This Row],[Customer ID]],customers!$A$1:$A$1001,customers!$I$1:$I$1001)</f>
        <v>No</v>
      </c>
    </row>
    <row r="293" spans="1:18" x14ac:dyDescent="0.35">
      <c r="A293" s="2" t="s">
        <v>3712</v>
      </c>
      <c r="B293" s="4">
        <v>43928</v>
      </c>
      <c r="C293" s="23">
        <f>Orders[[#This Row],[Order Date]]</f>
        <v>43928</v>
      </c>
      <c r="D293" s="2">
        <f>YEAR(Orders[[#This Row],[Order Date]])</f>
        <v>2020</v>
      </c>
      <c r="E293" s="2" t="s">
        <v>3713</v>
      </c>
      <c r="F293" t="s">
        <v>6157</v>
      </c>
      <c r="G293" s="20">
        <v>4</v>
      </c>
      <c r="H293" s="2" t="str">
        <f>INDEX(customers!$A$1:$I$1001,MATCH($E293,customers!$A$1:$A$1001,),MATCH($H$1,customers!$A$1:$I$1,0))</f>
        <v>Donalt Sangwin</v>
      </c>
      <c r="I293" s="2" t="str">
        <f>IF(INDEX(customers!$A$1:$I$1001,MATCH($E293,customers!$A$1:$A$1001,0),3)=0,"",INDEX(customers!$A$1:$I$1001,MATCH($E293,customers!$A$1:$A$1001,0),3))</f>
        <v>dsangwinfu@weebly.com</v>
      </c>
      <c r="J293" s="2" t="str">
        <f>_xlfn.XLOOKUP(E293,customers!$A$1:$A$1001,customers!$G$1:$G$1001)</f>
        <v>United States</v>
      </c>
      <c r="K293" t="str">
        <f>INDEX(products!$A$1:$G$49,MATCH($F293,products!$A$1:$A$49,0),MATCH(K$1,products!$A$1:$G$1,0))</f>
        <v>Ara</v>
      </c>
      <c r="L293" t="str">
        <f>INDEX(products!$A$1:$G$49,MATCH($F293,products!$A$1:$A$49,0),MATCH(L$1,products!$A$1:$G$1,0))</f>
        <v>M</v>
      </c>
      <c r="M293" s="5">
        <f>INDEX(products!$A$1:$G$49,MATCH($F293,products!$A$1:$A$49,0),MATCH(M$1,products!$A$1:$G$1,0))</f>
        <v>0.5</v>
      </c>
      <c r="N293" s="7">
        <f>INDEX(products!$A$1:$G$49,MATCH($F293,products!$A$1:$A$49,0),MATCH(N$1,products!$A$1:$G$1,0))</f>
        <v>6.75</v>
      </c>
      <c r="O293" s="7">
        <f t="shared" si="4"/>
        <v>27</v>
      </c>
      <c r="P293" t="str" cm="1">
        <f t="array" ref="P293">_xlfn.IFS(K293="Rob","Robusta",K293="Exc","Excelsa",K293="Ara","Arabica",K293="Lib","Liberica")</f>
        <v>Arabica</v>
      </c>
      <c r="Q293" t="str" cm="1">
        <f t="array" ref="Q293">_xlfn.IFS(L293="M","Medium",L293="L","Light",L293="D","Dark")</f>
        <v>Medium</v>
      </c>
      <c r="R293" t="str">
        <f>_xlfn.XLOOKUP(Orders[[#This Row],[Customer ID]],customers!$A$1:$A$1001,customers!$I$1:$I$1001)</f>
        <v>No</v>
      </c>
    </row>
    <row r="294" spans="1:18" x14ac:dyDescent="0.35">
      <c r="A294" s="2" t="s">
        <v>3895</v>
      </c>
      <c r="B294" s="4">
        <v>43660</v>
      </c>
      <c r="C294" s="23">
        <f>Orders[[#This Row],[Order Date]]</f>
        <v>43660</v>
      </c>
      <c r="D294" s="2">
        <f>YEAR(Orders[[#This Row],[Order Date]])</f>
        <v>2019</v>
      </c>
      <c r="E294" s="2" t="s">
        <v>3896</v>
      </c>
      <c r="F294" t="s">
        <v>6174</v>
      </c>
      <c r="G294" s="20">
        <v>3</v>
      </c>
      <c r="H294" s="2" t="str">
        <f>INDEX(customers!$A$1:$I$1001,MATCH($E294,customers!$A$1:$A$1001,),MATCH($H$1,customers!$A$1:$I$1,0))</f>
        <v>Donavon Fowle</v>
      </c>
      <c r="I294" s="2" t="str">
        <f>IF(INDEX(customers!$A$1:$I$1001,MATCH($E294,customers!$A$1:$A$1001,0),3)=0,"",INDEX(customers!$A$1:$I$1001,MATCH($E294,customers!$A$1:$A$1001,0),3))</f>
        <v>dfowlegr@epa.gov</v>
      </c>
      <c r="J294" s="2" t="str">
        <f>_xlfn.XLOOKUP(E294,customers!$A$1:$A$1001,customers!$G$1:$G$1001)</f>
        <v>United States</v>
      </c>
      <c r="K294" t="str">
        <f>INDEX(products!$A$1:$G$49,MATCH($F294,products!$A$1:$A$49,0),MATCH(K$1,products!$A$1:$G$1,0))</f>
        <v>Rob</v>
      </c>
      <c r="L294" t="str">
        <f>INDEX(products!$A$1:$G$49,MATCH($F294,products!$A$1:$A$49,0),MATCH(L$1,products!$A$1:$G$1,0))</f>
        <v>M</v>
      </c>
      <c r="M294" s="5">
        <f>INDEX(products!$A$1:$G$49,MATCH($F294,products!$A$1:$A$49,0),MATCH(M$1,products!$A$1:$G$1,0))</f>
        <v>0.2</v>
      </c>
      <c r="N294" s="7">
        <f>INDEX(products!$A$1:$G$49,MATCH($F294,products!$A$1:$A$49,0),MATCH(N$1,products!$A$1:$G$1,0))</f>
        <v>2.9849999999999999</v>
      </c>
      <c r="O294" s="7">
        <f t="shared" si="4"/>
        <v>8.9550000000000001</v>
      </c>
      <c r="P294" t="str" cm="1">
        <f t="array" ref="P294">_xlfn.IFS(K294="Rob","Robusta",K294="Exc","Excelsa",K294="Ara","Arabica",K294="Lib","Liberica")</f>
        <v>Robusta</v>
      </c>
      <c r="Q294" t="str" cm="1">
        <f t="array" ref="Q294">_xlfn.IFS(L294="M","Medium",L294="L","Light",L294="D","Dark")</f>
        <v>Medium</v>
      </c>
      <c r="R294" t="str">
        <f>_xlfn.XLOOKUP(Orders[[#This Row],[Customer ID]],customers!$A$1:$A$1001,customers!$I$1:$I$1001)</f>
        <v>No</v>
      </c>
    </row>
    <row r="295" spans="1:18" x14ac:dyDescent="0.35">
      <c r="A295" s="2" t="s">
        <v>2313</v>
      </c>
      <c r="B295" s="4">
        <v>44373</v>
      </c>
      <c r="C295" s="23">
        <f>Orders[[#This Row],[Order Date]]</f>
        <v>44373</v>
      </c>
      <c r="D295" s="2">
        <f>YEAR(Orders[[#This Row],[Order Date]])</f>
        <v>2021</v>
      </c>
      <c r="E295" s="2" t="s">
        <v>2314</v>
      </c>
      <c r="F295" t="s">
        <v>6153</v>
      </c>
      <c r="G295" s="20">
        <v>5</v>
      </c>
      <c r="H295" s="2" t="str">
        <f>INDEX(customers!$A$1:$I$1001,MATCH($E295,customers!$A$1:$A$1001,),MATCH($H$1,customers!$A$1:$I$1,0))</f>
        <v>Donica Bonhome</v>
      </c>
      <c r="I295" s="2" t="str">
        <f>IF(INDEX(customers!$A$1:$I$1001,MATCH($E295,customers!$A$1:$A$1001,0),3)=0,"",INDEX(customers!$A$1:$I$1001,MATCH($E295,customers!$A$1:$A$1001,0),3))</f>
        <v>dbonhome8z@shinystat.com</v>
      </c>
      <c r="J295" s="2" t="str">
        <f>_xlfn.XLOOKUP(E295,customers!$A$1:$A$1001,customers!$G$1:$G$1001)</f>
        <v>United States</v>
      </c>
      <c r="K295" t="str">
        <f>INDEX(products!$A$1:$G$49,MATCH($F295,products!$A$1:$A$49,0),MATCH(K$1,products!$A$1:$G$1,0))</f>
        <v>Exc</v>
      </c>
      <c r="L295" t="str">
        <f>INDEX(products!$A$1:$G$49,MATCH($F295,products!$A$1:$A$49,0),MATCH(L$1,products!$A$1:$G$1,0))</f>
        <v>D</v>
      </c>
      <c r="M295" s="5">
        <f>INDEX(products!$A$1:$G$49,MATCH($F295,products!$A$1:$A$49,0),MATCH(M$1,products!$A$1:$G$1,0))</f>
        <v>0.2</v>
      </c>
      <c r="N295" s="7">
        <f>INDEX(products!$A$1:$G$49,MATCH($F295,products!$A$1:$A$49,0),MATCH(N$1,products!$A$1:$G$1,0))</f>
        <v>3.645</v>
      </c>
      <c r="O295" s="7">
        <f t="shared" si="4"/>
        <v>18.225000000000001</v>
      </c>
      <c r="P295" t="str" cm="1">
        <f t="array" ref="P295">_xlfn.IFS(K295="Rob","Robusta",K295="Exc","Excelsa",K295="Ara","Arabica",K295="Lib","Liberica")</f>
        <v>Excelsa</v>
      </c>
      <c r="Q295" t="str" cm="1">
        <f t="array" ref="Q295">_xlfn.IFS(L295="M","Medium",L295="L","Light",L295="D","Dark")</f>
        <v>Dark</v>
      </c>
      <c r="R295" t="str">
        <f>_xlfn.XLOOKUP(Orders[[#This Row],[Customer ID]],customers!$A$1:$A$1001,customers!$I$1:$I$1001)</f>
        <v>Yes</v>
      </c>
    </row>
    <row r="296" spans="1:18" x14ac:dyDescent="0.35">
      <c r="A296" s="2" t="s">
        <v>750</v>
      </c>
      <c r="B296" s="4">
        <v>43776</v>
      </c>
      <c r="C296" s="23">
        <f>Orders[[#This Row],[Order Date]]</f>
        <v>43776</v>
      </c>
      <c r="D296" s="2">
        <f>YEAR(Orders[[#This Row],[Order Date]])</f>
        <v>2019</v>
      </c>
      <c r="E296" s="2" t="s">
        <v>751</v>
      </c>
      <c r="F296" t="s">
        <v>6166</v>
      </c>
      <c r="G296" s="20">
        <v>2</v>
      </c>
      <c r="H296" s="2" t="str">
        <f>INDEX(customers!$A$1:$I$1001,MATCH($E296,customers!$A$1:$A$1001,),MATCH($H$1,customers!$A$1:$I$1,0))</f>
        <v>Donna Baskeyfied</v>
      </c>
      <c r="I296" s="2" t="str">
        <f>IF(INDEX(customers!$A$1:$I$1001,MATCH($E296,customers!$A$1:$A$1001,0),3)=0,"",INDEX(customers!$A$1:$I$1001,MATCH($E296,customers!$A$1:$A$1001,0),3))</f>
        <v/>
      </c>
      <c r="J296" s="2" t="str">
        <f>_xlfn.XLOOKUP(E296,customers!$A$1:$A$1001,customers!$G$1:$G$1001)</f>
        <v>United States</v>
      </c>
      <c r="K296" t="str">
        <f>INDEX(products!$A$1:$G$49,MATCH($F296,products!$A$1:$A$49,0),MATCH(K$1,products!$A$1:$G$1,0))</f>
        <v>Exc</v>
      </c>
      <c r="L296" t="str">
        <f>INDEX(products!$A$1:$G$49,MATCH($F296,products!$A$1:$A$49,0),MATCH(L$1,products!$A$1:$G$1,0))</f>
        <v>M</v>
      </c>
      <c r="M296" s="5">
        <f>INDEX(products!$A$1:$G$49,MATCH($F296,products!$A$1:$A$49,0),MATCH(M$1,products!$A$1:$G$1,0))</f>
        <v>2.5</v>
      </c>
      <c r="N296" s="7">
        <f>INDEX(products!$A$1:$G$49,MATCH($F296,products!$A$1:$A$49,0),MATCH(N$1,products!$A$1:$G$1,0))</f>
        <v>31.624999999999996</v>
      </c>
      <c r="O296" s="7">
        <f t="shared" si="4"/>
        <v>63.249999999999993</v>
      </c>
      <c r="P296" t="str" cm="1">
        <f t="array" ref="P296">_xlfn.IFS(K296="Rob","Robusta",K296="Exc","Excelsa",K296="Ara","Arabica",K296="Lib","Liberica")</f>
        <v>Excelsa</v>
      </c>
      <c r="Q296" t="str" cm="1">
        <f t="array" ref="Q296">_xlfn.IFS(L296="M","Medium",L296="L","Light",L296="D","Dark")</f>
        <v>Medium</v>
      </c>
      <c r="R296" t="str">
        <f>_xlfn.XLOOKUP(Orders[[#This Row],[Customer ID]],customers!$A$1:$A$1001,customers!$I$1:$I$1001)</f>
        <v>Yes</v>
      </c>
    </row>
    <row r="297" spans="1:18" x14ac:dyDescent="0.35">
      <c r="A297" s="2" t="s">
        <v>2038</v>
      </c>
      <c r="B297" s="4">
        <v>43985</v>
      </c>
      <c r="C297" s="23">
        <f>Orders[[#This Row],[Order Date]]</f>
        <v>43985</v>
      </c>
      <c r="D297" s="2">
        <f>YEAR(Orders[[#This Row],[Order Date]])</f>
        <v>2020</v>
      </c>
      <c r="E297" s="2" t="s">
        <v>2039</v>
      </c>
      <c r="F297" t="s">
        <v>6175</v>
      </c>
      <c r="G297" s="20">
        <v>1</v>
      </c>
      <c r="H297" s="2" t="str">
        <f>INDEX(customers!$A$1:$I$1001,MATCH($E297,customers!$A$1:$A$1001,),MATCH($H$1,customers!$A$1:$I$1,0))</f>
        <v>Donnie Hedlestone</v>
      </c>
      <c r="I297" s="2" t="str">
        <f>IF(INDEX(customers!$A$1:$I$1001,MATCH($E297,customers!$A$1:$A$1001,0),3)=0,"",INDEX(customers!$A$1:$I$1001,MATCH($E297,customers!$A$1:$A$1001,0),3))</f>
        <v>dhedlestone7m@craigslist.org</v>
      </c>
      <c r="J297" s="2" t="str">
        <f>_xlfn.XLOOKUP(E297,customers!$A$1:$A$1001,customers!$G$1:$G$1001)</f>
        <v>United States</v>
      </c>
      <c r="K297" t="str">
        <f>INDEX(products!$A$1:$G$49,MATCH($F297,products!$A$1:$A$49,0),MATCH(K$1,products!$A$1:$G$1,0))</f>
        <v>Ara</v>
      </c>
      <c r="L297" t="str">
        <f>INDEX(products!$A$1:$G$49,MATCH($F297,products!$A$1:$A$49,0),MATCH(L$1,products!$A$1:$G$1,0))</f>
        <v>M</v>
      </c>
      <c r="M297" s="5">
        <f>INDEX(products!$A$1:$G$49,MATCH($F297,products!$A$1:$A$49,0),MATCH(M$1,products!$A$1:$G$1,0))</f>
        <v>2.5</v>
      </c>
      <c r="N297" s="7">
        <f>INDEX(products!$A$1:$G$49,MATCH($F297,products!$A$1:$A$49,0),MATCH(N$1,products!$A$1:$G$1,0))</f>
        <v>25.874999999999996</v>
      </c>
      <c r="O297" s="7">
        <f t="shared" si="4"/>
        <v>25.874999999999996</v>
      </c>
      <c r="P297" t="str" cm="1">
        <f t="array" ref="P297">_xlfn.IFS(K297="Rob","Robusta",K297="Exc","Excelsa",K297="Ara","Arabica",K297="Lib","Liberica")</f>
        <v>Arabica</v>
      </c>
      <c r="Q297" t="str" cm="1">
        <f t="array" ref="Q297">_xlfn.IFS(L297="M","Medium",L297="L","Light",L297="D","Dark")</f>
        <v>Medium</v>
      </c>
      <c r="R297" t="str">
        <f>_xlfn.XLOOKUP(Orders[[#This Row],[Customer ID]],customers!$A$1:$A$1001,customers!$I$1:$I$1001)</f>
        <v>No</v>
      </c>
    </row>
    <row r="298" spans="1:18" x14ac:dyDescent="0.35">
      <c r="A298" s="2" t="s">
        <v>3487</v>
      </c>
      <c r="B298" s="4">
        <v>44663</v>
      </c>
      <c r="C298" s="23">
        <f>Orders[[#This Row],[Order Date]]</f>
        <v>44663</v>
      </c>
      <c r="D298" s="2">
        <f>YEAR(Orders[[#This Row],[Order Date]])</f>
        <v>2022</v>
      </c>
      <c r="E298" s="2" t="s">
        <v>3488</v>
      </c>
      <c r="F298" t="s">
        <v>6138</v>
      </c>
      <c r="G298" s="20">
        <v>6</v>
      </c>
      <c r="H298" s="2" t="str">
        <f>INDEX(customers!$A$1:$I$1001,MATCH($E298,customers!$A$1:$A$1001,),MATCH($H$1,customers!$A$1:$I$1,0))</f>
        <v>Donny Fries</v>
      </c>
      <c r="I298" s="2" t="str">
        <f>IF(INDEX(customers!$A$1:$I$1001,MATCH($E298,customers!$A$1:$A$1001,0),3)=0,"",INDEX(customers!$A$1:$I$1001,MATCH($E298,customers!$A$1:$A$1001,0),3))</f>
        <v>dfrieseq@cargocollective.com</v>
      </c>
      <c r="J298" s="2" t="str">
        <f>_xlfn.XLOOKUP(E298,customers!$A$1:$A$1001,customers!$G$1:$G$1001)</f>
        <v>United States</v>
      </c>
      <c r="K298" t="str">
        <f>INDEX(products!$A$1:$G$49,MATCH($F298,products!$A$1:$A$49,0),MATCH(K$1,products!$A$1:$G$1,0))</f>
        <v>Rob</v>
      </c>
      <c r="L298" t="str">
        <f>INDEX(products!$A$1:$G$49,MATCH($F298,products!$A$1:$A$49,0),MATCH(L$1,products!$A$1:$G$1,0))</f>
        <v>M</v>
      </c>
      <c r="M298" s="5">
        <f>INDEX(products!$A$1:$G$49,MATCH($F298,products!$A$1:$A$49,0),MATCH(M$1,products!$A$1:$G$1,0))</f>
        <v>1</v>
      </c>
      <c r="N298" s="7">
        <f>INDEX(products!$A$1:$G$49,MATCH($F298,products!$A$1:$A$49,0),MATCH(N$1,products!$A$1:$G$1,0))</f>
        <v>9.9499999999999993</v>
      </c>
      <c r="O298" s="7">
        <f t="shared" si="4"/>
        <v>59.699999999999996</v>
      </c>
      <c r="P298" t="str" cm="1">
        <f t="array" ref="P298">_xlfn.IFS(K298="Rob","Robusta",K298="Exc","Excelsa",K298="Ara","Arabica",K298="Lib","Liberica")</f>
        <v>Robusta</v>
      </c>
      <c r="Q298" t="str" cm="1">
        <f t="array" ref="Q298">_xlfn.IFS(L298="M","Medium",L298="L","Light",L298="D","Dark")</f>
        <v>Medium</v>
      </c>
      <c r="R298" t="str">
        <f>_xlfn.XLOOKUP(Orders[[#This Row],[Customer ID]],customers!$A$1:$A$1001,customers!$I$1:$I$1001)</f>
        <v>No</v>
      </c>
    </row>
    <row r="299" spans="1:18" x14ac:dyDescent="0.35">
      <c r="A299" s="2" t="s">
        <v>4461</v>
      </c>
      <c r="B299" s="4">
        <v>43506</v>
      </c>
      <c r="C299" s="23">
        <f>Orders[[#This Row],[Order Date]]</f>
        <v>43506</v>
      </c>
      <c r="D299" s="2">
        <f>YEAR(Orders[[#This Row],[Order Date]])</f>
        <v>2019</v>
      </c>
      <c r="E299" s="2" t="s">
        <v>4462</v>
      </c>
      <c r="F299" t="s">
        <v>6165</v>
      </c>
      <c r="G299" s="20">
        <v>4</v>
      </c>
      <c r="H299" s="2" t="str">
        <f>INDEX(customers!$A$1:$I$1001,MATCH($E299,customers!$A$1:$A$1001,),MATCH($H$1,customers!$A$1:$I$1,0))</f>
        <v>Doralin Baison</v>
      </c>
      <c r="I299" s="2" t="str">
        <f>IF(INDEX(customers!$A$1:$I$1001,MATCH($E299,customers!$A$1:$A$1001,0),3)=0,"",INDEX(customers!$A$1:$I$1001,MATCH($E299,customers!$A$1:$A$1001,0),3))</f>
        <v/>
      </c>
      <c r="J299" s="2" t="str">
        <f>_xlfn.XLOOKUP(E299,customers!$A$1:$A$1001,customers!$G$1:$G$1001)</f>
        <v>Ireland</v>
      </c>
      <c r="K299" t="str">
        <f>INDEX(products!$A$1:$G$49,MATCH($F299,products!$A$1:$A$49,0),MATCH(K$1,products!$A$1:$G$1,0))</f>
        <v>Lib</v>
      </c>
      <c r="L299" t="str">
        <f>INDEX(products!$A$1:$G$49,MATCH($F299,products!$A$1:$A$49,0),MATCH(L$1,products!$A$1:$G$1,0))</f>
        <v>D</v>
      </c>
      <c r="M299" s="5">
        <f>INDEX(products!$A$1:$G$49,MATCH($F299,products!$A$1:$A$49,0),MATCH(M$1,products!$A$1:$G$1,0))</f>
        <v>2.5</v>
      </c>
      <c r="N299" s="7">
        <f>INDEX(products!$A$1:$G$49,MATCH($F299,products!$A$1:$A$49,0),MATCH(N$1,products!$A$1:$G$1,0))</f>
        <v>29.784999999999997</v>
      </c>
      <c r="O299" s="7">
        <f t="shared" si="4"/>
        <v>119.13999999999999</v>
      </c>
      <c r="P299" t="str" cm="1">
        <f t="array" ref="P299">_xlfn.IFS(K299="Rob","Robusta",K299="Exc","Excelsa",K299="Ara","Arabica",K299="Lib","Liberica")</f>
        <v>Liberica</v>
      </c>
      <c r="Q299" t="str" cm="1">
        <f t="array" ref="Q299">_xlfn.IFS(L299="M","Medium",L299="L","Light",L299="D","Dark")</f>
        <v>Dark</v>
      </c>
      <c r="R299" t="str">
        <f>_xlfn.XLOOKUP(Orders[[#This Row],[Customer ID]],customers!$A$1:$A$1001,customers!$I$1:$I$1001)</f>
        <v>Yes</v>
      </c>
    </row>
    <row r="300" spans="1:18" x14ac:dyDescent="0.35">
      <c r="A300" s="2" t="s">
        <v>2050</v>
      </c>
      <c r="B300" s="4">
        <v>43992</v>
      </c>
      <c r="C300" s="23">
        <f>Orders[[#This Row],[Order Date]]</f>
        <v>43992</v>
      </c>
      <c r="D300" s="2">
        <f>YEAR(Orders[[#This Row],[Order Date]])</f>
        <v>2020</v>
      </c>
      <c r="E300" s="2" t="s">
        <v>2051</v>
      </c>
      <c r="F300" t="s">
        <v>6142</v>
      </c>
      <c r="G300" s="20">
        <v>4</v>
      </c>
      <c r="H300" s="2" t="str">
        <f>INDEX(customers!$A$1:$I$1001,MATCH($E300,customers!$A$1:$A$1001,),MATCH($H$1,customers!$A$1:$I$1,0))</f>
        <v>Dorelia Bury</v>
      </c>
      <c r="I300" s="2" t="str">
        <f>IF(INDEX(customers!$A$1:$I$1001,MATCH($E300,customers!$A$1:$A$1001,0),3)=0,"",INDEX(customers!$A$1:$I$1001,MATCH($E300,customers!$A$1:$A$1001,0),3))</f>
        <v>dbury7o@tinyurl.com</v>
      </c>
      <c r="J300" s="2" t="str">
        <f>_xlfn.XLOOKUP(E300,customers!$A$1:$A$1001,customers!$G$1:$G$1001)</f>
        <v>Ireland</v>
      </c>
      <c r="K300" t="str">
        <f>INDEX(products!$A$1:$G$49,MATCH($F300,products!$A$1:$A$49,0),MATCH(K$1,products!$A$1:$G$1,0))</f>
        <v>Rob</v>
      </c>
      <c r="L300" t="str">
        <f>INDEX(products!$A$1:$G$49,MATCH($F300,products!$A$1:$A$49,0),MATCH(L$1,products!$A$1:$G$1,0))</f>
        <v>L</v>
      </c>
      <c r="M300" s="5">
        <f>INDEX(products!$A$1:$G$49,MATCH($F300,products!$A$1:$A$49,0),MATCH(M$1,products!$A$1:$G$1,0))</f>
        <v>2.5</v>
      </c>
      <c r="N300" s="7">
        <f>INDEX(products!$A$1:$G$49,MATCH($F300,products!$A$1:$A$49,0),MATCH(N$1,products!$A$1:$G$1,0))</f>
        <v>27.484999999999996</v>
      </c>
      <c r="O300" s="7">
        <f t="shared" si="4"/>
        <v>109.93999999999998</v>
      </c>
      <c r="P300" t="str" cm="1">
        <f t="array" ref="P300">_xlfn.IFS(K300="Rob","Robusta",K300="Exc","Excelsa",K300="Ara","Arabica",K300="Lib","Liberica")</f>
        <v>Robusta</v>
      </c>
      <c r="Q300" t="str" cm="1">
        <f t="array" ref="Q300">_xlfn.IFS(L300="M","Medium",L300="L","Light",L300="D","Dark")</f>
        <v>Light</v>
      </c>
      <c r="R300" t="str">
        <f>_xlfn.XLOOKUP(Orders[[#This Row],[Customer ID]],customers!$A$1:$A$1001,customers!$I$1:$I$1001)</f>
        <v>Yes</v>
      </c>
    </row>
    <row r="301" spans="1:18" x14ac:dyDescent="0.35">
      <c r="A301" s="2" t="s">
        <v>4864</v>
      </c>
      <c r="B301" s="4">
        <v>44756</v>
      </c>
      <c r="C301" s="23">
        <f>Orders[[#This Row],[Order Date]]</f>
        <v>44756</v>
      </c>
      <c r="D301" s="2">
        <f>YEAR(Orders[[#This Row],[Order Date]])</f>
        <v>2022</v>
      </c>
      <c r="E301" s="2" t="s">
        <v>4865</v>
      </c>
      <c r="F301" t="s">
        <v>6138</v>
      </c>
      <c r="G301" s="20">
        <v>2</v>
      </c>
      <c r="H301" s="2" t="str">
        <f>INDEX(customers!$A$1:$I$1001,MATCH($E301,customers!$A$1:$A$1001,),MATCH($H$1,customers!$A$1:$I$1,0))</f>
        <v>Dorette Hinemoor</v>
      </c>
      <c r="I301" s="2" t="str">
        <f>IF(INDEX(customers!$A$1:$I$1001,MATCH($E301,customers!$A$1:$A$1001,0),3)=0,"",INDEX(customers!$A$1:$I$1001,MATCH($E301,customers!$A$1:$A$1001,0),3))</f>
        <v/>
      </c>
      <c r="J301" s="2" t="str">
        <f>_xlfn.XLOOKUP(E301,customers!$A$1:$A$1001,customers!$G$1:$G$1001)</f>
        <v>United States</v>
      </c>
      <c r="K301" t="str">
        <f>INDEX(products!$A$1:$G$49,MATCH($F301,products!$A$1:$A$49,0),MATCH(K$1,products!$A$1:$G$1,0))</f>
        <v>Rob</v>
      </c>
      <c r="L301" t="str">
        <f>INDEX(products!$A$1:$G$49,MATCH($F301,products!$A$1:$A$49,0),MATCH(L$1,products!$A$1:$G$1,0))</f>
        <v>M</v>
      </c>
      <c r="M301" s="5">
        <f>INDEX(products!$A$1:$G$49,MATCH($F301,products!$A$1:$A$49,0),MATCH(M$1,products!$A$1:$G$1,0))</f>
        <v>1</v>
      </c>
      <c r="N301" s="7">
        <f>INDEX(products!$A$1:$G$49,MATCH($F301,products!$A$1:$A$49,0),MATCH(N$1,products!$A$1:$G$1,0))</f>
        <v>9.9499999999999993</v>
      </c>
      <c r="O301" s="7">
        <f t="shared" si="4"/>
        <v>19.899999999999999</v>
      </c>
      <c r="P301" t="str" cm="1">
        <f t="array" ref="P301">_xlfn.IFS(K301="Rob","Robusta",K301="Exc","Excelsa",K301="Ara","Arabica",K301="Lib","Liberica")</f>
        <v>Robusta</v>
      </c>
      <c r="Q301" t="str" cm="1">
        <f t="array" ref="Q301">_xlfn.IFS(L301="M","Medium",L301="L","Light",L301="D","Dark")</f>
        <v>Medium</v>
      </c>
      <c r="R301" t="str">
        <f>_xlfn.XLOOKUP(Orders[[#This Row],[Customer ID]],customers!$A$1:$A$1001,customers!$I$1:$I$1001)</f>
        <v>Yes</v>
      </c>
    </row>
    <row r="302" spans="1:18" x14ac:dyDescent="0.35">
      <c r="A302" s="2" t="s">
        <v>5603</v>
      </c>
      <c r="B302" s="4">
        <v>44463</v>
      </c>
      <c r="C302" s="23">
        <f>Orders[[#This Row],[Order Date]]</f>
        <v>44463</v>
      </c>
      <c r="D302" s="2">
        <f>YEAR(Orders[[#This Row],[Order Date]])</f>
        <v>2021</v>
      </c>
      <c r="E302" s="2" t="s">
        <v>5604</v>
      </c>
      <c r="F302" t="s">
        <v>6182</v>
      </c>
      <c r="G302" s="20">
        <v>5</v>
      </c>
      <c r="H302" s="2" t="str">
        <f>INDEX(customers!$A$1:$I$1001,MATCH($E302,customers!$A$1:$A$1001,),MATCH($H$1,customers!$A$1:$I$1,0))</f>
        <v>Dorey Sopper</v>
      </c>
      <c r="I302" s="2" t="str">
        <f>IF(INDEX(customers!$A$1:$I$1001,MATCH($E302,customers!$A$1:$A$1001,0),3)=0,"",INDEX(customers!$A$1:$I$1001,MATCH($E302,customers!$A$1:$A$1001,0),3))</f>
        <v>dsopperp4@eventbrite.com</v>
      </c>
      <c r="J302" s="2" t="str">
        <f>_xlfn.XLOOKUP(E302,customers!$A$1:$A$1001,customers!$G$1:$G$1001)</f>
        <v>United States</v>
      </c>
      <c r="K302" t="str">
        <f>INDEX(products!$A$1:$G$49,MATCH($F302,products!$A$1:$A$49,0),MATCH(K$1,products!$A$1:$G$1,0))</f>
        <v>Ara</v>
      </c>
      <c r="L302" t="str">
        <f>INDEX(products!$A$1:$G$49,MATCH($F302,products!$A$1:$A$49,0),MATCH(L$1,products!$A$1:$G$1,0))</f>
        <v>L</v>
      </c>
      <c r="M302" s="5">
        <f>INDEX(products!$A$1:$G$49,MATCH($F302,products!$A$1:$A$49,0),MATCH(M$1,products!$A$1:$G$1,0))</f>
        <v>2.5</v>
      </c>
      <c r="N302" s="7">
        <f>INDEX(products!$A$1:$G$49,MATCH($F302,products!$A$1:$A$49,0),MATCH(N$1,products!$A$1:$G$1,0))</f>
        <v>29.784999999999997</v>
      </c>
      <c r="O302" s="7">
        <f t="shared" si="4"/>
        <v>148.92499999999998</v>
      </c>
      <c r="P302" t="str" cm="1">
        <f t="array" ref="P302">_xlfn.IFS(K302="Rob","Robusta",K302="Exc","Excelsa",K302="Ara","Arabica",K302="Lib","Liberica")</f>
        <v>Arabica</v>
      </c>
      <c r="Q302" t="str" cm="1">
        <f t="array" ref="Q302">_xlfn.IFS(L302="M","Medium",L302="L","Light",L302="D","Dark")</f>
        <v>Light</v>
      </c>
      <c r="R302" t="str">
        <f>_xlfn.XLOOKUP(Orders[[#This Row],[Customer ID]],customers!$A$1:$A$1001,customers!$I$1:$I$1001)</f>
        <v>No</v>
      </c>
    </row>
    <row r="303" spans="1:18" x14ac:dyDescent="0.35">
      <c r="A303" s="2" t="s">
        <v>2157</v>
      </c>
      <c r="B303" s="4">
        <v>43597</v>
      </c>
      <c r="C303" s="23">
        <f>Orders[[#This Row],[Order Date]]</f>
        <v>43597</v>
      </c>
      <c r="D303" s="2">
        <f>YEAR(Orders[[#This Row],[Order Date]])</f>
        <v>2019</v>
      </c>
      <c r="E303" s="2" t="s">
        <v>2158</v>
      </c>
      <c r="F303" t="s">
        <v>6146</v>
      </c>
      <c r="G303" s="20">
        <v>6</v>
      </c>
      <c r="H303" s="2" t="str">
        <f>INDEX(customers!$A$1:$I$1001,MATCH($E303,customers!$A$1:$A$1001,),MATCH($H$1,customers!$A$1:$I$1,0))</f>
        <v>Dorian Vizor</v>
      </c>
      <c r="I303" s="2" t="str">
        <f>IF(INDEX(customers!$A$1:$I$1001,MATCH($E303,customers!$A$1:$A$1001,0),3)=0,"",INDEX(customers!$A$1:$I$1001,MATCH($E303,customers!$A$1:$A$1001,0),3))</f>
        <v>dvizor88@furl.net</v>
      </c>
      <c r="J303" s="2" t="str">
        <f>_xlfn.XLOOKUP(E303,customers!$A$1:$A$1001,customers!$G$1:$G$1001)</f>
        <v>United States</v>
      </c>
      <c r="K303" t="str">
        <f>INDEX(products!$A$1:$G$49,MATCH($F303,products!$A$1:$A$49,0),MATCH(K$1,products!$A$1:$G$1,0))</f>
        <v>Rob</v>
      </c>
      <c r="L303" t="str">
        <f>INDEX(products!$A$1:$G$49,MATCH($F303,products!$A$1:$A$49,0),MATCH(L$1,products!$A$1:$G$1,0))</f>
        <v>M</v>
      </c>
      <c r="M303" s="5">
        <f>INDEX(products!$A$1:$G$49,MATCH($F303,products!$A$1:$A$49,0),MATCH(M$1,products!$A$1:$G$1,0))</f>
        <v>0.5</v>
      </c>
      <c r="N303" s="7">
        <f>INDEX(products!$A$1:$G$49,MATCH($F303,products!$A$1:$A$49,0),MATCH(N$1,products!$A$1:$G$1,0))</f>
        <v>5.97</v>
      </c>
      <c r="O303" s="7">
        <f t="shared" si="4"/>
        <v>35.82</v>
      </c>
      <c r="P303" t="str" cm="1">
        <f t="array" ref="P303">_xlfn.IFS(K303="Rob","Robusta",K303="Exc","Excelsa",K303="Ara","Arabica",K303="Lib","Liberica")</f>
        <v>Robusta</v>
      </c>
      <c r="Q303" t="str" cm="1">
        <f t="array" ref="Q303">_xlfn.IFS(L303="M","Medium",L303="L","Light",L303="D","Dark")</f>
        <v>Medium</v>
      </c>
      <c r="R303" t="str">
        <f>_xlfn.XLOOKUP(Orders[[#This Row],[Customer ID]],customers!$A$1:$A$1001,customers!$I$1:$I$1001)</f>
        <v>Yes</v>
      </c>
    </row>
    <row r="304" spans="1:18" x14ac:dyDescent="0.35">
      <c r="A304" s="2" t="s">
        <v>705</v>
      </c>
      <c r="B304" s="4">
        <v>43946</v>
      </c>
      <c r="C304" s="23">
        <f>Orders[[#This Row],[Order Date]]</f>
        <v>43946</v>
      </c>
      <c r="D304" s="2">
        <f>YEAR(Orders[[#This Row],[Order Date]])</f>
        <v>2020</v>
      </c>
      <c r="E304" s="2" t="s">
        <v>706</v>
      </c>
      <c r="F304" t="s">
        <v>6151</v>
      </c>
      <c r="G304" s="20">
        <v>5</v>
      </c>
      <c r="H304" s="2" t="str">
        <f>INDEX(customers!$A$1:$I$1001,MATCH($E304,customers!$A$1:$A$1001,),MATCH($H$1,customers!$A$1:$I$1,0))</f>
        <v>Dorie de la Tremoille</v>
      </c>
      <c r="I304" s="2" t="str">
        <f>IF(INDEX(customers!$A$1:$I$1001,MATCH($E304,customers!$A$1:$A$1001,0),3)=0,"",INDEX(customers!$A$1:$I$1001,MATCH($E304,customers!$A$1:$A$1001,0),3))</f>
        <v>dde12@unesco.org</v>
      </c>
      <c r="J304" s="2" t="str">
        <f>_xlfn.XLOOKUP(E304,customers!$A$1:$A$1001,customers!$G$1:$G$1001)</f>
        <v>United States</v>
      </c>
      <c r="K304" t="str">
        <f>INDEX(products!$A$1:$G$49,MATCH($F304,products!$A$1:$A$49,0),MATCH(K$1,products!$A$1:$G$1,0))</f>
        <v>Rob</v>
      </c>
      <c r="L304" t="str">
        <f>INDEX(products!$A$1:$G$49,MATCH($F304,products!$A$1:$A$49,0),MATCH(L$1,products!$A$1:$G$1,0))</f>
        <v>M</v>
      </c>
      <c r="M304" s="5">
        <f>INDEX(products!$A$1:$G$49,MATCH($F304,products!$A$1:$A$49,0),MATCH(M$1,products!$A$1:$G$1,0))</f>
        <v>2.5</v>
      </c>
      <c r="N304" s="7">
        <f>INDEX(products!$A$1:$G$49,MATCH($F304,products!$A$1:$A$49,0),MATCH(N$1,products!$A$1:$G$1,0))</f>
        <v>22.884999999999998</v>
      </c>
      <c r="O304" s="7">
        <f t="shared" si="4"/>
        <v>114.42499999999998</v>
      </c>
      <c r="P304" t="str" cm="1">
        <f t="array" ref="P304">_xlfn.IFS(K304="Rob","Robusta",K304="Exc","Excelsa",K304="Ara","Arabica",K304="Lib","Liberica")</f>
        <v>Robusta</v>
      </c>
      <c r="Q304" t="str" cm="1">
        <f t="array" ref="Q304">_xlfn.IFS(L304="M","Medium",L304="L","Light",L304="D","Dark")</f>
        <v>Medium</v>
      </c>
      <c r="R304" t="str">
        <f>_xlfn.XLOOKUP(Orders[[#This Row],[Customer ID]],customers!$A$1:$A$1001,customers!$I$1:$I$1001)</f>
        <v>No</v>
      </c>
    </row>
    <row r="305" spans="1:18" x14ac:dyDescent="0.35">
      <c r="A305" s="2" t="s">
        <v>4770</v>
      </c>
      <c r="B305" s="4">
        <v>43977</v>
      </c>
      <c r="C305" s="23">
        <f>Orders[[#This Row],[Order Date]]</f>
        <v>43977</v>
      </c>
      <c r="D305" s="2">
        <f>YEAR(Orders[[#This Row],[Order Date]])</f>
        <v>2020</v>
      </c>
      <c r="E305" s="2" t="s">
        <v>4771</v>
      </c>
      <c r="F305" t="s">
        <v>6158</v>
      </c>
      <c r="G305" s="20">
        <v>3</v>
      </c>
      <c r="H305" s="2" t="str">
        <f>INDEX(customers!$A$1:$I$1001,MATCH($E305,customers!$A$1:$A$1001,),MATCH($H$1,customers!$A$1:$I$1,0))</f>
        <v>Dorotea Hollyman</v>
      </c>
      <c r="I305" s="2" t="str">
        <f>IF(INDEX(customers!$A$1:$I$1001,MATCH($E305,customers!$A$1:$A$1001,0),3)=0,"",INDEX(customers!$A$1:$I$1001,MATCH($E305,customers!$A$1:$A$1001,0),3))</f>
        <v>dhollymanl1@ibm.com</v>
      </c>
      <c r="J305" s="2" t="str">
        <f>_xlfn.XLOOKUP(E305,customers!$A$1:$A$1001,customers!$G$1:$G$1001)</f>
        <v>United States</v>
      </c>
      <c r="K305" t="str">
        <f>INDEX(products!$A$1:$G$49,MATCH($F305,products!$A$1:$A$49,0),MATCH(K$1,products!$A$1:$G$1,0))</f>
        <v>Ara</v>
      </c>
      <c r="L305" t="str">
        <f>INDEX(products!$A$1:$G$49,MATCH($F305,products!$A$1:$A$49,0),MATCH(L$1,products!$A$1:$G$1,0))</f>
        <v>D</v>
      </c>
      <c r="M305" s="5">
        <f>INDEX(products!$A$1:$G$49,MATCH($F305,products!$A$1:$A$49,0),MATCH(M$1,products!$A$1:$G$1,0))</f>
        <v>0.5</v>
      </c>
      <c r="N305" s="7">
        <f>INDEX(products!$A$1:$G$49,MATCH($F305,products!$A$1:$A$49,0),MATCH(N$1,products!$A$1:$G$1,0))</f>
        <v>5.97</v>
      </c>
      <c r="O305" s="7">
        <f t="shared" si="4"/>
        <v>17.91</v>
      </c>
      <c r="P305" t="str" cm="1">
        <f t="array" ref="P305">_xlfn.IFS(K305="Rob","Robusta",K305="Exc","Excelsa",K305="Ara","Arabica",K305="Lib","Liberica")</f>
        <v>Arabica</v>
      </c>
      <c r="Q305" t="str" cm="1">
        <f t="array" ref="Q305">_xlfn.IFS(L305="M","Medium",L305="L","Light",L305="D","Dark")</f>
        <v>Dark</v>
      </c>
      <c r="R305" t="str">
        <f>_xlfn.XLOOKUP(Orders[[#This Row],[Customer ID]],customers!$A$1:$A$1001,customers!$I$1:$I$1001)</f>
        <v>Yes</v>
      </c>
    </row>
    <row r="306" spans="1:18" x14ac:dyDescent="0.35">
      <c r="A306" s="2" t="s">
        <v>4139</v>
      </c>
      <c r="B306" s="4">
        <v>44532</v>
      </c>
      <c r="C306" s="23">
        <f>Orders[[#This Row],[Order Date]]</f>
        <v>44532</v>
      </c>
      <c r="D306" s="2">
        <f>YEAR(Orders[[#This Row],[Order Date]])</f>
        <v>2021</v>
      </c>
      <c r="E306" s="2" t="s">
        <v>4140</v>
      </c>
      <c r="F306" t="s">
        <v>6147</v>
      </c>
      <c r="G306" s="20">
        <v>1</v>
      </c>
      <c r="H306" s="2" t="str">
        <f>INDEX(customers!$A$1:$I$1001,MATCH($E306,customers!$A$1:$A$1001,),MATCH($H$1,customers!$A$1:$I$1,0))</f>
        <v>Dottie Rallin</v>
      </c>
      <c r="I306" s="2" t="str">
        <f>IF(INDEX(customers!$A$1:$I$1001,MATCH($E306,customers!$A$1:$A$1001,0),3)=0,"",INDEX(customers!$A$1:$I$1001,MATCH($E306,customers!$A$1:$A$1001,0),3))</f>
        <v>drallinhy@howstuffworks.com</v>
      </c>
      <c r="J306" s="2" t="str">
        <f>_xlfn.XLOOKUP(E306,customers!$A$1:$A$1001,customers!$G$1:$G$1001)</f>
        <v>United States</v>
      </c>
      <c r="K306" t="str">
        <f>INDEX(products!$A$1:$G$49,MATCH($F306,products!$A$1:$A$49,0),MATCH(K$1,products!$A$1:$G$1,0))</f>
        <v>Ara</v>
      </c>
      <c r="L306" t="str">
        <f>INDEX(products!$A$1:$G$49,MATCH($F306,products!$A$1:$A$49,0),MATCH(L$1,products!$A$1:$G$1,0))</f>
        <v>D</v>
      </c>
      <c r="M306" s="5">
        <f>INDEX(products!$A$1:$G$49,MATCH($F306,products!$A$1:$A$49,0),MATCH(M$1,products!$A$1:$G$1,0))</f>
        <v>1</v>
      </c>
      <c r="N306" s="7">
        <f>INDEX(products!$A$1:$G$49,MATCH($F306,products!$A$1:$A$49,0),MATCH(N$1,products!$A$1:$G$1,0))</f>
        <v>9.9499999999999993</v>
      </c>
      <c r="O306" s="7">
        <f t="shared" si="4"/>
        <v>9.9499999999999993</v>
      </c>
      <c r="P306" t="str" cm="1">
        <f t="array" ref="P306">_xlfn.IFS(K306="Rob","Robusta",K306="Exc","Excelsa",K306="Ara","Arabica",K306="Lib","Liberica")</f>
        <v>Arabica</v>
      </c>
      <c r="Q306" t="str" cm="1">
        <f t="array" ref="Q306">_xlfn.IFS(L306="M","Medium",L306="L","Light",L306="D","Dark")</f>
        <v>Dark</v>
      </c>
      <c r="R306" t="str">
        <f>_xlfn.XLOOKUP(Orders[[#This Row],[Customer ID]],customers!$A$1:$A$1001,customers!$I$1:$I$1001)</f>
        <v>Yes</v>
      </c>
    </row>
    <row r="307" spans="1:18" x14ac:dyDescent="0.35">
      <c r="A307" s="2" t="s">
        <v>1401</v>
      </c>
      <c r="B307" s="4">
        <v>44515</v>
      </c>
      <c r="C307" s="23">
        <f>Orders[[#This Row],[Order Date]]</f>
        <v>44515</v>
      </c>
      <c r="D307" s="2">
        <f>YEAR(Orders[[#This Row],[Order Date]])</f>
        <v>2021</v>
      </c>
      <c r="E307" s="2" t="s">
        <v>1402</v>
      </c>
      <c r="F307" t="s">
        <v>6144</v>
      </c>
      <c r="G307" s="20">
        <v>3</v>
      </c>
      <c r="H307" s="2" t="str">
        <f>INDEX(customers!$A$1:$I$1001,MATCH($E307,customers!$A$1:$A$1001,),MATCH($H$1,customers!$A$1:$I$1,0))</f>
        <v>Dottie Tift</v>
      </c>
      <c r="I307" s="2" t="str">
        <f>IF(INDEX(customers!$A$1:$I$1001,MATCH($E307,customers!$A$1:$A$1001,0),3)=0,"",INDEX(customers!$A$1:$I$1001,MATCH($E307,customers!$A$1:$A$1001,0),3))</f>
        <v>dtift4i@netvibes.com</v>
      </c>
      <c r="J307" s="2" t="str">
        <f>_xlfn.XLOOKUP(E307,customers!$A$1:$A$1001,customers!$G$1:$G$1001)</f>
        <v>United States</v>
      </c>
      <c r="K307" t="str">
        <f>INDEX(products!$A$1:$G$49,MATCH($F307,products!$A$1:$A$49,0),MATCH(K$1,products!$A$1:$G$1,0))</f>
        <v>Exc</v>
      </c>
      <c r="L307" t="str">
        <f>INDEX(products!$A$1:$G$49,MATCH($F307,products!$A$1:$A$49,0),MATCH(L$1,products!$A$1:$G$1,0))</f>
        <v>D</v>
      </c>
      <c r="M307" s="5">
        <f>INDEX(products!$A$1:$G$49,MATCH($F307,products!$A$1:$A$49,0),MATCH(M$1,products!$A$1:$G$1,0))</f>
        <v>0.5</v>
      </c>
      <c r="N307" s="7">
        <f>INDEX(products!$A$1:$G$49,MATCH($F307,products!$A$1:$A$49,0),MATCH(N$1,products!$A$1:$G$1,0))</f>
        <v>7.29</v>
      </c>
      <c r="O307" s="7">
        <f t="shared" si="4"/>
        <v>21.87</v>
      </c>
      <c r="P307" t="str" cm="1">
        <f t="array" ref="P307">_xlfn.IFS(K307="Rob","Robusta",K307="Exc","Excelsa",K307="Ara","Arabica",K307="Lib","Liberica")</f>
        <v>Excelsa</v>
      </c>
      <c r="Q307" t="str" cm="1">
        <f t="array" ref="Q307">_xlfn.IFS(L307="M","Medium",L307="L","Light",L307="D","Dark")</f>
        <v>Dark</v>
      </c>
      <c r="R307" t="str">
        <f>_xlfn.XLOOKUP(Orders[[#This Row],[Customer ID]],customers!$A$1:$A$1001,customers!$I$1:$I$1001)</f>
        <v>Yes</v>
      </c>
    </row>
    <row r="308" spans="1:18" x14ac:dyDescent="0.35">
      <c r="A308" s="2" t="s">
        <v>5585</v>
      </c>
      <c r="B308" s="4">
        <v>44223</v>
      </c>
      <c r="C308" s="23">
        <f>Orders[[#This Row],[Order Date]]</f>
        <v>44223</v>
      </c>
      <c r="D308" s="2">
        <f>YEAR(Orders[[#This Row],[Order Date]])</f>
        <v>2021</v>
      </c>
      <c r="E308" s="2" t="s">
        <v>5586</v>
      </c>
      <c r="F308" t="s">
        <v>6178</v>
      </c>
      <c r="G308" s="20">
        <v>1</v>
      </c>
      <c r="H308" s="2" t="str">
        <f>INDEX(customers!$A$1:$I$1001,MATCH($E308,customers!$A$1:$A$1001,),MATCH($H$1,customers!$A$1:$I$1,0))</f>
        <v>Drake Jevon</v>
      </c>
      <c r="I308" s="2" t="str">
        <f>IF(INDEX(customers!$A$1:$I$1001,MATCH($E308,customers!$A$1:$A$1001,0),3)=0,"",INDEX(customers!$A$1:$I$1001,MATCH($E308,customers!$A$1:$A$1001,0),3))</f>
        <v>djevonp1@ibm.com</v>
      </c>
      <c r="J308" s="2" t="str">
        <f>_xlfn.XLOOKUP(E308,customers!$A$1:$A$1001,customers!$G$1:$G$1001)</f>
        <v>United States</v>
      </c>
      <c r="K308" t="str">
        <f>INDEX(products!$A$1:$G$49,MATCH($F308,products!$A$1:$A$49,0),MATCH(K$1,products!$A$1:$G$1,0))</f>
        <v>Rob</v>
      </c>
      <c r="L308" t="str">
        <f>INDEX(products!$A$1:$G$49,MATCH($F308,products!$A$1:$A$49,0),MATCH(L$1,products!$A$1:$G$1,0))</f>
        <v>L</v>
      </c>
      <c r="M308" s="5">
        <f>INDEX(products!$A$1:$G$49,MATCH($F308,products!$A$1:$A$49,0),MATCH(M$1,products!$A$1:$G$1,0))</f>
        <v>0.2</v>
      </c>
      <c r="N308" s="7">
        <f>INDEX(products!$A$1:$G$49,MATCH($F308,products!$A$1:$A$49,0),MATCH(N$1,products!$A$1:$G$1,0))</f>
        <v>3.5849999999999995</v>
      </c>
      <c r="O308" s="7">
        <f t="shared" si="4"/>
        <v>3.5849999999999995</v>
      </c>
      <c r="P308" t="str" cm="1">
        <f t="array" ref="P308">_xlfn.IFS(K308="Rob","Robusta",K308="Exc","Excelsa",K308="Ara","Arabica",K308="Lib","Liberica")</f>
        <v>Robusta</v>
      </c>
      <c r="Q308" t="str" cm="1">
        <f t="array" ref="Q308">_xlfn.IFS(L308="M","Medium",L308="L","Light",L308="D","Dark")</f>
        <v>Light</v>
      </c>
      <c r="R308" t="str">
        <f>_xlfn.XLOOKUP(Orders[[#This Row],[Customer ID]],customers!$A$1:$A$1001,customers!$I$1:$I$1001)</f>
        <v>Yes</v>
      </c>
    </row>
    <row r="309" spans="1:18" x14ac:dyDescent="0.35">
      <c r="A309" s="2" t="s">
        <v>553</v>
      </c>
      <c r="B309" s="4">
        <v>44132</v>
      </c>
      <c r="C309" s="23">
        <f>Orders[[#This Row],[Order Date]]</f>
        <v>44132</v>
      </c>
      <c r="D309" s="2">
        <f>YEAR(Orders[[#This Row],[Order Date]])</f>
        <v>2020</v>
      </c>
      <c r="E309" s="2" t="s">
        <v>554</v>
      </c>
      <c r="F309" t="s">
        <v>6148</v>
      </c>
      <c r="G309" s="20">
        <v>5</v>
      </c>
      <c r="H309" s="2" t="str">
        <f>INDEX(customers!$A$1:$I$1001,MATCH($E309,customers!$A$1:$A$1001,),MATCH($H$1,customers!$A$1:$I$1,0))</f>
        <v>Duky Phizackerly</v>
      </c>
      <c r="I309" s="2" t="str">
        <f>IF(INDEX(customers!$A$1:$I$1001,MATCH($E309,customers!$A$1:$A$1001,0),3)=0,"",INDEX(customers!$A$1:$I$1001,MATCH($E309,customers!$A$1:$A$1001,0),3))</f>
        <v>dphizackerlyb@utexas.edu</v>
      </c>
      <c r="J309" s="2" t="str">
        <f>_xlfn.XLOOKUP(E309,customers!$A$1:$A$1001,customers!$G$1:$G$1001)</f>
        <v>United States</v>
      </c>
      <c r="K309" t="str">
        <f>INDEX(products!$A$1:$G$49,MATCH($F309,products!$A$1:$A$49,0),MATCH(K$1,products!$A$1:$G$1,0))</f>
        <v>Exc</v>
      </c>
      <c r="L309" t="str">
        <f>INDEX(products!$A$1:$G$49,MATCH($F309,products!$A$1:$A$49,0),MATCH(L$1,products!$A$1:$G$1,0))</f>
        <v>L</v>
      </c>
      <c r="M309" s="5">
        <f>INDEX(products!$A$1:$G$49,MATCH($F309,products!$A$1:$A$49,0),MATCH(M$1,products!$A$1:$G$1,0))</f>
        <v>2.5</v>
      </c>
      <c r="N309" s="7">
        <f>INDEX(products!$A$1:$G$49,MATCH($F309,products!$A$1:$A$49,0),MATCH(N$1,products!$A$1:$G$1,0))</f>
        <v>34.154999999999994</v>
      </c>
      <c r="O309" s="7">
        <f t="shared" si="4"/>
        <v>170.77499999999998</v>
      </c>
      <c r="P309" t="str" cm="1">
        <f t="array" ref="P309">_xlfn.IFS(K309="Rob","Robusta",K309="Exc","Excelsa",K309="Ara","Arabica",K309="Lib","Liberica")</f>
        <v>Excelsa</v>
      </c>
      <c r="Q309" t="str" cm="1">
        <f t="array" ref="Q309">_xlfn.IFS(L309="M","Medium",L309="L","Light",L309="D","Dark")</f>
        <v>Light</v>
      </c>
      <c r="R309" t="str">
        <f>_xlfn.XLOOKUP(Orders[[#This Row],[Customer ID]],customers!$A$1:$A$1001,customers!$I$1:$I$1001)</f>
        <v>Yes</v>
      </c>
    </row>
    <row r="310" spans="1:18" x14ac:dyDescent="0.35">
      <c r="A310" s="2" t="s">
        <v>1059</v>
      </c>
      <c r="B310" s="4">
        <v>44488</v>
      </c>
      <c r="C310" s="23">
        <f>Orders[[#This Row],[Order Date]]</f>
        <v>44488</v>
      </c>
      <c r="D310" s="2">
        <f>YEAR(Orders[[#This Row],[Order Date]])</f>
        <v>2021</v>
      </c>
      <c r="E310" s="2" t="s">
        <v>1060</v>
      </c>
      <c r="F310" t="s">
        <v>6143</v>
      </c>
      <c r="G310" s="20">
        <v>3</v>
      </c>
      <c r="H310" s="2" t="str">
        <f>INDEX(customers!$A$1:$I$1001,MATCH($E310,customers!$A$1:$A$1001,),MATCH($H$1,customers!$A$1:$I$1,0))</f>
        <v>Dyanna Aizikovitz</v>
      </c>
      <c r="I310" s="2" t="str">
        <f>IF(INDEX(customers!$A$1:$I$1001,MATCH($E310,customers!$A$1:$A$1001,0),3)=0,"",INDEX(customers!$A$1:$I$1001,MATCH($E310,customers!$A$1:$A$1001,0),3))</f>
        <v>daizikovitz2u@answers.com</v>
      </c>
      <c r="J310" s="2" t="str">
        <f>_xlfn.XLOOKUP(E310,customers!$A$1:$A$1001,customers!$G$1:$G$1001)</f>
        <v>Ireland</v>
      </c>
      <c r="K310" t="str">
        <f>INDEX(products!$A$1:$G$49,MATCH($F310,products!$A$1:$A$49,0),MATCH(K$1,products!$A$1:$G$1,0))</f>
        <v>Lib</v>
      </c>
      <c r="L310" t="str">
        <f>INDEX(products!$A$1:$G$49,MATCH($F310,products!$A$1:$A$49,0),MATCH(L$1,products!$A$1:$G$1,0))</f>
        <v>D</v>
      </c>
      <c r="M310" s="5">
        <f>INDEX(products!$A$1:$G$49,MATCH($F310,products!$A$1:$A$49,0),MATCH(M$1,products!$A$1:$G$1,0))</f>
        <v>1</v>
      </c>
      <c r="N310" s="7">
        <f>INDEX(products!$A$1:$G$49,MATCH($F310,products!$A$1:$A$49,0),MATCH(N$1,products!$A$1:$G$1,0))</f>
        <v>12.95</v>
      </c>
      <c r="O310" s="7">
        <f t="shared" si="4"/>
        <v>38.849999999999994</v>
      </c>
      <c r="P310" t="str" cm="1">
        <f t="array" ref="P310">_xlfn.IFS(K310="Rob","Robusta",K310="Exc","Excelsa",K310="Ara","Arabica",K310="Lib","Liberica")</f>
        <v>Liberica</v>
      </c>
      <c r="Q310" t="str" cm="1">
        <f t="array" ref="Q310">_xlfn.IFS(L310="M","Medium",L310="L","Light",L310="D","Dark")</f>
        <v>Dark</v>
      </c>
      <c r="R310" t="str">
        <f>_xlfn.XLOOKUP(Orders[[#This Row],[Customer ID]],customers!$A$1:$A$1001,customers!$I$1:$I$1001)</f>
        <v>Yes</v>
      </c>
    </row>
    <row r="311" spans="1:18" x14ac:dyDescent="0.35">
      <c r="A311" s="2" t="s">
        <v>4074</v>
      </c>
      <c r="B311" s="4">
        <v>44578</v>
      </c>
      <c r="C311" s="23">
        <f>Orders[[#This Row],[Order Date]]</f>
        <v>44578</v>
      </c>
      <c r="D311" s="2">
        <f>YEAR(Orders[[#This Row],[Order Date]])</f>
        <v>2022</v>
      </c>
      <c r="E311" s="2" t="s">
        <v>4075</v>
      </c>
      <c r="F311" t="s">
        <v>6176</v>
      </c>
      <c r="G311" s="20">
        <v>4</v>
      </c>
      <c r="H311" s="2" t="str">
        <f>INDEX(customers!$A$1:$I$1001,MATCH($E311,customers!$A$1:$A$1001,),MATCH($H$1,customers!$A$1:$I$1,0))</f>
        <v>Eal D'Ambrogio</v>
      </c>
      <c r="I311" s="2" t="str">
        <f>IF(INDEX(customers!$A$1:$I$1001,MATCH($E311,customers!$A$1:$A$1001,0),3)=0,"",INDEX(customers!$A$1:$I$1001,MATCH($E311,customers!$A$1:$A$1001,0),3))</f>
        <v>edambrogiohn@techcrunch.com</v>
      </c>
      <c r="J311" s="2" t="str">
        <f>_xlfn.XLOOKUP(E311,customers!$A$1:$A$1001,customers!$G$1:$G$1001)</f>
        <v>United States</v>
      </c>
      <c r="K311" t="str">
        <f>INDEX(products!$A$1:$G$49,MATCH($F311,products!$A$1:$A$49,0),MATCH(K$1,products!$A$1:$G$1,0))</f>
        <v>Exc</v>
      </c>
      <c r="L311" t="str">
        <f>INDEX(products!$A$1:$G$49,MATCH($F311,products!$A$1:$A$49,0),MATCH(L$1,products!$A$1:$G$1,0))</f>
        <v>L</v>
      </c>
      <c r="M311" s="5">
        <f>INDEX(products!$A$1:$G$49,MATCH($F311,products!$A$1:$A$49,0),MATCH(M$1,products!$A$1:$G$1,0))</f>
        <v>0.5</v>
      </c>
      <c r="N311" s="7">
        <f>INDEX(products!$A$1:$G$49,MATCH($F311,products!$A$1:$A$49,0),MATCH(N$1,products!$A$1:$G$1,0))</f>
        <v>8.91</v>
      </c>
      <c r="O311" s="7">
        <f t="shared" si="4"/>
        <v>35.64</v>
      </c>
      <c r="P311" t="str" cm="1">
        <f t="array" ref="P311">_xlfn.IFS(K311="Rob","Robusta",K311="Exc","Excelsa",K311="Ara","Arabica",K311="Lib","Liberica")</f>
        <v>Excelsa</v>
      </c>
      <c r="Q311" t="str" cm="1">
        <f t="array" ref="Q311">_xlfn.IFS(L311="M","Medium",L311="L","Light",L311="D","Dark")</f>
        <v>Light</v>
      </c>
      <c r="R311" t="str">
        <f>_xlfn.XLOOKUP(Orders[[#This Row],[Customer ID]],customers!$A$1:$A$1001,customers!$I$1:$I$1001)</f>
        <v>Yes</v>
      </c>
    </row>
    <row r="312" spans="1:18" x14ac:dyDescent="0.35">
      <c r="A312" s="2" t="s">
        <v>2163</v>
      </c>
      <c r="B312" s="4">
        <v>44258</v>
      </c>
      <c r="C312" s="23">
        <f>Orders[[#This Row],[Order Date]]</f>
        <v>44258</v>
      </c>
      <c r="D312" s="2">
        <f>YEAR(Orders[[#This Row],[Order Date]])</f>
        <v>2021</v>
      </c>
      <c r="E312" s="2" t="s">
        <v>2164</v>
      </c>
      <c r="F312" t="s">
        <v>6172</v>
      </c>
      <c r="G312" s="20">
        <v>3</v>
      </c>
      <c r="H312" s="2" t="str">
        <f>INDEX(customers!$A$1:$I$1001,MATCH($E312,customers!$A$1:$A$1001,),MATCH($H$1,customers!$A$1:$I$1,0))</f>
        <v>Eddi Sedgebeer</v>
      </c>
      <c r="I312" s="2" t="str">
        <f>IF(INDEX(customers!$A$1:$I$1001,MATCH($E312,customers!$A$1:$A$1001,0),3)=0,"",INDEX(customers!$A$1:$I$1001,MATCH($E312,customers!$A$1:$A$1001,0),3))</f>
        <v>esedgebeer89@oaic.gov.au</v>
      </c>
      <c r="J312" s="2" t="str">
        <f>_xlfn.XLOOKUP(E312,customers!$A$1:$A$1001,customers!$G$1:$G$1001)</f>
        <v>United States</v>
      </c>
      <c r="K312" t="str">
        <f>INDEX(products!$A$1:$G$49,MATCH($F312,products!$A$1:$A$49,0),MATCH(K$1,products!$A$1:$G$1,0))</f>
        <v>Rob</v>
      </c>
      <c r="L312" t="str">
        <f>INDEX(products!$A$1:$G$49,MATCH($F312,products!$A$1:$A$49,0),MATCH(L$1,products!$A$1:$G$1,0))</f>
        <v>D</v>
      </c>
      <c r="M312" s="5">
        <f>INDEX(products!$A$1:$G$49,MATCH($F312,products!$A$1:$A$49,0),MATCH(M$1,products!$A$1:$G$1,0))</f>
        <v>0.5</v>
      </c>
      <c r="N312" s="7">
        <f>INDEX(products!$A$1:$G$49,MATCH($F312,products!$A$1:$A$49,0),MATCH(N$1,products!$A$1:$G$1,0))</f>
        <v>5.3699999999999992</v>
      </c>
      <c r="O312" s="7">
        <f t="shared" si="4"/>
        <v>16.11</v>
      </c>
      <c r="P312" t="str" cm="1">
        <f t="array" ref="P312">_xlfn.IFS(K312="Rob","Robusta",K312="Exc","Excelsa",K312="Ara","Arabica",K312="Lib","Liberica")</f>
        <v>Robusta</v>
      </c>
      <c r="Q312" t="str" cm="1">
        <f t="array" ref="Q312">_xlfn.IFS(L312="M","Medium",L312="L","Light",L312="D","Dark")</f>
        <v>Dark</v>
      </c>
      <c r="R312" t="str">
        <f>_xlfn.XLOOKUP(Orders[[#This Row],[Customer ID]],customers!$A$1:$A$1001,customers!$I$1:$I$1001)</f>
        <v>Yes</v>
      </c>
    </row>
    <row r="313" spans="1:18" x14ac:dyDescent="0.35">
      <c r="A313" s="2" t="s">
        <v>5839</v>
      </c>
      <c r="B313" s="4">
        <v>43719</v>
      </c>
      <c r="C313" s="23">
        <f>Orders[[#This Row],[Order Date]]</f>
        <v>43719</v>
      </c>
      <c r="D313" s="2">
        <f>YEAR(Orders[[#This Row],[Order Date]])</f>
        <v>2019</v>
      </c>
      <c r="E313" s="2" t="s">
        <v>5840</v>
      </c>
      <c r="F313" t="s">
        <v>6169</v>
      </c>
      <c r="G313" s="20">
        <v>3</v>
      </c>
      <c r="H313" s="2" t="str">
        <f>INDEX(customers!$A$1:$I$1001,MATCH($E313,customers!$A$1:$A$1001,),MATCH($H$1,customers!$A$1:$I$1,0))</f>
        <v>Edeline Edney</v>
      </c>
      <c r="I313" s="2" t="str">
        <f>IF(INDEX(customers!$A$1:$I$1001,MATCH($E313,customers!$A$1:$A$1001,0),3)=0,"",INDEX(customers!$A$1:$I$1001,MATCH($E313,customers!$A$1:$A$1001,0),3))</f>
        <v/>
      </c>
      <c r="J313" s="2" t="str">
        <f>_xlfn.XLOOKUP(E313,customers!$A$1:$A$1001,customers!$G$1:$G$1001)</f>
        <v>United States</v>
      </c>
      <c r="K313" t="str">
        <f>INDEX(products!$A$1:$G$49,MATCH($F313,products!$A$1:$A$49,0),MATCH(K$1,products!$A$1:$G$1,0))</f>
        <v>Lib</v>
      </c>
      <c r="L313" t="str">
        <f>INDEX(products!$A$1:$G$49,MATCH($F313,products!$A$1:$A$49,0),MATCH(L$1,products!$A$1:$G$1,0))</f>
        <v>D</v>
      </c>
      <c r="M313" s="5">
        <f>INDEX(products!$A$1:$G$49,MATCH($F313,products!$A$1:$A$49,0),MATCH(M$1,products!$A$1:$G$1,0))</f>
        <v>0.5</v>
      </c>
      <c r="N313" s="7">
        <f>INDEX(products!$A$1:$G$49,MATCH($F313,products!$A$1:$A$49,0),MATCH(N$1,products!$A$1:$G$1,0))</f>
        <v>7.77</v>
      </c>
      <c r="O313" s="7">
        <f t="shared" si="4"/>
        <v>23.31</v>
      </c>
      <c r="P313" t="str" cm="1">
        <f t="array" ref="P313">_xlfn.IFS(K313="Rob","Robusta",K313="Exc","Excelsa",K313="Ara","Arabica",K313="Lib","Liberica")</f>
        <v>Liberica</v>
      </c>
      <c r="Q313" t="str" cm="1">
        <f t="array" ref="Q313">_xlfn.IFS(L313="M","Medium",L313="L","Light",L313="D","Dark")</f>
        <v>Dark</v>
      </c>
      <c r="R313" t="str">
        <f>_xlfn.XLOOKUP(Orders[[#This Row],[Customer ID]],customers!$A$1:$A$1001,customers!$I$1:$I$1001)</f>
        <v>No</v>
      </c>
    </row>
    <row r="314" spans="1:18" x14ac:dyDescent="0.35">
      <c r="A314" s="2" t="s">
        <v>5273</v>
      </c>
      <c r="B314" s="4">
        <v>44747</v>
      </c>
      <c r="C314" s="23">
        <f>Orders[[#This Row],[Order Date]]</f>
        <v>44747</v>
      </c>
      <c r="D314" s="2">
        <f>YEAR(Orders[[#This Row],[Order Date]])</f>
        <v>2022</v>
      </c>
      <c r="E314" s="2" t="s">
        <v>5274</v>
      </c>
      <c r="F314" t="s">
        <v>6175</v>
      </c>
      <c r="G314" s="20">
        <v>2</v>
      </c>
      <c r="H314" s="2" t="str">
        <f>INDEX(customers!$A$1:$I$1001,MATCH($E314,customers!$A$1:$A$1001,),MATCH($H$1,customers!$A$1:$I$1,0))</f>
        <v>Edin Mathe</v>
      </c>
      <c r="I314" s="2" t="str">
        <f>IF(INDEX(customers!$A$1:$I$1001,MATCH($E314,customers!$A$1:$A$1001,0),3)=0,"",INDEX(customers!$A$1:$I$1001,MATCH($E314,customers!$A$1:$A$1001,0),3))</f>
        <v/>
      </c>
      <c r="J314" s="2" t="str">
        <f>_xlfn.XLOOKUP(E314,customers!$A$1:$A$1001,customers!$G$1:$G$1001)</f>
        <v>United States</v>
      </c>
      <c r="K314" t="str">
        <f>INDEX(products!$A$1:$G$49,MATCH($F314,products!$A$1:$A$49,0),MATCH(K$1,products!$A$1:$G$1,0))</f>
        <v>Ara</v>
      </c>
      <c r="L314" t="str">
        <f>INDEX(products!$A$1:$G$49,MATCH($F314,products!$A$1:$A$49,0),MATCH(L$1,products!$A$1:$G$1,0))</f>
        <v>M</v>
      </c>
      <c r="M314" s="5">
        <f>INDEX(products!$A$1:$G$49,MATCH($F314,products!$A$1:$A$49,0),MATCH(M$1,products!$A$1:$G$1,0))</f>
        <v>2.5</v>
      </c>
      <c r="N314" s="7">
        <f>INDEX(products!$A$1:$G$49,MATCH($F314,products!$A$1:$A$49,0),MATCH(N$1,products!$A$1:$G$1,0))</f>
        <v>25.874999999999996</v>
      </c>
      <c r="O314" s="7">
        <f t="shared" si="4"/>
        <v>51.749999999999993</v>
      </c>
      <c r="P314" t="str" cm="1">
        <f t="array" ref="P314">_xlfn.IFS(K314="Rob","Robusta",K314="Exc","Excelsa",K314="Ara","Arabica",K314="Lib","Liberica")</f>
        <v>Arabica</v>
      </c>
      <c r="Q314" t="str" cm="1">
        <f t="array" ref="Q314">_xlfn.IFS(L314="M","Medium",L314="L","Light",L314="D","Dark")</f>
        <v>Medium</v>
      </c>
      <c r="R314" t="str">
        <f>_xlfn.XLOOKUP(Orders[[#This Row],[Customer ID]],customers!$A$1:$A$1001,customers!$I$1:$I$1001)</f>
        <v>Yes</v>
      </c>
    </row>
    <row r="315" spans="1:18" x14ac:dyDescent="0.35">
      <c r="A315" s="2" t="s">
        <v>3458</v>
      </c>
      <c r="B315" s="4">
        <v>44038</v>
      </c>
      <c r="C315" s="23">
        <f>Orders[[#This Row],[Order Date]]</f>
        <v>44038</v>
      </c>
      <c r="D315" s="2">
        <f>YEAR(Orders[[#This Row],[Order Date]])</f>
        <v>2020</v>
      </c>
      <c r="E315" s="2" t="s">
        <v>3459</v>
      </c>
      <c r="F315" t="s">
        <v>6163</v>
      </c>
      <c r="G315" s="20">
        <v>5</v>
      </c>
      <c r="H315" s="2" t="str">
        <f>INDEX(customers!$A$1:$I$1001,MATCH($E315,customers!$A$1:$A$1001,),MATCH($H$1,customers!$A$1:$I$1,0))</f>
        <v>Edin Yantsurev</v>
      </c>
      <c r="I315" s="2" t="str">
        <f>IF(INDEX(customers!$A$1:$I$1001,MATCH($E315,customers!$A$1:$A$1001,0),3)=0,"",INDEX(customers!$A$1:$I$1001,MATCH($E315,customers!$A$1:$A$1001,0),3))</f>
        <v/>
      </c>
      <c r="J315" s="2" t="str">
        <f>_xlfn.XLOOKUP(E315,customers!$A$1:$A$1001,customers!$G$1:$G$1001)</f>
        <v>United States</v>
      </c>
      <c r="K315" t="str">
        <f>INDEX(products!$A$1:$G$49,MATCH($F315,products!$A$1:$A$49,0),MATCH(K$1,products!$A$1:$G$1,0))</f>
        <v>Rob</v>
      </c>
      <c r="L315" t="str">
        <f>INDEX(products!$A$1:$G$49,MATCH($F315,products!$A$1:$A$49,0),MATCH(L$1,products!$A$1:$G$1,0))</f>
        <v>D</v>
      </c>
      <c r="M315" s="5">
        <f>INDEX(products!$A$1:$G$49,MATCH($F315,products!$A$1:$A$49,0),MATCH(M$1,products!$A$1:$G$1,0))</f>
        <v>0.2</v>
      </c>
      <c r="N315" s="7">
        <f>INDEX(products!$A$1:$G$49,MATCH($F315,products!$A$1:$A$49,0),MATCH(N$1,products!$A$1:$G$1,0))</f>
        <v>2.6849999999999996</v>
      </c>
      <c r="O315" s="7">
        <f t="shared" si="4"/>
        <v>13.424999999999997</v>
      </c>
      <c r="P315" t="str" cm="1">
        <f t="array" ref="P315">_xlfn.IFS(K315="Rob","Robusta",K315="Exc","Excelsa",K315="Ara","Arabica",K315="Lib","Liberica")</f>
        <v>Robusta</v>
      </c>
      <c r="Q315" t="str" cm="1">
        <f t="array" ref="Q315">_xlfn.IFS(L315="M","Medium",L315="L","Light",L315="D","Dark")</f>
        <v>Dark</v>
      </c>
      <c r="R315" t="str">
        <f>_xlfn.XLOOKUP(Orders[[#This Row],[Customer ID]],customers!$A$1:$A$1001,customers!$I$1:$I$1001)</f>
        <v>Yes</v>
      </c>
    </row>
    <row r="316" spans="1:18" x14ac:dyDescent="0.35">
      <c r="A316" s="2" t="s">
        <v>1866</v>
      </c>
      <c r="B316" s="4">
        <v>44702</v>
      </c>
      <c r="C316" s="23">
        <f>Orders[[#This Row],[Order Date]]</f>
        <v>44702</v>
      </c>
      <c r="D316" s="2">
        <f>YEAR(Orders[[#This Row],[Order Date]])</f>
        <v>2022</v>
      </c>
      <c r="E316" s="2" t="s">
        <v>1867</v>
      </c>
      <c r="F316" t="s">
        <v>6181</v>
      </c>
      <c r="G316" s="20">
        <v>4</v>
      </c>
      <c r="H316" s="2" t="str">
        <f>INDEX(customers!$A$1:$I$1001,MATCH($E316,customers!$A$1:$A$1001,),MATCH($H$1,customers!$A$1:$I$1,0))</f>
        <v>Effie Yurkov</v>
      </c>
      <c r="I316" s="2" t="str">
        <f>IF(INDEX(customers!$A$1:$I$1001,MATCH($E316,customers!$A$1:$A$1001,0),3)=0,"",INDEX(customers!$A$1:$I$1001,MATCH($E316,customers!$A$1:$A$1001,0),3))</f>
        <v>eyurkov6s@hud.gov</v>
      </c>
      <c r="J316" s="2" t="str">
        <f>_xlfn.XLOOKUP(E316,customers!$A$1:$A$1001,customers!$G$1:$G$1001)</f>
        <v>United States</v>
      </c>
      <c r="K316" t="str">
        <f>INDEX(products!$A$1:$G$49,MATCH($F316,products!$A$1:$A$49,0),MATCH(K$1,products!$A$1:$G$1,0))</f>
        <v>Lib</v>
      </c>
      <c r="L316" t="str">
        <f>INDEX(products!$A$1:$G$49,MATCH($F316,products!$A$1:$A$49,0),MATCH(L$1,products!$A$1:$G$1,0))</f>
        <v>M</v>
      </c>
      <c r="M316" s="5">
        <f>INDEX(products!$A$1:$G$49,MATCH($F316,products!$A$1:$A$49,0),MATCH(M$1,products!$A$1:$G$1,0))</f>
        <v>2.5</v>
      </c>
      <c r="N316" s="7">
        <f>INDEX(products!$A$1:$G$49,MATCH($F316,products!$A$1:$A$49,0),MATCH(N$1,products!$A$1:$G$1,0))</f>
        <v>33.464999999999996</v>
      </c>
      <c r="O316" s="7">
        <f t="shared" si="4"/>
        <v>133.85999999999999</v>
      </c>
      <c r="P316" t="str" cm="1">
        <f t="array" ref="P316">_xlfn.IFS(K316="Rob","Robusta",K316="Exc","Excelsa",K316="Ara","Arabica",K316="Lib","Liberica")</f>
        <v>Liberica</v>
      </c>
      <c r="Q316" t="str" cm="1">
        <f t="array" ref="Q316">_xlfn.IFS(L316="M","Medium",L316="L","Light",L316="D","Dark")</f>
        <v>Medium</v>
      </c>
      <c r="R316" t="str">
        <f>_xlfn.XLOOKUP(Orders[[#This Row],[Customer ID]],customers!$A$1:$A$1001,customers!$I$1:$I$1001)</f>
        <v>No</v>
      </c>
    </row>
    <row r="317" spans="1:18" x14ac:dyDescent="0.35">
      <c r="A317" s="2" t="s">
        <v>4405</v>
      </c>
      <c r="B317" s="4">
        <v>44012</v>
      </c>
      <c r="C317" s="23">
        <f>Orders[[#This Row],[Order Date]]</f>
        <v>44012</v>
      </c>
      <c r="D317" s="2">
        <f>YEAR(Orders[[#This Row],[Order Date]])</f>
        <v>2020</v>
      </c>
      <c r="E317" s="2" t="s">
        <v>4406</v>
      </c>
      <c r="F317" t="s">
        <v>6175</v>
      </c>
      <c r="G317" s="20">
        <v>2</v>
      </c>
      <c r="H317" s="2" t="str">
        <f>INDEX(customers!$A$1:$I$1001,MATCH($E317,customers!$A$1:$A$1001,),MATCH($H$1,customers!$A$1:$I$1,0))</f>
        <v>Elden Andriessen</v>
      </c>
      <c r="I317" s="2" t="str">
        <f>IF(INDEX(customers!$A$1:$I$1001,MATCH($E317,customers!$A$1:$A$1001,0),3)=0,"",INDEX(customers!$A$1:$I$1001,MATCH($E317,customers!$A$1:$A$1001,0),3))</f>
        <v>eandriessenj9@europa.eu</v>
      </c>
      <c r="J317" s="2" t="str">
        <f>_xlfn.XLOOKUP(E317,customers!$A$1:$A$1001,customers!$G$1:$G$1001)</f>
        <v>United States</v>
      </c>
      <c r="K317" t="str">
        <f>INDEX(products!$A$1:$G$49,MATCH($F317,products!$A$1:$A$49,0),MATCH(K$1,products!$A$1:$G$1,0))</f>
        <v>Ara</v>
      </c>
      <c r="L317" t="str">
        <f>INDEX(products!$A$1:$G$49,MATCH($F317,products!$A$1:$A$49,0),MATCH(L$1,products!$A$1:$G$1,0))</f>
        <v>M</v>
      </c>
      <c r="M317" s="5">
        <f>INDEX(products!$A$1:$G$49,MATCH($F317,products!$A$1:$A$49,0),MATCH(M$1,products!$A$1:$G$1,0))</f>
        <v>2.5</v>
      </c>
      <c r="N317" s="7">
        <f>INDEX(products!$A$1:$G$49,MATCH($F317,products!$A$1:$A$49,0),MATCH(N$1,products!$A$1:$G$1,0))</f>
        <v>25.874999999999996</v>
      </c>
      <c r="O317" s="7">
        <f t="shared" si="4"/>
        <v>51.749999999999993</v>
      </c>
      <c r="P317" t="str" cm="1">
        <f t="array" ref="P317">_xlfn.IFS(K317="Rob","Robusta",K317="Exc","Excelsa",K317="Ara","Arabica",K317="Lib","Liberica")</f>
        <v>Arabica</v>
      </c>
      <c r="Q317" t="str" cm="1">
        <f t="array" ref="Q317">_xlfn.IFS(L317="M","Medium",L317="L","Light",L317="D","Dark")</f>
        <v>Medium</v>
      </c>
      <c r="R317" t="str">
        <f>_xlfn.XLOOKUP(Orders[[#This Row],[Customer ID]],customers!$A$1:$A$1001,customers!$I$1:$I$1001)</f>
        <v>Yes</v>
      </c>
    </row>
    <row r="318" spans="1:18" x14ac:dyDescent="0.35">
      <c r="A318" s="2" t="s">
        <v>3718</v>
      </c>
      <c r="B318" s="4">
        <v>44592</v>
      </c>
      <c r="C318" s="23">
        <f>Orders[[#This Row],[Order Date]]</f>
        <v>44592</v>
      </c>
      <c r="D318" s="2">
        <f>YEAR(Orders[[#This Row],[Order Date]])</f>
        <v>2022</v>
      </c>
      <c r="E318" s="2" t="s">
        <v>3719</v>
      </c>
      <c r="F318" t="s">
        <v>6176</v>
      </c>
      <c r="G318" s="20">
        <v>4</v>
      </c>
      <c r="H318" s="2" t="str">
        <f>INDEX(customers!$A$1:$I$1001,MATCH($E318,customers!$A$1:$A$1001,),MATCH($H$1,customers!$A$1:$I$1,0))</f>
        <v>Elizabet Aizikowitz</v>
      </c>
      <c r="I318" s="2" t="str">
        <f>IF(INDEX(customers!$A$1:$I$1001,MATCH($E318,customers!$A$1:$A$1001,0),3)=0,"",INDEX(customers!$A$1:$I$1001,MATCH($E318,customers!$A$1:$A$1001,0),3))</f>
        <v>eaizikowitzfv@virginia.edu</v>
      </c>
      <c r="J318" s="2" t="str">
        <f>_xlfn.XLOOKUP(E318,customers!$A$1:$A$1001,customers!$G$1:$G$1001)</f>
        <v>United Kingdom</v>
      </c>
      <c r="K318" t="str">
        <f>INDEX(products!$A$1:$G$49,MATCH($F318,products!$A$1:$A$49,0),MATCH(K$1,products!$A$1:$G$1,0))</f>
        <v>Exc</v>
      </c>
      <c r="L318" t="str">
        <f>INDEX(products!$A$1:$G$49,MATCH($F318,products!$A$1:$A$49,0),MATCH(L$1,products!$A$1:$G$1,0))</f>
        <v>L</v>
      </c>
      <c r="M318" s="5">
        <f>INDEX(products!$A$1:$G$49,MATCH($F318,products!$A$1:$A$49,0),MATCH(M$1,products!$A$1:$G$1,0))</f>
        <v>0.5</v>
      </c>
      <c r="N318" s="7">
        <f>INDEX(products!$A$1:$G$49,MATCH($F318,products!$A$1:$A$49,0),MATCH(N$1,products!$A$1:$G$1,0))</f>
        <v>8.91</v>
      </c>
      <c r="O318" s="7">
        <f t="shared" si="4"/>
        <v>35.64</v>
      </c>
      <c r="P318" t="str" cm="1">
        <f t="array" ref="P318">_xlfn.IFS(K318="Rob","Robusta",K318="Exc","Excelsa",K318="Ara","Arabica",K318="Lib","Liberica")</f>
        <v>Excelsa</v>
      </c>
      <c r="Q318" t="str" cm="1">
        <f t="array" ref="Q318">_xlfn.IFS(L318="M","Medium",L318="L","Light",L318="D","Dark")</f>
        <v>Light</v>
      </c>
      <c r="R318" t="str">
        <f>_xlfn.XLOOKUP(Orders[[#This Row],[Customer ID]],customers!$A$1:$A$1001,customers!$I$1:$I$1001)</f>
        <v>No</v>
      </c>
    </row>
    <row r="319" spans="1:18" x14ac:dyDescent="0.35">
      <c r="A319" s="2" t="s">
        <v>2644</v>
      </c>
      <c r="B319" s="4">
        <v>43840</v>
      </c>
      <c r="C319" s="23">
        <f>Orders[[#This Row],[Order Date]]</f>
        <v>43840</v>
      </c>
      <c r="D319" s="2">
        <f>YEAR(Orders[[#This Row],[Order Date]])</f>
        <v>2020</v>
      </c>
      <c r="E319" s="2" t="s">
        <v>2645</v>
      </c>
      <c r="F319" t="s">
        <v>6144</v>
      </c>
      <c r="G319" s="20">
        <v>3</v>
      </c>
      <c r="H319" s="2" t="str">
        <f>INDEX(customers!$A$1:$I$1001,MATCH($E319,customers!$A$1:$A$1001,),MATCH($H$1,customers!$A$1:$I$1,0))</f>
        <v>Elka Windress</v>
      </c>
      <c r="I319" s="2" t="str">
        <f>IF(INDEX(customers!$A$1:$I$1001,MATCH($E319,customers!$A$1:$A$1001,0),3)=0,"",INDEX(customers!$A$1:$I$1001,MATCH($E319,customers!$A$1:$A$1001,0),3))</f>
        <v>ewindressam@marketwatch.com</v>
      </c>
      <c r="J319" s="2" t="str">
        <f>_xlfn.XLOOKUP(E319,customers!$A$1:$A$1001,customers!$G$1:$G$1001)</f>
        <v>United States</v>
      </c>
      <c r="K319" t="str">
        <f>INDEX(products!$A$1:$G$49,MATCH($F319,products!$A$1:$A$49,0),MATCH(K$1,products!$A$1:$G$1,0))</f>
        <v>Exc</v>
      </c>
      <c r="L319" t="str">
        <f>INDEX(products!$A$1:$G$49,MATCH($F319,products!$A$1:$A$49,0),MATCH(L$1,products!$A$1:$G$1,0))</f>
        <v>D</v>
      </c>
      <c r="M319" s="5">
        <f>INDEX(products!$A$1:$G$49,MATCH($F319,products!$A$1:$A$49,0),MATCH(M$1,products!$A$1:$G$1,0))</f>
        <v>0.5</v>
      </c>
      <c r="N319" s="7">
        <f>INDEX(products!$A$1:$G$49,MATCH($F319,products!$A$1:$A$49,0),MATCH(N$1,products!$A$1:$G$1,0))</f>
        <v>7.29</v>
      </c>
      <c r="O319" s="7">
        <f t="shared" si="4"/>
        <v>21.87</v>
      </c>
      <c r="P319" t="str" cm="1">
        <f t="array" ref="P319">_xlfn.IFS(K319="Rob","Robusta",K319="Exc","Excelsa",K319="Ara","Arabica",K319="Lib","Liberica")</f>
        <v>Excelsa</v>
      </c>
      <c r="Q319" t="str" cm="1">
        <f t="array" ref="Q319">_xlfn.IFS(L319="M","Medium",L319="L","Light",L319="D","Dark")</f>
        <v>Dark</v>
      </c>
      <c r="R319" t="str">
        <f>_xlfn.XLOOKUP(Orders[[#This Row],[Customer ID]],customers!$A$1:$A$1001,customers!$I$1:$I$1001)</f>
        <v>No</v>
      </c>
    </row>
    <row r="320" spans="1:18" x14ac:dyDescent="0.35">
      <c r="A320" s="2" t="s">
        <v>985</v>
      </c>
      <c r="B320" s="4">
        <v>44284</v>
      </c>
      <c r="C320" s="23">
        <f>Orders[[#This Row],[Order Date]]</f>
        <v>44284</v>
      </c>
      <c r="D320" s="2">
        <f>YEAR(Orders[[#This Row],[Order Date]])</f>
        <v>2021</v>
      </c>
      <c r="E320" s="2" t="s">
        <v>986</v>
      </c>
      <c r="F320" t="s">
        <v>6179</v>
      </c>
      <c r="G320" s="20">
        <v>3</v>
      </c>
      <c r="H320" s="2" t="str">
        <f>INDEX(customers!$A$1:$I$1001,MATCH($E320,customers!$A$1:$A$1001,),MATCH($H$1,customers!$A$1:$I$1,0))</f>
        <v>Elna Grise</v>
      </c>
      <c r="I320" s="2" t="str">
        <f>IF(INDEX(customers!$A$1:$I$1001,MATCH($E320,customers!$A$1:$A$1001,0),3)=0,"",INDEX(customers!$A$1:$I$1001,MATCH($E320,customers!$A$1:$A$1001,0),3))</f>
        <v>egrise2g@cargocollective.com</v>
      </c>
      <c r="J320" s="2" t="str">
        <f>_xlfn.XLOOKUP(E320,customers!$A$1:$A$1001,customers!$G$1:$G$1001)</f>
        <v>United States</v>
      </c>
      <c r="K320" t="str">
        <f>INDEX(products!$A$1:$G$49,MATCH($F320,products!$A$1:$A$49,0),MATCH(K$1,products!$A$1:$G$1,0))</f>
        <v>Rob</v>
      </c>
      <c r="L320" t="str">
        <f>INDEX(products!$A$1:$G$49,MATCH($F320,products!$A$1:$A$49,0),MATCH(L$1,products!$A$1:$G$1,0))</f>
        <v>L</v>
      </c>
      <c r="M320" s="5">
        <f>INDEX(products!$A$1:$G$49,MATCH($F320,products!$A$1:$A$49,0),MATCH(M$1,products!$A$1:$G$1,0))</f>
        <v>1</v>
      </c>
      <c r="N320" s="7">
        <f>INDEX(products!$A$1:$G$49,MATCH($F320,products!$A$1:$A$49,0),MATCH(N$1,products!$A$1:$G$1,0))</f>
        <v>11.95</v>
      </c>
      <c r="O320" s="7">
        <f t="shared" si="4"/>
        <v>35.849999999999994</v>
      </c>
      <c r="P320" t="str" cm="1">
        <f t="array" ref="P320">_xlfn.IFS(K320="Rob","Robusta",K320="Exc","Excelsa",K320="Ara","Arabica",K320="Lib","Liberica")</f>
        <v>Robusta</v>
      </c>
      <c r="Q320" t="str" cm="1">
        <f t="array" ref="Q320">_xlfn.IFS(L320="M","Medium",L320="L","Light",L320="D","Dark")</f>
        <v>Light</v>
      </c>
      <c r="R320" t="str">
        <f>_xlfn.XLOOKUP(Orders[[#This Row],[Customer ID]],customers!$A$1:$A$1001,customers!$I$1:$I$1001)</f>
        <v>No</v>
      </c>
    </row>
    <row r="321" spans="1:18" x14ac:dyDescent="0.35">
      <c r="A321" s="2" t="s">
        <v>2375</v>
      </c>
      <c r="B321" s="4">
        <v>43742</v>
      </c>
      <c r="C321" s="23">
        <f>Orders[[#This Row],[Order Date]]</f>
        <v>43742</v>
      </c>
      <c r="D321" s="2">
        <f>YEAR(Orders[[#This Row],[Order Date]])</f>
        <v>2019</v>
      </c>
      <c r="E321" s="2" t="s">
        <v>2376</v>
      </c>
      <c r="F321" t="s">
        <v>6179</v>
      </c>
      <c r="G321" s="20">
        <v>5</v>
      </c>
      <c r="H321" s="2" t="str">
        <f>INDEX(customers!$A$1:$I$1001,MATCH($E321,customers!$A$1:$A$1001,),MATCH($H$1,customers!$A$1:$I$1,0))</f>
        <v>Elonore Goodings</v>
      </c>
      <c r="I321" s="2" t="str">
        <f>IF(INDEX(customers!$A$1:$I$1001,MATCH($E321,customers!$A$1:$A$1001,0),3)=0,"",INDEX(customers!$A$1:$I$1001,MATCH($E321,customers!$A$1:$A$1001,0),3))</f>
        <v/>
      </c>
      <c r="J321" s="2" t="str">
        <f>_xlfn.XLOOKUP(E321,customers!$A$1:$A$1001,customers!$G$1:$G$1001)</f>
        <v>United States</v>
      </c>
      <c r="K321" t="str">
        <f>INDEX(products!$A$1:$G$49,MATCH($F321,products!$A$1:$A$49,0),MATCH(K$1,products!$A$1:$G$1,0))</f>
        <v>Rob</v>
      </c>
      <c r="L321" t="str">
        <f>INDEX(products!$A$1:$G$49,MATCH($F321,products!$A$1:$A$49,0),MATCH(L$1,products!$A$1:$G$1,0))</f>
        <v>L</v>
      </c>
      <c r="M321" s="5">
        <f>INDEX(products!$A$1:$G$49,MATCH($F321,products!$A$1:$A$49,0),MATCH(M$1,products!$A$1:$G$1,0))</f>
        <v>1</v>
      </c>
      <c r="N321" s="7">
        <f>INDEX(products!$A$1:$G$49,MATCH($F321,products!$A$1:$A$49,0),MATCH(N$1,products!$A$1:$G$1,0))</f>
        <v>11.95</v>
      </c>
      <c r="O321" s="7">
        <f t="shared" si="4"/>
        <v>59.75</v>
      </c>
      <c r="P321" t="str" cm="1">
        <f t="array" ref="P321">_xlfn.IFS(K321="Rob","Robusta",K321="Exc","Excelsa",K321="Ara","Arabica",K321="Lib","Liberica")</f>
        <v>Robusta</v>
      </c>
      <c r="Q321" t="str" cm="1">
        <f t="array" ref="Q321">_xlfn.IFS(L321="M","Medium",L321="L","Light",L321="D","Dark")</f>
        <v>Light</v>
      </c>
      <c r="R321" t="str">
        <f>_xlfn.XLOOKUP(Orders[[#This Row],[Customer ID]],customers!$A$1:$A$1001,customers!$I$1:$I$1001)</f>
        <v>No</v>
      </c>
    </row>
    <row r="322" spans="1:18" x14ac:dyDescent="0.35">
      <c r="A322" s="2" t="s">
        <v>1261</v>
      </c>
      <c r="B322" s="4">
        <v>44637</v>
      </c>
      <c r="C322" s="23">
        <f>Orders[[#This Row],[Order Date]]</f>
        <v>44637</v>
      </c>
      <c r="D322" s="2">
        <f>YEAR(Orders[[#This Row],[Order Date]])</f>
        <v>2022</v>
      </c>
      <c r="E322" s="2" t="s">
        <v>1262</v>
      </c>
      <c r="F322" t="s">
        <v>6148</v>
      </c>
      <c r="G322" s="20">
        <v>3</v>
      </c>
      <c r="H322" s="2" t="str">
        <f>INDEX(customers!$A$1:$I$1001,MATCH($E322,customers!$A$1:$A$1001,),MATCH($H$1,customers!$A$1:$I$1,0))</f>
        <v>Elonore Joliffe</v>
      </c>
      <c r="I322" s="2" t="str">
        <f>IF(INDEX(customers!$A$1:$I$1001,MATCH($E322,customers!$A$1:$A$1001,0),3)=0,"",INDEX(customers!$A$1:$I$1001,MATCH($E322,customers!$A$1:$A$1001,0),3))</f>
        <v/>
      </c>
      <c r="J322" s="2" t="str">
        <f>_xlfn.XLOOKUP(E322,customers!$A$1:$A$1001,customers!$G$1:$G$1001)</f>
        <v>Ireland</v>
      </c>
      <c r="K322" t="str">
        <f>INDEX(products!$A$1:$G$49,MATCH($F322,products!$A$1:$A$49,0),MATCH(K$1,products!$A$1:$G$1,0))</f>
        <v>Exc</v>
      </c>
      <c r="L322" t="str">
        <f>INDEX(products!$A$1:$G$49,MATCH($F322,products!$A$1:$A$49,0),MATCH(L$1,products!$A$1:$G$1,0))</f>
        <v>L</v>
      </c>
      <c r="M322" s="5">
        <f>INDEX(products!$A$1:$G$49,MATCH($F322,products!$A$1:$A$49,0),MATCH(M$1,products!$A$1:$G$1,0))</f>
        <v>2.5</v>
      </c>
      <c r="N322" s="7">
        <f>INDEX(products!$A$1:$G$49,MATCH($F322,products!$A$1:$A$49,0),MATCH(N$1,products!$A$1:$G$1,0))</f>
        <v>34.154999999999994</v>
      </c>
      <c r="O322" s="7">
        <f t="shared" ref="O322:O385" si="5">N322*G322</f>
        <v>102.46499999999997</v>
      </c>
      <c r="P322" t="str" cm="1">
        <f t="array" ref="P322">_xlfn.IFS(K322="Rob","Robusta",K322="Exc","Excelsa",K322="Ara","Arabica",K322="Lib","Liberica")</f>
        <v>Excelsa</v>
      </c>
      <c r="Q322" t="str" cm="1">
        <f t="array" ref="Q322">_xlfn.IFS(L322="M","Medium",L322="L","Light",L322="D","Dark")</f>
        <v>Light</v>
      </c>
      <c r="R322" t="str">
        <f>_xlfn.XLOOKUP(Orders[[#This Row],[Customer ID]],customers!$A$1:$A$1001,customers!$I$1:$I$1001)</f>
        <v>No</v>
      </c>
    </row>
    <row r="323" spans="1:18" x14ac:dyDescent="0.35">
      <c r="A323" s="2" t="s">
        <v>1759</v>
      </c>
      <c r="B323" s="4">
        <v>44337</v>
      </c>
      <c r="C323" s="23">
        <f>Orders[[#This Row],[Order Date]]</f>
        <v>44337</v>
      </c>
      <c r="D323" s="2">
        <f>YEAR(Orders[[#This Row],[Order Date]])</f>
        <v>2021</v>
      </c>
      <c r="E323" s="2" t="s">
        <v>1760</v>
      </c>
      <c r="F323" t="s">
        <v>6178</v>
      </c>
      <c r="G323" s="20">
        <v>4</v>
      </c>
      <c r="H323" s="2" t="str">
        <f>INDEX(customers!$A$1:$I$1001,MATCH($E323,customers!$A$1:$A$1001,),MATCH($H$1,customers!$A$1:$I$1,0))</f>
        <v>Elsbeth Westerman</v>
      </c>
      <c r="I323" s="2" t="str">
        <f>IF(INDEX(customers!$A$1:$I$1001,MATCH($E323,customers!$A$1:$A$1001,0),3)=0,"",INDEX(customers!$A$1:$I$1001,MATCH($E323,customers!$A$1:$A$1001,0),3))</f>
        <v>ewesterman69@si.edu</v>
      </c>
      <c r="J323" s="2" t="str">
        <f>_xlfn.XLOOKUP(E323,customers!$A$1:$A$1001,customers!$G$1:$G$1001)</f>
        <v>Ireland</v>
      </c>
      <c r="K323" t="str">
        <f>INDEX(products!$A$1:$G$49,MATCH($F323,products!$A$1:$A$49,0),MATCH(K$1,products!$A$1:$G$1,0))</f>
        <v>Rob</v>
      </c>
      <c r="L323" t="str">
        <f>INDEX(products!$A$1:$G$49,MATCH($F323,products!$A$1:$A$49,0),MATCH(L$1,products!$A$1:$G$1,0))</f>
        <v>L</v>
      </c>
      <c r="M323" s="5">
        <f>INDEX(products!$A$1:$G$49,MATCH($F323,products!$A$1:$A$49,0),MATCH(M$1,products!$A$1:$G$1,0))</f>
        <v>0.2</v>
      </c>
      <c r="N323" s="7">
        <f>INDEX(products!$A$1:$G$49,MATCH($F323,products!$A$1:$A$49,0),MATCH(N$1,products!$A$1:$G$1,0))</f>
        <v>3.5849999999999995</v>
      </c>
      <c r="O323" s="7">
        <f t="shared" si="5"/>
        <v>14.339999999999998</v>
      </c>
      <c r="P323" t="str" cm="1">
        <f t="array" ref="P323">_xlfn.IFS(K323="Rob","Robusta",K323="Exc","Excelsa",K323="Ara","Arabica",K323="Lib","Liberica")</f>
        <v>Robusta</v>
      </c>
      <c r="Q323" t="str" cm="1">
        <f t="array" ref="Q323">_xlfn.IFS(L323="M","Medium",L323="L","Light",L323="D","Dark")</f>
        <v>Light</v>
      </c>
      <c r="R323" t="str">
        <f>_xlfn.XLOOKUP(Orders[[#This Row],[Customer ID]],customers!$A$1:$A$1001,customers!$I$1:$I$1001)</f>
        <v>No</v>
      </c>
    </row>
    <row r="324" spans="1:18" x14ac:dyDescent="0.35">
      <c r="A324" s="2" t="s">
        <v>1012</v>
      </c>
      <c r="B324" s="4">
        <v>43538</v>
      </c>
      <c r="C324" s="23">
        <f>Orders[[#This Row],[Order Date]]</f>
        <v>43538</v>
      </c>
      <c r="D324" s="2">
        <f>YEAR(Orders[[#This Row],[Order Date]])</f>
        <v>2019</v>
      </c>
      <c r="E324" s="2" t="s">
        <v>1013</v>
      </c>
      <c r="F324" t="s">
        <v>6176</v>
      </c>
      <c r="G324" s="20">
        <v>4</v>
      </c>
      <c r="H324" s="2" t="str">
        <f>INDEX(customers!$A$1:$I$1001,MATCH($E324,customers!$A$1:$A$1001,),MATCH($H$1,customers!$A$1:$I$1,0))</f>
        <v>Else Langcaster</v>
      </c>
      <c r="I324" s="2" t="str">
        <f>IF(INDEX(customers!$A$1:$I$1001,MATCH($E324,customers!$A$1:$A$1001,0),3)=0,"",INDEX(customers!$A$1:$I$1001,MATCH($E324,customers!$A$1:$A$1001,0),3))</f>
        <v>elangcaster2l@spotify.com</v>
      </c>
      <c r="J324" s="2" t="str">
        <f>_xlfn.XLOOKUP(E324,customers!$A$1:$A$1001,customers!$G$1:$G$1001)</f>
        <v>United Kingdom</v>
      </c>
      <c r="K324" t="str">
        <f>INDEX(products!$A$1:$G$49,MATCH($F324,products!$A$1:$A$49,0),MATCH(K$1,products!$A$1:$G$1,0))</f>
        <v>Exc</v>
      </c>
      <c r="L324" t="str">
        <f>INDEX(products!$A$1:$G$49,MATCH($F324,products!$A$1:$A$49,0),MATCH(L$1,products!$A$1:$G$1,0))</f>
        <v>L</v>
      </c>
      <c r="M324" s="5">
        <f>INDEX(products!$A$1:$G$49,MATCH($F324,products!$A$1:$A$49,0),MATCH(M$1,products!$A$1:$G$1,0))</f>
        <v>0.5</v>
      </c>
      <c r="N324" s="7">
        <f>INDEX(products!$A$1:$G$49,MATCH($F324,products!$A$1:$A$49,0),MATCH(N$1,products!$A$1:$G$1,0))</f>
        <v>8.91</v>
      </c>
      <c r="O324" s="7">
        <f t="shared" si="5"/>
        <v>35.64</v>
      </c>
      <c r="P324" t="str" cm="1">
        <f t="array" ref="P324">_xlfn.IFS(K324="Rob","Robusta",K324="Exc","Excelsa",K324="Ara","Arabica",K324="Lib","Liberica")</f>
        <v>Excelsa</v>
      </c>
      <c r="Q324" t="str" cm="1">
        <f t="array" ref="Q324">_xlfn.IFS(L324="M","Medium",L324="L","Light",L324="D","Dark")</f>
        <v>Light</v>
      </c>
      <c r="R324" t="str">
        <f>_xlfn.XLOOKUP(Orders[[#This Row],[Customer ID]],customers!$A$1:$A$1001,customers!$I$1:$I$1001)</f>
        <v>Yes</v>
      </c>
    </row>
    <row r="325" spans="1:18" x14ac:dyDescent="0.35">
      <c r="A325" s="2" t="s">
        <v>3695</v>
      </c>
      <c r="B325" s="4">
        <v>44318</v>
      </c>
      <c r="C325" s="23">
        <f>Orders[[#This Row],[Order Date]]</f>
        <v>44318</v>
      </c>
      <c r="D325" s="2">
        <f>YEAR(Orders[[#This Row],[Order Date]])</f>
        <v>2021</v>
      </c>
      <c r="E325" s="2" t="s">
        <v>3696</v>
      </c>
      <c r="F325" t="s">
        <v>6142</v>
      </c>
      <c r="G325" s="20">
        <v>6</v>
      </c>
      <c r="H325" s="2" t="str">
        <f>INDEX(customers!$A$1:$I$1001,MATCH($E325,customers!$A$1:$A$1001,),MATCH($H$1,customers!$A$1:$I$1,0))</f>
        <v>Elvina Angel</v>
      </c>
      <c r="I325" s="2" t="str">
        <f>IF(INDEX(customers!$A$1:$I$1001,MATCH($E325,customers!$A$1:$A$1001,0),3)=0,"",INDEX(customers!$A$1:$I$1001,MATCH($E325,customers!$A$1:$A$1001,0),3))</f>
        <v/>
      </c>
      <c r="J325" s="2" t="str">
        <f>_xlfn.XLOOKUP(E325,customers!$A$1:$A$1001,customers!$G$1:$G$1001)</f>
        <v>Ireland</v>
      </c>
      <c r="K325" t="str">
        <f>INDEX(products!$A$1:$G$49,MATCH($F325,products!$A$1:$A$49,0),MATCH(K$1,products!$A$1:$G$1,0))</f>
        <v>Rob</v>
      </c>
      <c r="L325" t="str">
        <f>INDEX(products!$A$1:$G$49,MATCH($F325,products!$A$1:$A$49,0),MATCH(L$1,products!$A$1:$G$1,0))</f>
        <v>L</v>
      </c>
      <c r="M325" s="5">
        <f>INDEX(products!$A$1:$G$49,MATCH($F325,products!$A$1:$A$49,0),MATCH(M$1,products!$A$1:$G$1,0))</f>
        <v>2.5</v>
      </c>
      <c r="N325" s="7">
        <f>INDEX(products!$A$1:$G$49,MATCH($F325,products!$A$1:$A$49,0),MATCH(N$1,products!$A$1:$G$1,0))</f>
        <v>27.484999999999996</v>
      </c>
      <c r="O325" s="7">
        <f t="shared" si="5"/>
        <v>164.90999999999997</v>
      </c>
      <c r="P325" t="str" cm="1">
        <f t="array" ref="P325">_xlfn.IFS(K325="Rob","Robusta",K325="Exc","Excelsa",K325="Ara","Arabica",K325="Lib","Liberica")</f>
        <v>Robusta</v>
      </c>
      <c r="Q325" t="str" cm="1">
        <f t="array" ref="Q325">_xlfn.IFS(L325="M","Medium",L325="L","Light",L325="D","Dark")</f>
        <v>Light</v>
      </c>
      <c r="R325" t="str">
        <f>_xlfn.XLOOKUP(Orders[[#This Row],[Customer ID]],customers!$A$1:$A$1001,customers!$I$1:$I$1001)</f>
        <v>No</v>
      </c>
    </row>
    <row r="326" spans="1:18" x14ac:dyDescent="0.35">
      <c r="A326" s="2" t="s">
        <v>1470</v>
      </c>
      <c r="B326" s="4">
        <v>43813</v>
      </c>
      <c r="C326" s="23">
        <f>Orders[[#This Row],[Order Date]]</f>
        <v>43813</v>
      </c>
      <c r="D326" s="2">
        <f>YEAR(Orders[[#This Row],[Order Date]])</f>
        <v>2019</v>
      </c>
      <c r="E326" s="2" t="s">
        <v>1471</v>
      </c>
      <c r="F326" t="s">
        <v>6148</v>
      </c>
      <c r="G326" s="20">
        <v>6</v>
      </c>
      <c r="H326" s="2" t="str">
        <f>INDEX(customers!$A$1:$I$1001,MATCH($E326,customers!$A$1:$A$1001,),MATCH($H$1,customers!$A$1:$I$1,0))</f>
        <v>Elysee Sketch</v>
      </c>
      <c r="I326" s="2" t="str">
        <f>IF(INDEX(customers!$A$1:$I$1001,MATCH($E326,customers!$A$1:$A$1001,0),3)=0,"",INDEX(customers!$A$1:$I$1001,MATCH($E326,customers!$A$1:$A$1001,0),3))</f>
        <v/>
      </c>
      <c r="J326" s="2" t="str">
        <f>_xlfn.XLOOKUP(E326,customers!$A$1:$A$1001,customers!$G$1:$G$1001)</f>
        <v>United States</v>
      </c>
      <c r="K326" t="str">
        <f>INDEX(products!$A$1:$G$49,MATCH($F326,products!$A$1:$A$49,0),MATCH(K$1,products!$A$1:$G$1,0))</f>
        <v>Exc</v>
      </c>
      <c r="L326" t="str">
        <f>INDEX(products!$A$1:$G$49,MATCH($F326,products!$A$1:$A$49,0),MATCH(L$1,products!$A$1:$G$1,0))</f>
        <v>L</v>
      </c>
      <c r="M326" s="5">
        <f>INDEX(products!$A$1:$G$49,MATCH($F326,products!$A$1:$A$49,0),MATCH(M$1,products!$A$1:$G$1,0))</f>
        <v>2.5</v>
      </c>
      <c r="N326" s="7">
        <f>INDEX(products!$A$1:$G$49,MATCH($F326,products!$A$1:$A$49,0),MATCH(N$1,products!$A$1:$G$1,0))</f>
        <v>34.154999999999994</v>
      </c>
      <c r="O326" s="7">
        <f t="shared" si="5"/>
        <v>204.92999999999995</v>
      </c>
      <c r="P326" t="str" cm="1">
        <f t="array" ref="P326">_xlfn.IFS(K326="Rob","Robusta",K326="Exc","Excelsa",K326="Ara","Arabica",K326="Lib","Liberica")</f>
        <v>Excelsa</v>
      </c>
      <c r="Q326" t="str" cm="1">
        <f t="array" ref="Q326">_xlfn.IFS(L326="M","Medium",L326="L","Light",L326="D","Dark")</f>
        <v>Light</v>
      </c>
      <c r="R326" t="str">
        <f>_xlfn.XLOOKUP(Orders[[#This Row],[Customer ID]],customers!$A$1:$A$1001,customers!$I$1:$I$1001)</f>
        <v>Yes</v>
      </c>
    </row>
    <row r="327" spans="1:18" x14ac:dyDescent="0.35">
      <c r="A327" s="2" t="s">
        <v>3889</v>
      </c>
      <c r="B327" s="4">
        <v>43603</v>
      </c>
      <c r="C327" s="23">
        <f>Orders[[#This Row],[Order Date]]</f>
        <v>43603</v>
      </c>
      <c r="D327" s="2">
        <f>YEAR(Orders[[#This Row],[Order Date]])</f>
        <v>2019</v>
      </c>
      <c r="E327" s="2" t="s">
        <v>3890</v>
      </c>
      <c r="F327" t="s">
        <v>6184</v>
      </c>
      <c r="G327" s="20">
        <v>5</v>
      </c>
      <c r="H327" s="2" t="str">
        <f>INDEX(customers!$A$1:$I$1001,MATCH($E327,customers!$A$1:$A$1001,),MATCH($H$1,customers!$A$1:$I$1,0))</f>
        <v>Emalee Rolin</v>
      </c>
      <c r="I327" s="2" t="str">
        <f>IF(INDEX(customers!$A$1:$I$1001,MATCH($E327,customers!$A$1:$A$1001,0),3)=0,"",INDEX(customers!$A$1:$I$1001,MATCH($E327,customers!$A$1:$A$1001,0),3))</f>
        <v>erolingq@google.fr</v>
      </c>
      <c r="J327" s="2" t="str">
        <f>_xlfn.XLOOKUP(E327,customers!$A$1:$A$1001,customers!$G$1:$G$1001)</f>
        <v>United States</v>
      </c>
      <c r="K327" t="str">
        <f>INDEX(products!$A$1:$G$49,MATCH($F327,products!$A$1:$A$49,0),MATCH(K$1,products!$A$1:$G$1,0))</f>
        <v>Exc</v>
      </c>
      <c r="L327" t="str">
        <f>INDEX(products!$A$1:$G$49,MATCH($F327,products!$A$1:$A$49,0),MATCH(L$1,products!$A$1:$G$1,0))</f>
        <v>L</v>
      </c>
      <c r="M327" s="5">
        <f>INDEX(products!$A$1:$G$49,MATCH($F327,products!$A$1:$A$49,0),MATCH(M$1,products!$A$1:$G$1,0))</f>
        <v>0.2</v>
      </c>
      <c r="N327" s="7">
        <f>INDEX(products!$A$1:$G$49,MATCH($F327,products!$A$1:$A$49,0),MATCH(N$1,products!$A$1:$G$1,0))</f>
        <v>4.4550000000000001</v>
      </c>
      <c r="O327" s="7">
        <f t="shared" si="5"/>
        <v>22.274999999999999</v>
      </c>
      <c r="P327" t="str" cm="1">
        <f t="array" ref="P327">_xlfn.IFS(K327="Rob","Robusta",K327="Exc","Excelsa",K327="Ara","Arabica",K327="Lib","Liberica")</f>
        <v>Excelsa</v>
      </c>
      <c r="Q327" t="str" cm="1">
        <f t="array" ref="Q327">_xlfn.IFS(L327="M","Medium",L327="L","Light",L327="D","Dark")</f>
        <v>Light</v>
      </c>
      <c r="R327" t="str">
        <f>_xlfn.XLOOKUP(Orders[[#This Row],[Customer ID]],customers!$A$1:$A$1001,customers!$I$1:$I$1001)</f>
        <v>Yes</v>
      </c>
    </row>
    <row r="328" spans="1:18" x14ac:dyDescent="0.35">
      <c r="A328" s="2" t="s">
        <v>1688</v>
      </c>
      <c r="B328" s="4">
        <v>44646</v>
      </c>
      <c r="C328" s="23">
        <f>Orders[[#This Row],[Order Date]]</f>
        <v>44646</v>
      </c>
      <c r="D328" s="2">
        <f>YEAR(Orders[[#This Row],[Order Date]])</f>
        <v>2022</v>
      </c>
      <c r="E328" s="2" t="s">
        <v>1689</v>
      </c>
      <c r="F328" t="s">
        <v>6149</v>
      </c>
      <c r="G328" s="20">
        <v>1</v>
      </c>
      <c r="H328" s="2" t="str">
        <f>INDEX(customers!$A$1:$I$1001,MATCH($E328,customers!$A$1:$A$1001,),MATCH($H$1,customers!$A$1:$I$1,0))</f>
        <v>Emiline Galgey</v>
      </c>
      <c r="I328" s="2" t="str">
        <f>IF(INDEX(customers!$A$1:$I$1001,MATCH($E328,customers!$A$1:$A$1001,0),3)=0,"",INDEX(customers!$A$1:$I$1001,MATCH($E328,customers!$A$1:$A$1001,0),3))</f>
        <v>egalgey5x@wufoo.com</v>
      </c>
      <c r="J328" s="2" t="str">
        <f>_xlfn.XLOOKUP(E328,customers!$A$1:$A$1001,customers!$G$1:$G$1001)</f>
        <v>United States</v>
      </c>
      <c r="K328" t="str">
        <f>INDEX(products!$A$1:$G$49,MATCH($F328,products!$A$1:$A$49,0),MATCH(K$1,products!$A$1:$G$1,0))</f>
        <v>Rob</v>
      </c>
      <c r="L328" t="str">
        <f>INDEX(products!$A$1:$G$49,MATCH($F328,products!$A$1:$A$49,0),MATCH(L$1,products!$A$1:$G$1,0))</f>
        <v>D</v>
      </c>
      <c r="M328" s="5">
        <f>INDEX(products!$A$1:$G$49,MATCH($F328,products!$A$1:$A$49,0),MATCH(M$1,products!$A$1:$G$1,0))</f>
        <v>2.5</v>
      </c>
      <c r="N328" s="7">
        <f>INDEX(products!$A$1:$G$49,MATCH($F328,products!$A$1:$A$49,0),MATCH(N$1,products!$A$1:$G$1,0))</f>
        <v>20.584999999999997</v>
      </c>
      <c r="O328" s="7">
        <f t="shared" si="5"/>
        <v>20.584999999999997</v>
      </c>
      <c r="P328" t="str" cm="1">
        <f t="array" ref="P328">_xlfn.IFS(K328="Rob","Robusta",K328="Exc","Excelsa",K328="Ara","Arabica",K328="Lib","Liberica")</f>
        <v>Robusta</v>
      </c>
      <c r="Q328" t="str" cm="1">
        <f t="array" ref="Q328">_xlfn.IFS(L328="M","Medium",L328="L","Light",L328="D","Dark")</f>
        <v>Dark</v>
      </c>
      <c r="R328" t="str">
        <f>_xlfn.XLOOKUP(Orders[[#This Row],[Customer ID]],customers!$A$1:$A$1001,customers!$I$1:$I$1001)</f>
        <v>No</v>
      </c>
    </row>
    <row r="329" spans="1:18" x14ac:dyDescent="0.35">
      <c r="A329" s="2" t="s">
        <v>1071</v>
      </c>
      <c r="B329" s="4">
        <v>43694</v>
      </c>
      <c r="C329" s="23">
        <f>Orders[[#This Row],[Order Date]]</f>
        <v>43694</v>
      </c>
      <c r="D329" s="2">
        <f>YEAR(Orders[[#This Row],[Order Date]])</f>
        <v>2019</v>
      </c>
      <c r="E329" s="2" t="s">
        <v>1072</v>
      </c>
      <c r="F329" t="s">
        <v>6162</v>
      </c>
      <c r="G329" s="20">
        <v>6</v>
      </c>
      <c r="H329" s="2" t="str">
        <f>INDEX(customers!$A$1:$I$1001,MATCH($E329,customers!$A$1:$A$1001,),MATCH($H$1,customers!$A$1:$I$1,0))</f>
        <v>Emiline Priddis</v>
      </c>
      <c r="I329" s="2" t="str">
        <f>IF(INDEX(customers!$A$1:$I$1001,MATCH($E329,customers!$A$1:$A$1001,0),3)=0,"",INDEX(customers!$A$1:$I$1001,MATCH($E329,customers!$A$1:$A$1001,0),3))</f>
        <v>epriddis2w@nationalgeographic.com</v>
      </c>
      <c r="J329" s="2" t="str">
        <f>_xlfn.XLOOKUP(E329,customers!$A$1:$A$1001,customers!$G$1:$G$1001)</f>
        <v>United States</v>
      </c>
      <c r="K329" t="str">
        <f>INDEX(products!$A$1:$G$49,MATCH($F329,products!$A$1:$A$49,0),MATCH(K$1,products!$A$1:$G$1,0))</f>
        <v>Lib</v>
      </c>
      <c r="L329" t="str">
        <f>INDEX(products!$A$1:$G$49,MATCH($F329,products!$A$1:$A$49,0),MATCH(L$1,products!$A$1:$G$1,0))</f>
        <v>M</v>
      </c>
      <c r="M329" s="5">
        <f>INDEX(products!$A$1:$G$49,MATCH($F329,products!$A$1:$A$49,0),MATCH(M$1,products!$A$1:$G$1,0))</f>
        <v>1</v>
      </c>
      <c r="N329" s="7">
        <f>INDEX(products!$A$1:$G$49,MATCH($F329,products!$A$1:$A$49,0),MATCH(N$1,products!$A$1:$G$1,0))</f>
        <v>14.55</v>
      </c>
      <c r="O329" s="7">
        <f t="shared" si="5"/>
        <v>87.300000000000011</v>
      </c>
      <c r="P329" t="str" cm="1">
        <f t="array" ref="P329">_xlfn.IFS(K329="Rob","Robusta",K329="Exc","Excelsa",K329="Ara","Arabica",K329="Lib","Liberica")</f>
        <v>Liberica</v>
      </c>
      <c r="Q329" t="str" cm="1">
        <f t="array" ref="Q329">_xlfn.IFS(L329="M","Medium",L329="L","Light",L329="D","Dark")</f>
        <v>Medium</v>
      </c>
      <c r="R329" t="str">
        <f>_xlfn.XLOOKUP(Orders[[#This Row],[Customer ID]],customers!$A$1:$A$1001,customers!$I$1:$I$1001)</f>
        <v>No</v>
      </c>
    </row>
    <row r="330" spans="1:18" x14ac:dyDescent="0.35">
      <c r="A330" s="2" t="s">
        <v>1487</v>
      </c>
      <c r="B330" s="4">
        <v>44120</v>
      </c>
      <c r="C330" s="23">
        <f>Orders[[#This Row],[Order Date]]</f>
        <v>44120</v>
      </c>
      <c r="D330" s="2">
        <f>YEAR(Orders[[#This Row],[Order Date]])</f>
        <v>2020</v>
      </c>
      <c r="E330" s="2" t="s">
        <v>1488</v>
      </c>
      <c r="F330" t="s">
        <v>6142</v>
      </c>
      <c r="G330" s="20">
        <v>4</v>
      </c>
      <c r="H330" s="2" t="str">
        <f>INDEX(customers!$A$1:$I$1001,MATCH($E330,customers!$A$1:$A$1001,),MATCH($H$1,customers!$A$1:$I$1,0))</f>
        <v>Emlynne Heining</v>
      </c>
      <c r="I330" s="2" t="str">
        <f>IF(INDEX(customers!$A$1:$I$1001,MATCH($E330,customers!$A$1:$A$1001,0),3)=0,"",INDEX(customers!$A$1:$I$1001,MATCH($E330,customers!$A$1:$A$1001,0),3))</f>
        <v>eheining4x@flickr.com</v>
      </c>
      <c r="J330" s="2" t="str">
        <f>_xlfn.XLOOKUP(E330,customers!$A$1:$A$1001,customers!$G$1:$G$1001)</f>
        <v>United States</v>
      </c>
      <c r="K330" t="str">
        <f>INDEX(products!$A$1:$G$49,MATCH($F330,products!$A$1:$A$49,0),MATCH(K$1,products!$A$1:$G$1,0))</f>
        <v>Rob</v>
      </c>
      <c r="L330" t="str">
        <f>INDEX(products!$A$1:$G$49,MATCH($F330,products!$A$1:$A$49,0),MATCH(L$1,products!$A$1:$G$1,0))</f>
        <v>L</v>
      </c>
      <c r="M330" s="5">
        <f>INDEX(products!$A$1:$G$49,MATCH($F330,products!$A$1:$A$49,0),MATCH(M$1,products!$A$1:$G$1,0))</f>
        <v>2.5</v>
      </c>
      <c r="N330" s="7">
        <f>INDEX(products!$A$1:$G$49,MATCH($F330,products!$A$1:$A$49,0),MATCH(N$1,products!$A$1:$G$1,0))</f>
        <v>27.484999999999996</v>
      </c>
      <c r="O330" s="7">
        <f t="shared" si="5"/>
        <v>109.93999999999998</v>
      </c>
      <c r="P330" t="str" cm="1">
        <f t="array" ref="P330">_xlfn.IFS(K330="Rob","Robusta",K330="Exc","Excelsa",K330="Ara","Arabica",K330="Lib","Liberica")</f>
        <v>Robusta</v>
      </c>
      <c r="Q330" t="str" cm="1">
        <f t="array" ref="Q330">_xlfn.IFS(L330="M","Medium",L330="L","Light",L330="D","Dark")</f>
        <v>Light</v>
      </c>
      <c r="R330" t="str">
        <f>_xlfn.XLOOKUP(Orders[[#This Row],[Customer ID]],customers!$A$1:$A$1001,customers!$I$1:$I$1001)</f>
        <v>Yes</v>
      </c>
    </row>
    <row r="331" spans="1:18" x14ac:dyDescent="0.35">
      <c r="A331" s="2" t="s">
        <v>1584</v>
      </c>
      <c r="B331" s="4">
        <v>44398</v>
      </c>
      <c r="C331" s="23">
        <f>Orders[[#This Row],[Order Date]]</f>
        <v>44398</v>
      </c>
      <c r="D331" s="2">
        <f>YEAR(Orders[[#This Row],[Order Date]])</f>
        <v>2021</v>
      </c>
      <c r="E331" s="2" t="s">
        <v>1585</v>
      </c>
      <c r="F331" t="s">
        <v>6144</v>
      </c>
      <c r="G331" s="20">
        <v>5</v>
      </c>
      <c r="H331" s="2" t="str">
        <f>INDEX(customers!$A$1:$I$1001,MATCH($E331,customers!$A$1:$A$1001,),MATCH($H$1,customers!$A$1:$I$1,0))</f>
        <v>Emlynne Laird</v>
      </c>
      <c r="I331" s="2" t="str">
        <f>IF(INDEX(customers!$A$1:$I$1001,MATCH($E331,customers!$A$1:$A$1001,0),3)=0,"",INDEX(customers!$A$1:$I$1001,MATCH($E331,customers!$A$1:$A$1001,0),3))</f>
        <v>elaird5e@bing.com</v>
      </c>
      <c r="J331" s="2" t="str">
        <f>_xlfn.XLOOKUP(E331,customers!$A$1:$A$1001,customers!$G$1:$G$1001)</f>
        <v>United States</v>
      </c>
      <c r="K331" t="str">
        <f>INDEX(products!$A$1:$G$49,MATCH($F331,products!$A$1:$A$49,0),MATCH(K$1,products!$A$1:$G$1,0))</f>
        <v>Exc</v>
      </c>
      <c r="L331" t="str">
        <f>INDEX(products!$A$1:$G$49,MATCH($F331,products!$A$1:$A$49,0),MATCH(L$1,products!$A$1:$G$1,0))</f>
        <v>D</v>
      </c>
      <c r="M331" s="5">
        <f>INDEX(products!$A$1:$G$49,MATCH($F331,products!$A$1:$A$49,0),MATCH(M$1,products!$A$1:$G$1,0))</f>
        <v>0.5</v>
      </c>
      <c r="N331" s="7">
        <f>INDEX(products!$A$1:$G$49,MATCH($F331,products!$A$1:$A$49,0),MATCH(N$1,products!$A$1:$G$1,0))</f>
        <v>7.29</v>
      </c>
      <c r="O331" s="7">
        <f t="shared" si="5"/>
        <v>36.450000000000003</v>
      </c>
      <c r="P331" t="str" cm="1">
        <f t="array" ref="P331">_xlfn.IFS(K331="Rob","Robusta",K331="Exc","Excelsa",K331="Ara","Arabica",K331="Lib","Liberica")</f>
        <v>Excelsa</v>
      </c>
      <c r="Q331" t="str" cm="1">
        <f t="array" ref="Q331">_xlfn.IFS(L331="M","Medium",L331="L","Light",L331="D","Dark")</f>
        <v>Dark</v>
      </c>
      <c r="R331" t="str">
        <f>_xlfn.XLOOKUP(Orders[[#This Row],[Customer ID]],customers!$A$1:$A$1001,customers!$I$1:$I$1001)</f>
        <v>No</v>
      </c>
    </row>
    <row r="332" spans="1:18" x14ac:dyDescent="0.35">
      <c r="A332" s="2" t="s">
        <v>2062</v>
      </c>
      <c r="B332" s="4">
        <v>43708</v>
      </c>
      <c r="C332" s="23">
        <f>Orders[[#This Row],[Order Date]]</f>
        <v>43708</v>
      </c>
      <c r="D332" s="2">
        <f>YEAR(Orders[[#This Row],[Order Date]])</f>
        <v>2019</v>
      </c>
      <c r="E332" s="2" t="s">
        <v>2063</v>
      </c>
      <c r="F332" t="s">
        <v>6167</v>
      </c>
      <c r="G332" s="20">
        <v>2</v>
      </c>
      <c r="H332" s="2" t="str">
        <f>INDEX(customers!$A$1:$I$1001,MATCH($E332,customers!$A$1:$A$1001,),MATCH($H$1,customers!$A$1:$I$1,0))</f>
        <v>Emlynne Palfrey</v>
      </c>
      <c r="I332" s="2" t="str">
        <f>IF(INDEX(customers!$A$1:$I$1001,MATCH($E332,customers!$A$1:$A$1001,0),3)=0,"",INDEX(customers!$A$1:$I$1001,MATCH($E332,customers!$A$1:$A$1001,0),3))</f>
        <v>epalfrey7q@devhub.com</v>
      </c>
      <c r="J332" s="2" t="str">
        <f>_xlfn.XLOOKUP(E332,customers!$A$1:$A$1001,customers!$G$1:$G$1001)</f>
        <v>United States</v>
      </c>
      <c r="K332" t="str">
        <f>INDEX(products!$A$1:$G$49,MATCH($F332,products!$A$1:$A$49,0),MATCH(K$1,products!$A$1:$G$1,0))</f>
        <v>Ara</v>
      </c>
      <c r="L332" t="str">
        <f>INDEX(products!$A$1:$G$49,MATCH($F332,products!$A$1:$A$49,0),MATCH(L$1,products!$A$1:$G$1,0))</f>
        <v>L</v>
      </c>
      <c r="M332" s="5">
        <f>INDEX(products!$A$1:$G$49,MATCH($F332,products!$A$1:$A$49,0),MATCH(M$1,products!$A$1:$G$1,0))</f>
        <v>0.2</v>
      </c>
      <c r="N332" s="7">
        <f>INDEX(products!$A$1:$G$49,MATCH($F332,products!$A$1:$A$49,0),MATCH(N$1,products!$A$1:$G$1,0))</f>
        <v>3.8849999999999998</v>
      </c>
      <c r="O332" s="7">
        <f t="shared" si="5"/>
        <v>7.77</v>
      </c>
      <c r="P332" t="str" cm="1">
        <f t="array" ref="P332">_xlfn.IFS(K332="Rob","Robusta",K332="Exc","Excelsa",K332="Ara","Arabica",K332="Lib","Liberica")</f>
        <v>Arabica</v>
      </c>
      <c r="Q332" t="str" cm="1">
        <f t="array" ref="Q332">_xlfn.IFS(L332="M","Medium",L332="L","Light",L332="D","Dark")</f>
        <v>Light</v>
      </c>
      <c r="R332" t="str">
        <f>_xlfn.XLOOKUP(Orders[[#This Row],[Customer ID]],customers!$A$1:$A$1001,customers!$I$1:$I$1001)</f>
        <v>Yes</v>
      </c>
    </row>
    <row r="333" spans="1:18" x14ac:dyDescent="0.35">
      <c r="A333" s="2" t="s">
        <v>2402</v>
      </c>
      <c r="B333" s="4">
        <v>44256</v>
      </c>
      <c r="C333" s="23">
        <f>Orders[[#This Row],[Order Date]]</f>
        <v>44256</v>
      </c>
      <c r="D333" s="2">
        <f>YEAR(Orders[[#This Row],[Order Date]])</f>
        <v>2021</v>
      </c>
      <c r="E333" s="2" t="s">
        <v>2403</v>
      </c>
      <c r="F333" t="s">
        <v>6153</v>
      </c>
      <c r="G333" s="20">
        <v>2</v>
      </c>
      <c r="H333" s="2" t="str">
        <f>INDEX(customers!$A$1:$I$1001,MATCH($E333,customers!$A$1:$A$1001,),MATCH($H$1,customers!$A$1:$I$1,0))</f>
        <v>Emmaline Rasmus</v>
      </c>
      <c r="I333" s="2" t="str">
        <f>IF(INDEX(customers!$A$1:$I$1001,MATCH($E333,customers!$A$1:$A$1001,0),3)=0,"",INDEX(customers!$A$1:$I$1001,MATCH($E333,customers!$A$1:$A$1001,0),3))</f>
        <v>erasmus9f@techcrunch.com</v>
      </c>
      <c r="J333" s="2" t="str">
        <f>_xlfn.XLOOKUP(E333,customers!$A$1:$A$1001,customers!$G$1:$G$1001)</f>
        <v>United States</v>
      </c>
      <c r="K333" t="str">
        <f>INDEX(products!$A$1:$G$49,MATCH($F333,products!$A$1:$A$49,0),MATCH(K$1,products!$A$1:$G$1,0))</f>
        <v>Exc</v>
      </c>
      <c r="L333" t="str">
        <f>INDEX(products!$A$1:$G$49,MATCH($F333,products!$A$1:$A$49,0),MATCH(L$1,products!$A$1:$G$1,0))</f>
        <v>D</v>
      </c>
      <c r="M333" s="5">
        <f>INDEX(products!$A$1:$G$49,MATCH($F333,products!$A$1:$A$49,0),MATCH(M$1,products!$A$1:$G$1,0))</f>
        <v>0.2</v>
      </c>
      <c r="N333" s="7">
        <f>INDEX(products!$A$1:$G$49,MATCH($F333,products!$A$1:$A$49,0),MATCH(N$1,products!$A$1:$G$1,0))</f>
        <v>3.645</v>
      </c>
      <c r="O333" s="7">
        <f t="shared" si="5"/>
        <v>7.29</v>
      </c>
      <c r="P333" t="str" cm="1">
        <f t="array" ref="P333">_xlfn.IFS(K333="Rob","Robusta",K333="Exc","Excelsa",K333="Ara","Arabica",K333="Lib","Liberica")</f>
        <v>Excelsa</v>
      </c>
      <c r="Q333" t="str" cm="1">
        <f t="array" ref="Q333">_xlfn.IFS(L333="M","Medium",L333="L","Light",L333="D","Dark")</f>
        <v>Dark</v>
      </c>
      <c r="R333" t="str">
        <f>_xlfn.XLOOKUP(Orders[[#This Row],[Customer ID]],customers!$A$1:$A$1001,customers!$I$1:$I$1001)</f>
        <v>Yes</v>
      </c>
    </row>
    <row r="334" spans="1:18" x14ac:dyDescent="0.35">
      <c r="A334" s="2" t="s">
        <v>2504</v>
      </c>
      <c r="B334" s="4">
        <v>44448</v>
      </c>
      <c r="C334" s="23">
        <f>Orders[[#This Row],[Order Date]]</f>
        <v>44448</v>
      </c>
      <c r="D334" s="2">
        <f>YEAR(Orders[[#This Row],[Order Date]])</f>
        <v>2021</v>
      </c>
      <c r="E334" s="2" t="s">
        <v>2505</v>
      </c>
      <c r="F334" t="s">
        <v>6175</v>
      </c>
      <c r="G334" s="20">
        <v>6</v>
      </c>
      <c r="H334" s="2" t="str">
        <f>INDEX(customers!$A$1:$I$1001,MATCH($E334,customers!$A$1:$A$1001,),MATCH($H$1,customers!$A$1:$I$1,0))</f>
        <v>Enriqueta Ixor</v>
      </c>
      <c r="I334" s="2" t="str">
        <f>IF(INDEX(customers!$A$1:$I$1001,MATCH($E334,customers!$A$1:$A$1001,0),3)=0,"",INDEX(customers!$A$1:$I$1001,MATCH($E334,customers!$A$1:$A$1001,0),3))</f>
        <v/>
      </c>
      <c r="J334" s="2" t="str">
        <f>_xlfn.XLOOKUP(E334,customers!$A$1:$A$1001,customers!$G$1:$G$1001)</f>
        <v>United States</v>
      </c>
      <c r="K334" t="str">
        <f>INDEX(products!$A$1:$G$49,MATCH($F334,products!$A$1:$A$49,0),MATCH(K$1,products!$A$1:$G$1,0))</f>
        <v>Ara</v>
      </c>
      <c r="L334" t="str">
        <f>INDEX(products!$A$1:$G$49,MATCH($F334,products!$A$1:$A$49,0),MATCH(L$1,products!$A$1:$G$1,0))</f>
        <v>M</v>
      </c>
      <c r="M334" s="5">
        <f>INDEX(products!$A$1:$G$49,MATCH($F334,products!$A$1:$A$49,0),MATCH(M$1,products!$A$1:$G$1,0))</f>
        <v>2.5</v>
      </c>
      <c r="N334" s="7">
        <f>INDEX(products!$A$1:$G$49,MATCH($F334,products!$A$1:$A$49,0),MATCH(N$1,products!$A$1:$G$1,0))</f>
        <v>25.874999999999996</v>
      </c>
      <c r="O334" s="7">
        <f t="shared" si="5"/>
        <v>155.24999999999997</v>
      </c>
      <c r="P334" t="str" cm="1">
        <f t="array" ref="P334">_xlfn.IFS(K334="Rob","Robusta",K334="Exc","Excelsa",K334="Ara","Arabica",K334="Lib","Liberica")</f>
        <v>Arabica</v>
      </c>
      <c r="Q334" t="str" cm="1">
        <f t="array" ref="Q334">_xlfn.IFS(L334="M","Medium",L334="L","Light",L334="D","Dark")</f>
        <v>Medium</v>
      </c>
      <c r="R334" t="str">
        <f>_xlfn.XLOOKUP(Orders[[#This Row],[Customer ID]],customers!$A$1:$A$1001,customers!$I$1:$I$1001)</f>
        <v>No</v>
      </c>
    </row>
    <row r="335" spans="1:18" x14ac:dyDescent="0.35">
      <c r="A335" s="2" t="s">
        <v>5129</v>
      </c>
      <c r="B335" s="4">
        <v>44144</v>
      </c>
      <c r="C335" s="23">
        <f>Orders[[#This Row],[Order Date]]</f>
        <v>44144</v>
      </c>
      <c r="D335" s="2">
        <f>YEAR(Orders[[#This Row],[Order Date]])</f>
        <v>2020</v>
      </c>
      <c r="E335" s="2" t="s">
        <v>5130</v>
      </c>
      <c r="F335" t="s">
        <v>6172</v>
      </c>
      <c r="G335" s="20">
        <v>5</v>
      </c>
      <c r="H335" s="2" t="str">
        <f>INDEX(customers!$A$1:$I$1001,MATCH($E335,customers!$A$1:$A$1001,),MATCH($H$1,customers!$A$1:$I$1,0))</f>
        <v>Ericka Tripp</v>
      </c>
      <c r="I335" s="2" t="str">
        <f>IF(INDEX(customers!$A$1:$I$1001,MATCH($E335,customers!$A$1:$A$1001,0),3)=0,"",INDEX(customers!$A$1:$I$1001,MATCH($E335,customers!$A$1:$A$1001,0),3))</f>
        <v>etrippmt@wp.com</v>
      </c>
      <c r="J335" s="2" t="str">
        <f>_xlfn.XLOOKUP(E335,customers!$A$1:$A$1001,customers!$G$1:$G$1001)</f>
        <v>United States</v>
      </c>
      <c r="K335" t="str">
        <f>INDEX(products!$A$1:$G$49,MATCH($F335,products!$A$1:$A$49,0),MATCH(K$1,products!$A$1:$G$1,0))</f>
        <v>Rob</v>
      </c>
      <c r="L335" t="str">
        <f>INDEX(products!$A$1:$G$49,MATCH($F335,products!$A$1:$A$49,0),MATCH(L$1,products!$A$1:$G$1,0))</f>
        <v>D</v>
      </c>
      <c r="M335" s="5">
        <f>INDEX(products!$A$1:$G$49,MATCH($F335,products!$A$1:$A$49,0),MATCH(M$1,products!$A$1:$G$1,0))</f>
        <v>0.5</v>
      </c>
      <c r="N335" s="7">
        <f>INDEX(products!$A$1:$G$49,MATCH($F335,products!$A$1:$A$49,0),MATCH(N$1,products!$A$1:$G$1,0))</f>
        <v>5.3699999999999992</v>
      </c>
      <c r="O335" s="7">
        <f t="shared" si="5"/>
        <v>26.849999999999994</v>
      </c>
      <c r="P335" t="str" cm="1">
        <f t="array" ref="P335">_xlfn.IFS(K335="Rob","Robusta",K335="Exc","Excelsa",K335="Ara","Arabica",K335="Lib","Liberica")</f>
        <v>Robusta</v>
      </c>
      <c r="Q335" t="str" cm="1">
        <f t="array" ref="Q335">_xlfn.IFS(L335="M","Medium",L335="L","Light",L335="D","Dark")</f>
        <v>Dark</v>
      </c>
      <c r="R335" t="str">
        <f>_xlfn.XLOOKUP(Orders[[#This Row],[Customer ID]],customers!$A$1:$A$1001,customers!$I$1:$I$1001)</f>
        <v>No</v>
      </c>
    </row>
    <row r="336" spans="1:18" x14ac:dyDescent="0.35">
      <c r="A336" s="2" t="s">
        <v>2221</v>
      </c>
      <c r="B336" s="4">
        <v>44227</v>
      </c>
      <c r="C336" s="23">
        <f>Orders[[#This Row],[Order Date]]</f>
        <v>44227</v>
      </c>
      <c r="D336" s="2">
        <f>YEAR(Orders[[#This Row],[Order Date]])</f>
        <v>2021</v>
      </c>
      <c r="E336" s="2" t="s">
        <v>2222</v>
      </c>
      <c r="F336" t="s">
        <v>6155</v>
      </c>
      <c r="G336" s="20">
        <v>3</v>
      </c>
      <c r="H336" s="2" t="str">
        <f>INDEX(customers!$A$1:$I$1001,MATCH($E336,customers!$A$1:$A$1001,),MATCH($H$1,customers!$A$1:$I$1,0))</f>
        <v>Ermin Beeble</v>
      </c>
      <c r="I336" s="2" t="str">
        <f>IF(INDEX(customers!$A$1:$I$1001,MATCH($E336,customers!$A$1:$A$1001,0),3)=0,"",INDEX(customers!$A$1:$I$1001,MATCH($E336,customers!$A$1:$A$1001,0),3))</f>
        <v>ebeeble8j@soundcloud.com</v>
      </c>
      <c r="J336" s="2" t="str">
        <f>_xlfn.XLOOKUP(E336,customers!$A$1:$A$1001,customers!$G$1:$G$1001)</f>
        <v>United States</v>
      </c>
      <c r="K336" t="str">
        <f>INDEX(products!$A$1:$G$49,MATCH($F336,products!$A$1:$A$49,0),MATCH(K$1,products!$A$1:$G$1,0))</f>
        <v>Ara</v>
      </c>
      <c r="L336" t="str">
        <f>INDEX(products!$A$1:$G$49,MATCH($F336,products!$A$1:$A$49,0),MATCH(L$1,products!$A$1:$G$1,0))</f>
        <v>M</v>
      </c>
      <c r="M336" s="5">
        <f>INDEX(products!$A$1:$G$49,MATCH($F336,products!$A$1:$A$49,0),MATCH(M$1,products!$A$1:$G$1,0))</f>
        <v>1</v>
      </c>
      <c r="N336" s="7">
        <f>INDEX(products!$A$1:$G$49,MATCH($F336,products!$A$1:$A$49,0),MATCH(N$1,products!$A$1:$G$1,0))</f>
        <v>11.25</v>
      </c>
      <c r="O336" s="7">
        <f t="shared" si="5"/>
        <v>33.75</v>
      </c>
      <c r="P336" t="str" cm="1">
        <f t="array" ref="P336">_xlfn.IFS(K336="Rob","Robusta",K336="Exc","Excelsa",K336="Ara","Arabica",K336="Lib","Liberica")</f>
        <v>Arabica</v>
      </c>
      <c r="Q336" t="str" cm="1">
        <f t="array" ref="Q336">_xlfn.IFS(L336="M","Medium",L336="L","Light",L336="D","Dark")</f>
        <v>Medium</v>
      </c>
      <c r="R336" t="str">
        <f>_xlfn.XLOOKUP(Orders[[#This Row],[Customer ID]],customers!$A$1:$A$1001,customers!$I$1:$I$1001)</f>
        <v>Yes</v>
      </c>
    </row>
    <row r="337" spans="1:18" x14ac:dyDescent="0.35">
      <c r="A337" s="2" t="s">
        <v>3453</v>
      </c>
      <c r="B337" s="4">
        <v>44255</v>
      </c>
      <c r="C337" s="23">
        <f>Orders[[#This Row],[Order Date]]</f>
        <v>44255</v>
      </c>
      <c r="D337" s="2">
        <f>YEAR(Orders[[#This Row],[Order Date]])</f>
        <v>2021</v>
      </c>
      <c r="E337" s="2" t="s">
        <v>3454</v>
      </c>
      <c r="F337" t="s">
        <v>6164</v>
      </c>
      <c r="G337" s="20">
        <v>2</v>
      </c>
      <c r="H337" s="2" t="str">
        <f>INDEX(customers!$A$1:$I$1001,MATCH($E337,customers!$A$1:$A$1001,),MATCH($H$1,customers!$A$1:$I$1,0))</f>
        <v>Erny Stenyng</v>
      </c>
      <c r="I337" s="2" t="str">
        <f>IF(INDEX(customers!$A$1:$I$1001,MATCH($E337,customers!$A$1:$A$1001,0),3)=0,"",INDEX(customers!$A$1:$I$1001,MATCH($E337,customers!$A$1:$A$1001,0),3))</f>
        <v/>
      </c>
      <c r="J337" s="2" t="str">
        <f>_xlfn.XLOOKUP(E337,customers!$A$1:$A$1001,customers!$G$1:$G$1001)</f>
        <v>United States</v>
      </c>
      <c r="K337" t="str">
        <f>INDEX(products!$A$1:$G$49,MATCH($F337,products!$A$1:$A$49,0),MATCH(K$1,products!$A$1:$G$1,0))</f>
        <v>Lib</v>
      </c>
      <c r="L337" t="str">
        <f>INDEX(products!$A$1:$G$49,MATCH($F337,products!$A$1:$A$49,0),MATCH(L$1,products!$A$1:$G$1,0))</f>
        <v>L</v>
      </c>
      <c r="M337" s="5">
        <f>INDEX(products!$A$1:$G$49,MATCH($F337,products!$A$1:$A$49,0),MATCH(M$1,products!$A$1:$G$1,0))</f>
        <v>2.5</v>
      </c>
      <c r="N337" s="7">
        <f>INDEX(products!$A$1:$G$49,MATCH($F337,products!$A$1:$A$49,0),MATCH(N$1,products!$A$1:$G$1,0))</f>
        <v>36.454999999999998</v>
      </c>
      <c r="O337" s="7">
        <f t="shared" si="5"/>
        <v>72.91</v>
      </c>
      <c r="P337" t="str" cm="1">
        <f t="array" ref="P337">_xlfn.IFS(K337="Rob","Robusta",K337="Exc","Excelsa",K337="Ara","Arabica",K337="Lib","Liberica")</f>
        <v>Liberica</v>
      </c>
      <c r="Q337" t="str" cm="1">
        <f t="array" ref="Q337">_xlfn.IFS(L337="M","Medium",L337="L","Light",L337="D","Dark")</f>
        <v>Light</v>
      </c>
      <c r="R337" t="str">
        <f>_xlfn.XLOOKUP(Orders[[#This Row],[Customer ID]],customers!$A$1:$A$1001,customers!$I$1:$I$1001)</f>
        <v>No</v>
      </c>
    </row>
    <row r="338" spans="1:18" x14ac:dyDescent="0.35">
      <c r="A338" s="2" t="s">
        <v>2470</v>
      </c>
      <c r="B338" s="4">
        <v>44066</v>
      </c>
      <c r="C338" s="23">
        <f>Orders[[#This Row],[Order Date]]</f>
        <v>44066</v>
      </c>
      <c r="D338" s="2">
        <f>YEAR(Orders[[#This Row],[Order Date]])</f>
        <v>2020</v>
      </c>
      <c r="E338" s="2" t="s">
        <v>2471</v>
      </c>
      <c r="F338" t="s">
        <v>6155</v>
      </c>
      <c r="G338" s="20">
        <v>2</v>
      </c>
      <c r="H338" s="2" t="str">
        <f>INDEX(customers!$A$1:$I$1001,MATCH($E338,customers!$A$1:$A$1001,),MATCH($H$1,customers!$A$1:$I$1,0))</f>
        <v>Ethel Ryles</v>
      </c>
      <c r="I338" s="2" t="str">
        <f>IF(INDEX(customers!$A$1:$I$1001,MATCH($E338,customers!$A$1:$A$1001,0),3)=0,"",INDEX(customers!$A$1:$I$1001,MATCH($E338,customers!$A$1:$A$1001,0),3))</f>
        <v>eryles9r@fastcompany.com</v>
      </c>
      <c r="J338" s="2" t="str">
        <f>_xlfn.XLOOKUP(E338,customers!$A$1:$A$1001,customers!$G$1:$G$1001)</f>
        <v>United States</v>
      </c>
      <c r="K338" t="str">
        <f>INDEX(products!$A$1:$G$49,MATCH($F338,products!$A$1:$A$49,0),MATCH(K$1,products!$A$1:$G$1,0))</f>
        <v>Ara</v>
      </c>
      <c r="L338" t="str">
        <f>INDEX(products!$A$1:$G$49,MATCH($F338,products!$A$1:$A$49,0),MATCH(L$1,products!$A$1:$G$1,0))</f>
        <v>M</v>
      </c>
      <c r="M338" s="5">
        <f>INDEX(products!$A$1:$G$49,MATCH($F338,products!$A$1:$A$49,0),MATCH(M$1,products!$A$1:$G$1,0))</f>
        <v>1</v>
      </c>
      <c r="N338" s="7">
        <f>INDEX(products!$A$1:$G$49,MATCH($F338,products!$A$1:$A$49,0),MATCH(N$1,products!$A$1:$G$1,0))</f>
        <v>11.25</v>
      </c>
      <c r="O338" s="7">
        <f t="shared" si="5"/>
        <v>22.5</v>
      </c>
      <c r="P338" t="str" cm="1">
        <f t="array" ref="P338">_xlfn.IFS(K338="Rob","Robusta",K338="Exc","Excelsa",K338="Ara","Arabica",K338="Lib","Liberica")</f>
        <v>Arabica</v>
      </c>
      <c r="Q338" t="str" cm="1">
        <f t="array" ref="Q338">_xlfn.IFS(L338="M","Medium",L338="L","Light",L338="D","Dark")</f>
        <v>Medium</v>
      </c>
      <c r="R338" t="str">
        <f>_xlfn.XLOOKUP(Orders[[#This Row],[Customer ID]],customers!$A$1:$A$1001,customers!$I$1:$I$1001)</f>
        <v>No</v>
      </c>
    </row>
    <row r="339" spans="1:18" x14ac:dyDescent="0.35">
      <c r="A339" s="2" t="s">
        <v>1475</v>
      </c>
      <c r="B339" s="4">
        <v>44296</v>
      </c>
      <c r="C339" s="23">
        <f>Orders[[#This Row],[Order Date]]</f>
        <v>44296</v>
      </c>
      <c r="D339" s="2">
        <f>YEAR(Orders[[#This Row],[Order Date]])</f>
        <v>2021</v>
      </c>
      <c r="E339" s="2" t="s">
        <v>1476</v>
      </c>
      <c r="F339" t="s">
        <v>6166</v>
      </c>
      <c r="G339" s="20">
        <v>2</v>
      </c>
      <c r="H339" s="2" t="str">
        <f>INDEX(customers!$A$1:$I$1001,MATCH($E339,customers!$A$1:$A$1001,),MATCH($H$1,customers!$A$1:$I$1,0))</f>
        <v>Ethelda Hobbing</v>
      </c>
      <c r="I339" s="2" t="str">
        <f>IF(INDEX(customers!$A$1:$I$1001,MATCH($E339,customers!$A$1:$A$1001,0),3)=0,"",INDEX(customers!$A$1:$I$1001,MATCH($E339,customers!$A$1:$A$1001,0),3))</f>
        <v>ehobbing4v@nsw.gov.au</v>
      </c>
      <c r="J339" s="2" t="str">
        <f>_xlfn.XLOOKUP(E339,customers!$A$1:$A$1001,customers!$G$1:$G$1001)</f>
        <v>United States</v>
      </c>
      <c r="K339" t="str">
        <f>INDEX(products!$A$1:$G$49,MATCH($F339,products!$A$1:$A$49,0),MATCH(K$1,products!$A$1:$G$1,0))</f>
        <v>Exc</v>
      </c>
      <c r="L339" t="str">
        <f>INDEX(products!$A$1:$G$49,MATCH($F339,products!$A$1:$A$49,0),MATCH(L$1,products!$A$1:$G$1,0))</f>
        <v>M</v>
      </c>
      <c r="M339" s="5">
        <f>INDEX(products!$A$1:$G$49,MATCH($F339,products!$A$1:$A$49,0),MATCH(M$1,products!$A$1:$G$1,0))</f>
        <v>2.5</v>
      </c>
      <c r="N339" s="7">
        <f>INDEX(products!$A$1:$G$49,MATCH($F339,products!$A$1:$A$49,0),MATCH(N$1,products!$A$1:$G$1,0))</f>
        <v>31.624999999999996</v>
      </c>
      <c r="O339" s="7">
        <f t="shared" si="5"/>
        <v>63.249999999999993</v>
      </c>
      <c r="P339" t="str" cm="1">
        <f t="array" ref="P339">_xlfn.IFS(K339="Rob","Robusta",K339="Exc","Excelsa",K339="Ara","Arabica",K339="Lib","Liberica")</f>
        <v>Excelsa</v>
      </c>
      <c r="Q339" t="str" cm="1">
        <f t="array" ref="Q339">_xlfn.IFS(L339="M","Medium",L339="L","Light",L339="D","Dark")</f>
        <v>Medium</v>
      </c>
      <c r="R339" t="str">
        <f>_xlfn.XLOOKUP(Orders[[#This Row],[Customer ID]],customers!$A$1:$A$1001,customers!$I$1:$I$1001)</f>
        <v>Yes</v>
      </c>
    </row>
    <row r="340" spans="1:18" x14ac:dyDescent="0.35">
      <c r="A340" s="2" t="s">
        <v>5123</v>
      </c>
      <c r="B340" s="4">
        <v>43510</v>
      </c>
      <c r="C340" s="23">
        <f>Orders[[#This Row],[Order Date]]</f>
        <v>43510</v>
      </c>
      <c r="D340" s="2">
        <f>YEAR(Orders[[#This Row],[Order Date]])</f>
        <v>2019</v>
      </c>
      <c r="E340" s="2" t="s">
        <v>5124</v>
      </c>
      <c r="F340" t="s">
        <v>6141</v>
      </c>
      <c r="G340" s="20">
        <v>4</v>
      </c>
      <c r="H340" s="2" t="str">
        <f>INDEX(customers!$A$1:$I$1001,MATCH($E340,customers!$A$1:$A$1001,),MATCH($H$1,customers!$A$1:$I$1,0))</f>
        <v>Eustace Stenton</v>
      </c>
      <c r="I340" s="2" t="str">
        <f>IF(INDEX(customers!$A$1:$I$1001,MATCH($E340,customers!$A$1:$A$1001,0),3)=0,"",INDEX(customers!$A$1:$I$1001,MATCH($E340,customers!$A$1:$A$1001,0),3))</f>
        <v>estentonms@google.it</v>
      </c>
      <c r="J340" s="2" t="str">
        <f>_xlfn.XLOOKUP(E340,customers!$A$1:$A$1001,customers!$G$1:$G$1001)</f>
        <v>United States</v>
      </c>
      <c r="K340" t="str">
        <f>INDEX(products!$A$1:$G$49,MATCH($F340,products!$A$1:$A$49,0),MATCH(K$1,products!$A$1:$G$1,0))</f>
        <v>Exc</v>
      </c>
      <c r="L340" t="str">
        <f>INDEX(products!$A$1:$G$49,MATCH($F340,products!$A$1:$A$49,0),MATCH(L$1,products!$A$1:$G$1,0))</f>
        <v>M</v>
      </c>
      <c r="M340" s="5">
        <f>INDEX(products!$A$1:$G$49,MATCH($F340,products!$A$1:$A$49,0),MATCH(M$1,products!$A$1:$G$1,0))</f>
        <v>1</v>
      </c>
      <c r="N340" s="7">
        <f>INDEX(products!$A$1:$G$49,MATCH($F340,products!$A$1:$A$49,0),MATCH(N$1,products!$A$1:$G$1,0))</f>
        <v>13.75</v>
      </c>
      <c r="O340" s="7">
        <f t="shared" si="5"/>
        <v>55</v>
      </c>
      <c r="P340" t="str" cm="1">
        <f t="array" ref="P340">_xlfn.IFS(K340="Rob","Robusta",K340="Exc","Excelsa",K340="Ara","Arabica",K340="Lib","Liberica")</f>
        <v>Excelsa</v>
      </c>
      <c r="Q340" t="str" cm="1">
        <f t="array" ref="Q340">_xlfn.IFS(L340="M","Medium",L340="L","Light",L340="D","Dark")</f>
        <v>Medium</v>
      </c>
      <c r="R340" t="str">
        <f>_xlfn.XLOOKUP(Orders[[#This Row],[Customer ID]],customers!$A$1:$A$1001,customers!$I$1:$I$1001)</f>
        <v>Yes</v>
      </c>
    </row>
    <row r="341" spans="1:18" x14ac:dyDescent="0.35">
      <c r="A341" s="2" t="s">
        <v>2232</v>
      </c>
      <c r="B341" s="4">
        <v>43864</v>
      </c>
      <c r="C341" s="23">
        <f>Orders[[#This Row],[Order Date]]</f>
        <v>43864</v>
      </c>
      <c r="D341" s="2">
        <f>YEAR(Orders[[#This Row],[Order Date]])</f>
        <v>2020</v>
      </c>
      <c r="E341" s="2" t="s">
        <v>2233</v>
      </c>
      <c r="F341" t="s">
        <v>6159</v>
      </c>
      <c r="G341" s="20">
        <v>6</v>
      </c>
      <c r="H341" s="2" t="str">
        <f>INDEX(customers!$A$1:$I$1001,MATCH($E341,customers!$A$1:$A$1001,),MATCH($H$1,customers!$A$1:$I$1,0))</f>
        <v>Eveleen Bletsor</v>
      </c>
      <c r="I341" s="2" t="str">
        <f>IF(INDEX(customers!$A$1:$I$1001,MATCH($E341,customers!$A$1:$A$1001,0),3)=0,"",INDEX(customers!$A$1:$I$1001,MATCH($E341,customers!$A$1:$A$1001,0),3))</f>
        <v>ebletsor8l@vinaora.com</v>
      </c>
      <c r="J341" s="2" t="str">
        <f>_xlfn.XLOOKUP(E341,customers!$A$1:$A$1001,customers!$G$1:$G$1001)</f>
        <v>United States</v>
      </c>
      <c r="K341" t="str">
        <f>INDEX(products!$A$1:$G$49,MATCH($F341,products!$A$1:$A$49,0),MATCH(K$1,products!$A$1:$G$1,0))</f>
        <v>Lib</v>
      </c>
      <c r="L341" t="str">
        <f>INDEX(products!$A$1:$G$49,MATCH($F341,products!$A$1:$A$49,0),MATCH(L$1,products!$A$1:$G$1,0))</f>
        <v>M</v>
      </c>
      <c r="M341" s="5">
        <f>INDEX(products!$A$1:$G$49,MATCH($F341,products!$A$1:$A$49,0),MATCH(M$1,products!$A$1:$G$1,0))</f>
        <v>0.2</v>
      </c>
      <c r="N341" s="7">
        <f>INDEX(products!$A$1:$G$49,MATCH($F341,products!$A$1:$A$49,0),MATCH(N$1,products!$A$1:$G$1,0))</f>
        <v>4.3650000000000002</v>
      </c>
      <c r="O341" s="7">
        <f t="shared" si="5"/>
        <v>26.19</v>
      </c>
      <c r="P341" t="str" cm="1">
        <f t="array" ref="P341">_xlfn.IFS(K341="Rob","Robusta",K341="Exc","Excelsa",K341="Ara","Arabica",K341="Lib","Liberica")</f>
        <v>Liberica</v>
      </c>
      <c r="Q341" t="str" cm="1">
        <f t="array" ref="Q341">_xlfn.IFS(L341="M","Medium",L341="L","Light",L341="D","Dark")</f>
        <v>Medium</v>
      </c>
      <c r="R341" t="str">
        <f>_xlfn.XLOOKUP(Orders[[#This Row],[Customer ID]],customers!$A$1:$A$1001,customers!$I$1:$I$1001)</f>
        <v>Yes</v>
      </c>
    </row>
    <row r="342" spans="1:18" x14ac:dyDescent="0.35">
      <c r="A342" s="2" t="s">
        <v>1216</v>
      </c>
      <c r="B342" s="4">
        <v>43652</v>
      </c>
      <c r="C342" s="23">
        <f>Orders[[#This Row],[Order Date]]</f>
        <v>43652</v>
      </c>
      <c r="D342" s="2">
        <f>YEAR(Orders[[#This Row],[Order Date]])</f>
        <v>2019</v>
      </c>
      <c r="E342" s="2" t="s">
        <v>1217</v>
      </c>
      <c r="F342" t="s">
        <v>6183</v>
      </c>
      <c r="G342" s="20">
        <v>1</v>
      </c>
      <c r="H342" s="2" t="str">
        <f>INDEX(customers!$A$1:$I$1001,MATCH($E342,customers!$A$1:$A$1001,),MATCH($H$1,customers!$A$1:$I$1,0))</f>
        <v>Evelina Dacca</v>
      </c>
      <c r="I342" s="2" t="str">
        <f>IF(INDEX(customers!$A$1:$I$1001,MATCH($E342,customers!$A$1:$A$1001,0),3)=0,"",INDEX(customers!$A$1:$I$1001,MATCH($E342,customers!$A$1:$A$1001,0),3))</f>
        <v>edacca3l@google.pl</v>
      </c>
      <c r="J342" s="2" t="str">
        <f>_xlfn.XLOOKUP(E342,customers!$A$1:$A$1001,customers!$G$1:$G$1001)</f>
        <v>United States</v>
      </c>
      <c r="K342" t="str">
        <f>INDEX(products!$A$1:$G$49,MATCH($F342,products!$A$1:$A$49,0),MATCH(K$1,products!$A$1:$G$1,0))</f>
        <v>Exc</v>
      </c>
      <c r="L342" t="str">
        <f>INDEX(products!$A$1:$G$49,MATCH($F342,products!$A$1:$A$49,0),MATCH(L$1,products!$A$1:$G$1,0))</f>
        <v>D</v>
      </c>
      <c r="M342" s="5">
        <f>INDEX(products!$A$1:$G$49,MATCH($F342,products!$A$1:$A$49,0),MATCH(M$1,products!$A$1:$G$1,0))</f>
        <v>1</v>
      </c>
      <c r="N342" s="7">
        <f>INDEX(products!$A$1:$G$49,MATCH($F342,products!$A$1:$A$49,0),MATCH(N$1,products!$A$1:$G$1,0))</f>
        <v>12.15</v>
      </c>
      <c r="O342" s="7">
        <f t="shared" si="5"/>
        <v>12.15</v>
      </c>
      <c r="P342" t="str" cm="1">
        <f t="array" ref="P342">_xlfn.IFS(K342="Rob","Robusta",K342="Exc","Excelsa",K342="Ara","Arabica",K342="Lib","Liberica")</f>
        <v>Excelsa</v>
      </c>
      <c r="Q342" t="str" cm="1">
        <f t="array" ref="Q342">_xlfn.IFS(L342="M","Medium",L342="L","Light",L342="D","Dark")</f>
        <v>Dark</v>
      </c>
      <c r="R342" t="str">
        <f>_xlfn.XLOOKUP(Orders[[#This Row],[Customer ID]],customers!$A$1:$A$1001,customers!$I$1:$I$1001)</f>
        <v>Yes</v>
      </c>
    </row>
    <row r="343" spans="1:18" x14ac:dyDescent="0.35">
      <c r="A343" s="2" t="s">
        <v>5725</v>
      </c>
      <c r="B343" s="4">
        <v>44012</v>
      </c>
      <c r="C343" s="23">
        <f>Orders[[#This Row],[Order Date]]</f>
        <v>44012</v>
      </c>
      <c r="D343" s="2">
        <f>YEAR(Orders[[#This Row],[Order Date]])</f>
        <v>2020</v>
      </c>
      <c r="E343" s="2" t="s">
        <v>5726</v>
      </c>
      <c r="F343" t="s">
        <v>6157</v>
      </c>
      <c r="G343" s="20">
        <v>5</v>
      </c>
      <c r="H343" s="2" t="str">
        <f>INDEX(customers!$A$1:$I$1001,MATCH($E343,customers!$A$1:$A$1001,),MATCH($H$1,customers!$A$1:$I$1,0))</f>
        <v>Evy Wilsone</v>
      </c>
      <c r="I343" s="2" t="str">
        <f>IF(INDEX(customers!$A$1:$I$1001,MATCH($E343,customers!$A$1:$A$1001,0),3)=0,"",INDEX(customers!$A$1:$I$1001,MATCH($E343,customers!$A$1:$A$1001,0),3))</f>
        <v>ewilsonepq@eepurl.com</v>
      </c>
      <c r="J343" s="2" t="str">
        <f>_xlfn.XLOOKUP(E343,customers!$A$1:$A$1001,customers!$G$1:$G$1001)</f>
        <v>United States</v>
      </c>
      <c r="K343" t="str">
        <f>INDEX(products!$A$1:$G$49,MATCH($F343,products!$A$1:$A$49,0),MATCH(K$1,products!$A$1:$G$1,0))</f>
        <v>Ara</v>
      </c>
      <c r="L343" t="str">
        <f>INDEX(products!$A$1:$G$49,MATCH($F343,products!$A$1:$A$49,0),MATCH(L$1,products!$A$1:$G$1,0))</f>
        <v>M</v>
      </c>
      <c r="M343" s="5">
        <f>INDEX(products!$A$1:$G$49,MATCH($F343,products!$A$1:$A$49,0),MATCH(M$1,products!$A$1:$G$1,0))</f>
        <v>0.5</v>
      </c>
      <c r="N343" s="7">
        <f>INDEX(products!$A$1:$G$49,MATCH($F343,products!$A$1:$A$49,0),MATCH(N$1,products!$A$1:$G$1,0))</f>
        <v>6.75</v>
      </c>
      <c r="O343" s="7">
        <f t="shared" si="5"/>
        <v>33.75</v>
      </c>
      <c r="P343" t="str" cm="1">
        <f t="array" ref="P343">_xlfn.IFS(K343="Rob","Robusta",K343="Exc","Excelsa",K343="Ara","Arabica",K343="Lib","Liberica")</f>
        <v>Arabica</v>
      </c>
      <c r="Q343" t="str" cm="1">
        <f t="array" ref="Q343">_xlfn.IFS(L343="M","Medium",L343="L","Light",L343="D","Dark")</f>
        <v>Medium</v>
      </c>
      <c r="R343" t="str">
        <f>_xlfn.XLOOKUP(Orders[[#This Row],[Customer ID]],customers!$A$1:$A$1001,customers!$I$1:$I$1001)</f>
        <v>Yes</v>
      </c>
    </row>
    <row r="344" spans="1:18" x14ac:dyDescent="0.35">
      <c r="A344" s="2" t="s">
        <v>1245</v>
      </c>
      <c r="B344" s="4">
        <v>44758</v>
      </c>
      <c r="C344" s="23">
        <f>Orders[[#This Row],[Order Date]]</f>
        <v>44758</v>
      </c>
      <c r="D344" s="2">
        <f>YEAR(Orders[[#This Row],[Order Date]])</f>
        <v>2022</v>
      </c>
      <c r="E344" s="2" t="s">
        <v>1246</v>
      </c>
      <c r="F344" t="s">
        <v>6166</v>
      </c>
      <c r="G344" s="20">
        <v>3</v>
      </c>
      <c r="H344" s="2" t="str">
        <f>INDEX(customers!$A$1:$I$1001,MATCH($E344,customers!$A$1:$A$1001,),MATCH($H$1,customers!$A$1:$I$1,0))</f>
        <v>Ewell Hanby</v>
      </c>
      <c r="I344" s="2" t="str">
        <f>IF(INDEX(customers!$A$1:$I$1001,MATCH($E344,customers!$A$1:$A$1001,0),3)=0,"",INDEX(customers!$A$1:$I$1001,MATCH($E344,customers!$A$1:$A$1001,0),3))</f>
        <v/>
      </c>
      <c r="J344" s="2" t="str">
        <f>_xlfn.XLOOKUP(E344,customers!$A$1:$A$1001,customers!$G$1:$G$1001)</f>
        <v>United States</v>
      </c>
      <c r="K344" t="str">
        <f>INDEX(products!$A$1:$G$49,MATCH($F344,products!$A$1:$A$49,0),MATCH(K$1,products!$A$1:$G$1,0))</f>
        <v>Exc</v>
      </c>
      <c r="L344" t="str">
        <f>INDEX(products!$A$1:$G$49,MATCH($F344,products!$A$1:$A$49,0),MATCH(L$1,products!$A$1:$G$1,0))</f>
        <v>M</v>
      </c>
      <c r="M344" s="5">
        <f>INDEX(products!$A$1:$G$49,MATCH($F344,products!$A$1:$A$49,0),MATCH(M$1,products!$A$1:$G$1,0))</f>
        <v>2.5</v>
      </c>
      <c r="N344" s="7">
        <f>INDEX(products!$A$1:$G$49,MATCH($F344,products!$A$1:$A$49,0),MATCH(N$1,products!$A$1:$G$1,0))</f>
        <v>31.624999999999996</v>
      </c>
      <c r="O344" s="7">
        <f t="shared" si="5"/>
        <v>94.874999999999986</v>
      </c>
      <c r="P344" t="str" cm="1">
        <f t="array" ref="P344">_xlfn.IFS(K344="Rob","Robusta",K344="Exc","Excelsa",K344="Ara","Arabica",K344="Lib","Liberica")</f>
        <v>Excelsa</v>
      </c>
      <c r="Q344" t="str" cm="1">
        <f t="array" ref="Q344">_xlfn.IFS(L344="M","Medium",L344="L","Light",L344="D","Dark")</f>
        <v>Medium</v>
      </c>
      <c r="R344" t="str">
        <f>_xlfn.XLOOKUP(Orders[[#This Row],[Customer ID]],customers!$A$1:$A$1001,customers!$I$1:$I$1001)</f>
        <v>Yes</v>
      </c>
    </row>
    <row r="345" spans="1:18" x14ac:dyDescent="0.35">
      <c r="A345" s="2" t="s">
        <v>687</v>
      </c>
      <c r="B345" s="4">
        <v>44348</v>
      </c>
      <c r="C345" s="23">
        <f>Orders[[#This Row],[Order Date]]</f>
        <v>44348</v>
      </c>
      <c r="D345" s="2">
        <f>YEAR(Orders[[#This Row],[Order Date]])</f>
        <v>2021</v>
      </c>
      <c r="E345" s="2" t="s">
        <v>688</v>
      </c>
      <c r="F345" t="s">
        <v>6158</v>
      </c>
      <c r="G345" s="20">
        <v>6</v>
      </c>
      <c r="H345" s="2" t="str">
        <f>INDEX(customers!$A$1:$I$1001,MATCH($E345,customers!$A$1:$A$1001,),MATCH($H$1,customers!$A$1:$I$1,0))</f>
        <v>Faber Eilhart</v>
      </c>
      <c r="I345" s="2" t="str">
        <f>IF(INDEX(customers!$A$1:$I$1001,MATCH($E345,customers!$A$1:$A$1001,0),3)=0,"",INDEX(customers!$A$1:$I$1001,MATCH($E345,customers!$A$1:$A$1001,0),3))</f>
        <v>feilhartz@who.int</v>
      </c>
      <c r="J345" s="2" t="str">
        <f>_xlfn.XLOOKUP(E345,customers!$A$1:$A$1001,customers!$G$1:$G$1001)</f>
        <v>United States</v>
      </c>
      <c r="K345" t="str">
        <f>INDEX(products!$A$1:$G$49,MATCH($F345,products!$A$1:$A$49,0),MATCH(K$1,products!$A$1:$G$1,0))</f>
        <v>Ara</v>
      </c>
      <c r="L345" t="str">
        <f>INDEX(products!$A$1:$G$49,MATCH($F345,products!$A$1:$A$49,0),MATCH(L$1,products!$A$1:$G$1,0))</f>
        <v>D</v>
      </c>
      <c r="M345" s="5">
        <f>INDEX(products!$A$1:$G$49,MATCH($F345,products!$A$1:$A$49,0),MATCH(M$1,products!$A$1:$G$1,0))</f>
        <v>0.5</v>
      </c>
      <c r="N345" s="7">
        <f>INDEX(products!$A$1:$G$49,MATCH($F345,products!$A$1:$A$49,0),MATCH(N$1,products!$A$1:$G$1,0))</f>
        <v>5.97</v>
      </c>
      <c r="O345" s="7">
        <f t="shared" si="5"/>
        <v>35.82</v>
      </c>
      <c r="P345" t="str" cm="1">
        <f t="array" ref="P345">_xlfn.IFS(K345="Rob","Robusta",K345="Exc","Excelsa",K345="Ara","Arabica",K345="Lib","Liberica")</f>
        <v>Arabica</v>
      </c>
      <c r="Q345" t="str" cm="1">
        <f t="array" ref="Q345">_xlfn.IFS(L345="M","Medium",L345="L","Light",L345="D","Dark")</f>
        <v>Dark</v>
      </c>
      <c r="R345" t="str">
        <f>_xlfn.XLOOKUP(Orders[[#This Row],[Customer ID]],customers!$A$1:$A$1001,customers!$I$1:$I$1001)</f>
        <v>No</v>
      </c>
    </row>
    <row r="346" spans="1:18" x14ac:dyDescent="0.35">
      <c r="A346" s="2" t="s">
        <v>6047</v>
      </c>
      <c r="B346" s="4">
        <v>43831</v>
      </c>
      <c r="C346" s="23">
        <f>Orders[[#This Row],[Order Date]]</f>
        <v>43831</v>
      </c>
      <c r="D346" s="2">
        <f>YEAR(Orders[[#This Row],[Order Date]])</f>
        <v>2020</v>
      </c>
      <c r="E346" s="2" t="s">
        <v>6048</v>
      </c>
      <c r="F346" t="s">
        <v>6152</v>
      </c>
      <c r="G346" s="20">
        <v>2</v>
      </c>
      <c r="H346" s="2" t="str">
        <f>INDEX(customers!$A$1:$I$1001,MATCH($E346,customers!$A$1:$A$1001,),MATCH($H$1,customers!$A$1:$I$1,0))</f>
        <v>Fanchette Parlot</v>
      </c>
      <c r="I346" s="2" t="str">
        <f>IF(INDEX(customers!$A$1:$I$1001,MATCH($E346,customers!$A$1:$A$1001,0),3)=0,"",INDEX(customers!$A$1:$I$1001,MATCH($E346,customers!$A$1:$A$1001,0),3))</f>
        <v>fparlotrb@forbes.com</v>
      </c>
      <c r="J346" s="2" t="str">
        <f>_xlfn.XLOOKUP(E346,customers!$A$1:$A$1001,customers!$G$1:$G$1001)</f>
        <v>United States</v>
      </c>
      <c r="K346" t="str">
        <f>INDEX(products!$A$1:$G$49,MATCH($F346,products!$A$1:$A$49,0),MATCH(K$1,products!$A$1:$G$1,0))</f>
        <v>Ara</v>
      </c>
      <c r="L346" t="str">
        <f>INDEX(products!$A$1:$G$49,MATCH($F346,products!$A$1:$A$49,0),MATCH(L$1,products!$A$1:$G$1,0))</f>
        <v>M</v>
      </c>
      <c r="M346" s="5">
        <f>INDEX(products!$A$1:$G$49,MATCH($F346,products!$A$1:$A$49,0),MATCH(M$1,products!$A$1:$G$1,0))</f>
        <v>0.2</v>
      </c>
      <c r="N346" s="7">
        <f>INDEX(products!$A$1:$G$49,MATCH($F346,products!$A$1:$A$49,0),MATCH(N$1,products!$A$1:$G$1,0))</f>
        <v>3.375</v>
      </c>
      <c r="O346" s="7">
        <f t="shared" si="5"/>
        <v>6.75</v>
      </c>
      <c r="P346" t="str" cm="1">
        <f t="array" ref="P346">_xlfn.IFS(K346="Rob","Robusta",K346="Exc","Excelsa",K346="Ara","Arabica",K346="Lib","Liberica")</f>
        <v>Arabica</v>
      </c>
      <c r="Q346" t="str" cm="1">
        <f t="array" ref="Q346">_xlfn.IFS(L346="M","Medium",L346="L","Light",L346="D","Dark")</f>
        <v>Medium</v>
      </c>
      <c r="R346" t="str">
        <f>_xlfn.XLOOKUP(Orders[[#This Row],[Customer ID]],customers!$A$1:$A$1001,customers!$I$1:$I$1001)</f>
        <v>Yes</v>
      </c>
    </row>
    <row r="347" spans="1:18" x14ac:dyDescent="0.35">
      <c r="A347" s="2" t="s">
        <v>5828</v>
      </c>
      <c r="B347" s="4">
        <v>44054</v>
      </c>
      <c r="C347" s="23">
        <f>Orders[[#This Row],[Order Date]]</f>
        <v>44054</v>
      </c>
      <c r="D347" s="2">
        <f>YEAR(Orders[[#This Row],[Order Date]])</f>
        <v>2020</v>
      </c>
      <c r="E347" s="2" t="s">
        <v>5829</v>
      </c>
      <c r="F347" t="s">
        <v>6173</v>
      </c>
      <c r="G347" s="20">
        <v>5</v>
      </c>
      <c r="H347" s="2" t="str">
        <f>INDEX(customers!$A$1:$I$1001,MATCH($E347,customers!$A$1:$A$1001,),MATCH($H$1,customers!$A$1:$I$1,0))</f>
        <v>Fanchon Haughian</v>
      </c>
      <c r="I347" s="2" t="str">
        <f>IF(INDEX(customers!$A$1:$I$1001,MATCH($E347,customers!$A$1:$A$1001,0),3)=0,"",INDEX(customers!$A$1:$I$1001,MATCH($E347,customers!$A$1:$A$1001,0),3))</f>
        <v>fhaughianq8@1688.com</v>
      </c>
      <c r="J347" s="2" t="str">
        <f>_xlfn.XLOOKUP(E347,customers!$A$1:$A$1001,customers!$G$1:$G$1001)</f>
        <v>United States</v>
      </c>
      <c r="K347" t="str">
        <f>INDEX(products!$A$1:$G$49,MATCH($F347,products!$A$1:$A$49,0),MATCH(K$1,products!$A$1:$G$1,0))</f>
        <v>Rob</v>
      </c>
      <c r="L347" t="str">
        <f>INDEX(products!$A$1:$G$49,MATCH($F347,products!$A$1:$A$49,0),MATCH(L$1,products!$A$1:$G$1,0))</f>
        <v>L</v>
      </c>
      <c r="M347" s="5">
        <f>INDEX(products!$A$1:$G$49,MATCH($F347,products!$A$1:$A$49,0),MATCH(M$1,products!$A$1:$G$1,0))</f>
        <v>0.5</v>
      </c>
      <c r="N347" s="7">
        <f>INDEX(products!$A$1:$G$49,MATCH($F347,products!$A$1:$A$49,0),MATCH(N$1,products!$A$1:$G$1,0))</f>
        <v>7.169999999999999</v>
      </c>
      <c r="O347" s="7">
        <f t="shared" si="5"/>
        <v>35.849999999999994</v>
      </c>
      <c r="P347" t="str" cm="1">
        <f t="array" ref="P347">_xlfn.IFS(K347="Rob","Robusta",K347="Exc","Excelsa",K347="Ara","Arabica",K347="Lib","Liberica")</f>
        <v>Robusta</v>
      </c>
      <c r="Q347" t="str" cm="1">
        <f t="array" ref="Q347">_xlfn.IFS(L347="M","Medium",L347="L","Light",L347="D","Dark")</f>
        <v>Light</v>
      </c>
      <c r="R347" t="str">
        <f>_xlfn.XLOOKUP(Orders[[#This Row],[Customer ID]],customers!$A$1:$A$1001,customers!$I$1:$I$1001)</f>
        <v>No</v>
      </c>
    </row>
    <row r="348" spans="1:18" x14ac:dyDescent="0.35">
      <c r="A348" s="2" t="s">
        <v>3187</v>
      </c>
      <c r="B348" s="4">
        <v>43962</v>
      </c>
      <c r="C348" s="23">
        <f>Orders[[#This Row],[Order Date]]</f>
        <v>43962</v>
      </c>
      <c r="D348" s="2">
        <f>YEAR(Orders[[#This Row],[Order Date]])</f>
        <v>2020</v>
      </c>
      <c r="E348" s="2" t="s">
        <v>3188</v>
      </c>
      <c r="F348" t="s">
        <v>6159</v>
      </c>
      <c r="G348" s="20">
        <v>6</v>
      </c>
      <c r="H348" s="2" t="str">
        <f>INDEX(customers!$A$1:$I$1001,MATCH($E348,customers!$A$1:$A$1001,),MATCH($H$1,customers!$A$1:$I$1,0))</f>
        <v>Fanny Flanagan</v>
      </c>
      <c r="I348" s="2" t="str">
        <f>IF(INDEX(customers!$A$1:$I$1001,MATCH($E348,customers!$A$1:$A$1001,0),3)=0,"",INDEX(customers!$A$1:$I$1001,MATCH($E348,customers!$A$1:$A$1001,0),3))</f>
        <v>fflanagand9@woothemes.com</v>
      </c>
      <c r="J348" s="2" t="str">
        <f>_xlfn.XLOOKUP(E348,customers!$A$1:$A$1001,customers!$G$1:$G$1001)</f>
        <v>United States</v>
      </c>
      <c r="K348" t="str">
        <f>INDEX(products!$A$1:$G$49,MATCH($F348,products!$A$1:$A$49,0),MATCH(K$1,products!$A$1:$G$1,0))</f>
        <v>Lib</v>
      </c>
      <c r="L348" t="str">
        <f>INDEX(products!$A$1:$G$49,MATCH($F348,products!$A$1:$A$49,0),MATCH(L$1,products!$A$1:$G$1,0))</f>
        <v>M</v>
      </c>
      <c r="M348" s="5">
        <f>INDEX(products!$A$1:$G$49,MATCH($F348,products!$A$1:$A$49,0),MATCH(M$1,products!$A$1:$G$1,0))</f>
        <v>0.2</v>
      </c>
      <c r="N348" s="7">
        <f>INDEX(products!$A$1:$G$49,MATCH($F348,products!$A$1:$A$49,0),MATCH(N$1,products!$A$1:$G$1,0))</f>
        <v>4.3650000000000002</v>
      </c>
      <c r="O348" s="7">
        <f t="shared" si="5"/>
        <v>26.19</v>
      </c>
      <c r="P348" t="str" cm="1">
        <f t="array" ref="P348">_xlfn.IFS(K348="Rob","Robusta",K348="Exc","Excelsa",K348="Ara","Arabica",K348="Lib","Liberica")</f>
        <v>Liberica</v>
      </c>
      <c r="Q348" t="str" cm="1">
        <f t="array" ref="Q348">_xlfn.IFS(L348="M","Medium",L348="L","Light",L348="D","Dark")</f>
        <v>Medium</v>
      </c>
      <c r="R348" t="str">
        <f>_xlfn.XLOOKUP(Orders[[#This Row],[Customer ID]],customers!$A$1:$A$1001,customers!$I$1:$I$1001)</f>
        <v>No</v>
      </c>
    </row>
    <row r="349" spans="1:18" x14ac:dyDescent="0.35">
      <c r="A349" s="2" t="s">
        <v>4035</v>
      </c>
      <c r="B349" s="4">
        <v>44680</v>
      </c>
      <c r="C349" s="23">
        <f>Orders[[#This Row],[Order Date]]</f>
        <v>44680</v>
      </c>
      <c r="D349" s="2">
        <f>YEAR(Orders[[#This Row],[Order Date]])</f>
        <v>2022</v>
      </c>
      <c r="E349" s="2" t="s">
        <v>4036</v>
      </c>
      <c r="F349" t="s">
        <v>6184</v>
      </c>
      <c r="G349" s="20">
        <v>6</v>
      </c>
      <c r="H349" s="2" t="str">
        <f>INDEX(customers!$A$1:$I$1001,MATCH($E349,customers!$A$1:$A$1001,),MATCH($H$1,customers!$A$1:$I$1,0))</f>
        <v>Faunie Brigham</v>
      </c>
      <c r="I349" s="2" t="str">
        <f>IF(INDEX(customers!$A$1:$I$1001,MATCH($E349,customers!$A$1:$A$1001,0),3)=0,"",INDEX(customers!$A$1:$I$1001,MATCH($E349,customers!$A$1:$A$1001,0),3))</f>
        <v>fbrighamhg@blog.com</v>
      </c>
      <c r="J349" s="2" t="str">
        <f>_xlfn.XLOOKUP(E349,customers!$A$1:$A$1001,customers!$G$1:$G$1001)</f>
        <v>Ireland</v>
      </c>
      <c r="K349" t="str">
        <f>INDEX(products!$A$1:$G$49,MATCH($F349,products!$A$1:$A$49,0),MATCH(K$1,products!$A$1:$G$1,0))</f>
        <v>Exc</v>
      </c>
      <c r="L349" t="str">
        <f>INDEX(products!$A$1:$G$49,MATCH($F349,products!$A$1:$A$49,0),MATCH(L$1,products!$A$1:$G$1,0))</f>
        <v>L</v>
      </c>
      <c r="M349" s="5">
        <f>INDEX(products!$A$1:$G$49,MATCH($F349,products!$A$1:$A$49,0),MATCH(M$1,products!$A$1:$G$1,0))</f>
        <v>0.2</v>
      </c>
      <c r="N349" s="7">
        <f>INDEX(products!$A$1:$G$49,MATCH($F349,products!$A$1:$A$49,0),MATCH(N$1,products!$A$1:$G$1,0))</f>
        <v>4.4550000000000001</v>
      </c>
      <c r="O349" s="7">
        <f t="shared" si="5"/>
        <v>26.73</v>
      </c>
      <c r="P349" t="str" cm="1">
        <f t="array" ref="P349">_xlfn.IFS(K349="Rob","Robusta",K349="Exc","Excelsa",K349="Ara","Arabica",K349="Lib","Liberica")</f>
        <v>Excelsa</v>
      </c>
      <c r="Q349" t="str" cm="1">
        <f t="array" ref="Q349">_xlfn.IFS(L349="M","Medium",L349="L","Light",L349="D","Dark")</f>
        <v>Light</v>
      </c>
      <c r="R349" t="str">
        <f>_xlfn.XLOOKUP(Orders[[#This Row],[Customer ID]],customers!$A$1:$A$1001,customers!$I$1:$I$1001)</f>
        <v>Yes</v>
      </c>
    </row>
    <row r="350" spans="1:18" x14ac:dyDescent="0.35">
      <c r="A350" s="2" t="s">
        <v>4035</v>
      </c>
      <c r="B350" s="4">
        <v>44680</v>
      </c>
      <c r="C350" s="23">
        <f>Orders[[#This Row],[Order Date]]</f>
        <v>44680</v>
      </c>
      <c r="D350" s="2">
        <f>YEAR(Orders[[#This Row],[Order Date]])</f>
        <v>2022</v>
      </c>
      <c r="E350" s="2" t="s">
        <v>4036</v>
      </c>
      <c r="F350" t="s">
        <v>6169</v>
      </c>
      <c r="G350" s="20">
        <v>4</v>
      </c>
      <c r="H350" s="2" t="str">
        <f>INDEX(customers!$A$1:$I$1001,MATCH($E350,customers!$A$1:$A$1001,),MATCH($H$1,customers!$A$1:$I$1,0))</f>
        <v>Faunie Brigham</v>
      </c>
      <c r="I350" s="2" t="str">
        <f>IF(INDEX(customers!$A$1:$I$1001,MATCH($E350,customers!$A$1:$A$1001,0),3)=0,"",INDEX(customers!$A$1:$I$1001,MATCH($E350,customers!$A$1:$A$1001,0),3))</f>
        <v>fbrighamhg@blog.com</v>
      </c>
      <c r="J350" s="2" t="str">
        <f>_xlfn.XLOOKUP(E350,customers!$A$1:$A$1001,customers!$G$1:$G$1001)</f>
        <v>Ireland</v>
      </c>
      <c r="K350" t="str">
        <f>INDEX(products!$A$1:$G$49,MATCH($F350,products!$A$1:$A$49,0),MATCH(K$1,products!$A$1:$G$1,0))</f>
        <v>Lib</v>
      </c>
      <c r="L350" t="str">
        <f>INDEX(products!$A$1:$G$49,MATCH($F350,products!$A$1:$A$49,0),MATCH(L$1,products!$A$1:$G$1,0))</f>
        <v>D</v>
      </c>
      <c r="M350" s="5">
        <f>INDEX(products!$A$1:$G$49,MATCH($F350,products!$A$1:$A$49,0),MATCH(M$1,products!$A$1:$G$1,0))</f>
        <v>0.5</v>
      </c>
      <c r="N350" s="7">
        <f>INDEX(products!$A$1:$G$49,MATCH($F350,products!$A$1:$A$49,0),MATCH(N$1,products!$A$1:$G$1,0))</f>
        <v>7.77</v>
      </c>
      <c r="O350" s="7">
        <f t="shared" si="5"/>
        <v>31.08</v>
      </c>
      <c r="P350" t="str" cm="1">
        <f t="array" ref="P350">_xlfn.IFS(K350="Rob","Robusta",K350="Exc","Excelsa",K350="Ara","Arabica",K350="Lib","Liberica")</f>
        <v>Liberica</v>
      </c>
      <c r="Q350" t="str" cm="1">
        <f t="array" ref="Q350">_xlfn.IFS(L350="M","Medium",L350="L","Light",L350="D","Dark")</f>
        <v>Dark</v>
      </c>
      <c r="R350" t="str">
        <f>_xlfn.XLOOKUP(Orders[[#This Row],[Customer ID]],customers!$A$1:$A$1001,customers!$I$1:$I$1001)</f>
        <v>Yes</v>
      </c>
    </row>
    <row r="351" spans="1:18" x14ac:dyDescent="0.35">
      <c r="A351" s="2" t="s">
        <v>4035</v>
      </c>
      <c r="B351" s="4">
        <v>44680</v>
      </c>
      <c r="C351" s="23">
        <f>Orders[[#This Row],[Order Date]]</f>
        <v>44680</v>
      </c>
      <c r="D351" s="2">
        <f>YEAR(Orders[[#This Row],[Order Date]])</f>
        <v>2022</v>
      </c>
      <c r="E351" s="2" t="s">
        <v>4036</v>
      </c>
      <c r="F351" t="s">
        <v>6154</v>
      </c>
      <c r="G351" s="20">
        <v>1</v>
      </c>
      <c r="H351" s="2" t="str">
        <f>INDEX(customers!$A$1:$I$1001,MATCH($E351,customers!$A$1:$A$1001,),MATCH($H$1,customers!$A$1:$I$1,0))</f>
        <v>Faunie Brigham</v>
      </c>
      <c r="I351" s="2" t="str">
        <f>IF(INDEX(customers!$A$1:$I$1001,MATCH($E351,customers!$A$1:$A$1001,0),3)=0,"",INDEX(customers!$A$1:$I$1001,MATCH($E351,customers!$A$1:$A$1001,0),3))</f>
        <v>fbrighamhg@blog.com</v>
      </c>
      <c r="J351" s="2" t="str">
        <f>_xlfn.XLOOKUP(E351,customers!$A$1:$A$1001,customers!$G$1:$G$1001)</f>
        <v>Ireland</v>
      </c>
      <c r="K351" t="str">
        <f>INDEX(products!$A$1:$G$49,MATCH($F351,products!$A$1:$A$49,0),MATCH(K$1,products!$A$1:$G$1,0))</f>
        <v>Ara</v>
      </c>
      <c r="L351" t="str">
        <f>INDEX(products!$A$1:$G$49,MATCH($F351,products!$A$1:$A$49,0),MATCH(L$1,products!$A$1:$G$1,0))</f>
        <v>D</v>
      </c>
      <c r="M351" s="5">
        <f>INDEX(products!$A$1:$G$49,MATCH($F351,products!$A$1:$A$49,0),MATCH(M$1,products!$A$1:$G$1,0))</f>
        <v>0.2</v>
      </c>
      <c r="N351" s="7">
        <f>INDEX(products!$A$1:$G$49,MATCH($F351,products!$A$1:$A$49,0),MATCH(N$1,products!$A$1:$G$1,0))</f>
        <v>2.9849999999999999</v>
      </c>
      <c r="O351" s="7">
        <f t="shared" si="5"/>
        <v>2.9849999999999999</v>
      </c>
      <c r="P351" t="str" cm="1">
        <f t="array" ref="P351">_xlfn.IFS(K351="Rob","Robusta",K351="Exc","Excelsa",K351="Ara","Arabica",K351="Lib","Liberica")</f>
        <v>Arabica</v>
      </c>
      <c r="Q351" t="str" cm="1">
        <f t="array" ref="Q351">_xlfn.IFS(L351="M","Medium",L351="L","Light",L351="D","Dark")</f>
        <v>Dark</v>
      </c>
      <c r="R351" t="str">
        <f>_xlfn.XLOOKUP(Orders[[#This Row],[Customer ID]],customers!$A$1:$A$1001,customers!$I$1:$I$1001)</f>
        <v>Yes</v>
      </c>
    </row>
    <row r="352" spans="1:18" x14ac:dyDescent="0.35">
      <c r="A352" s="2" t="s">
        <v>4035</v>
      </c>
      <c r="B352" s="4">
        <v>44680</v>
      </c>
      <c r="C352" s="23">
        <f>Orders[[#This Row],[Order Date]]</f>
        <v>44680</v>
      </c>
      <c r="D352" s="2">
        <f>YEAR(Orders[[#This Row],[Order Date]])</f>
        <v>2022</v>
      </c>
      <c r="E352" s="2" t="s">
        <v>4036</v>
      </c>
      <c r="F352" t="s">
        <v>6149</v>
      </c>
      <c r="G352" s="20">
        <v>5</v>
      </c>
      <c r="H352" s="2" t="str">
        <f>INDEX(customers!$A$1:$I$1001,MATCH($E352,customers!$A$1:$A$1001,),MATCH($H$1,customers!$A$1:$I$1,0))</f>
        <v>Faunie Brigham</v>
      </c>
      <c r="I352" s="2" t="str">
        <f>IF(INDEX(customers!$A$1:$I$1001,MATCH($E352,customers!$A$1:$A$1001,0),3)=0,"",INDEX(customers!$A$1:$I$1001,MATCH($E352,customers!$A$1:$A$1001,0),3))</f>
        <v>fbrighamhg@blog.com</v>
      </c>
      <c r="J352" s="2" t="str">
        <f>_xlfn.XLOOKUP(E352,customers!$A$1:$A$1001,customers!$G$1:$G$1001)</f>
        <v>Ireland</v>
      </c>
      <c r="K352" t="str">
        <f>INDEX(products!$A$1:$G$49,MATCH($F352,products!$A$1:$A$49,0),MATCH(K$1,products!$A$1:$G$1,0))</f>
        <v>Rob</v>
      </c>
      <c r="L352" t="str">
        <f>INDEX(products!$A$1:$G$49,MATCH($F352,products!$A$1:$A$49,0),MATCH(L$1,products!$A$1:$G$1,0))</f>
        <v>D</v>
      </c>
      <c r="M352" s="5">
        <f>INDEX(products!$A$1:$G$49,MATCH($F352,products!$A$1:$A$49,0),MATCH(M$1,products!$A$1:$G$1,0))</f>
        <v>2.5</v>
      </c>
      <c r="N352" s="7">
        <f>INDEX(products!$A$1:$G$49,MATCH($F352,products!$A$1:$A$49,0),MATCH(N$1,products!$A$1:$G$1,0))</f>
        <v>20.584999999999997</v>
      </c>
      <c r="O352" s="7">
        <f t="shared" si="5"/>
        <v>102.92499999999998</v>
      </c>
      <c r="P352" t="str" cm="1">
        <f t="array" ref="P352">_xlfn.IFS(K352="Rob","Robusta",K352="Exc","Excelsa",K352="Ara","Arabica",K352="Lib","Liberica")</f>
        <v>Robusta</v>
      </c>
      <c r="Q352" t="str" cm="1">
        <f t="array" ref="Q352">_xlfn.IFS(L352="M","Medium",L352="L","Light",L352="D","Dark")</f>
        <v>Dark</v>
      </c>
      <c r="R352" t="str">
        <f>_xlfn.XLOOKUP(Orders[[#This Row],[Customer ID]],customers!$A$1:$A$1001,customers!$I$1:$I$1001)</f>
        <v>Yes</v>
      </c>
    </row>
    <row r="353" spans="1:18" x14ac:dyDescent="0.35">
      <c r="A353" s="2" t="s">
        <v>849</v>
      </c>
      <c r="B353" s="4">
        <v>43913</v>
      </c>
      <c r="C353" s="23">
        <f>Orders[[#This Row],[Order Date]]</f>
        <v>43913</v>
      </c>
      <c r="D353" s="2">
        <f>YEAR(Orders[[#This Row],[Order Date]])</f>
        <v>2020</v>
      </c>
      <c r="E353" s="2" t="s">
        <v>850</v>
      </c>
      <c r="F353" t="s">
        <v>6146</v>
      </c>
      <c r="G353" s="20">
        <v>6</v>
      </c>
      <c r="H353" s="2" t="str">
        <f>INDEX(customers!$A$1:$I$1001,MATCH($E353,customers!$A$1:$A$1001,),MATCH($H$1,customers!$A$1:$I$1,0))</f>
        <v>Felecia Dodgson</v>
      </c>
      <c r="I353" s="2" t="str">
        <f>IF(INDEX(customers!$A$1:$I$1001,MATCH($E353,customers!$A$1:$A$1001,0),3)=0,"",INDEX(customers!$A$1:$I$1001,MATCH($E353,customers!$A$1:$A$1001,0),3))</f>
        <v/>
      </c>
      <c r="J353" s="2" t="str">
        <f>_xlfn.XLOOKUP(E353,customers!$A$1:$A$1001,customers!$G$1:$G$1001)</f>
        <v>United States</v>
      </c>
      <c r="K353" t="str">
        <f>INDEX(products!$A$1:$G$49,MATCH($F353,products!$A$1:$A$49,0),MATCH(K$1,products!$A$1:$G$1,0))</f>
        <v>Rob</v>
      </c>
      <c r="L353" t="str">
        <f>INDEX(products!$A$1:$G$49,MATCH($F353,products!$A$1:$A$49,0),MATCH(L$1,products!$A$1:$G$1,0))</f>
        <v>M</v>
      </c>
      <c r="M353" s="5">
        <f>INDEX(products!$A$1:$G$49,MATCH($F353,products!$A$1:$A$49,0),MATCH(M$1,products!$A$1:$G$1,0))</f>
        <v>0.5</v>
      </c>
      <c r="N353" s="7">
        <f>INDEX(products!$A$1:$G$49,MATCH($F353,products!$A$1:$A$49,0),MATCH(N$1,products!$A$1:$G$1,0))</f>
        <v>5.97</v>
      </c>
      <c r="O353" s="7">
        <f t="shared" si="5"/>
        <v>35.82</v>
      </c>
      <c r="P353" t="str" cm="1">
        <f t="array" ref="P353">_xlfn.IFS(K353="Rob","Robusta",K353="Exc","Excelsa",K353="Ara","Arabica",K353="Lib","Liberica")</f>
        <v>Robusta</v>
      </c>
      <c r="Q353" t="str" cm="1">
        <f t="array" ref="Q353">_xlfn.IFS(L353="M","Medium",L353="L","Light",L353="D","Dark")</f>
        <v>Medium</v>
      </c>
      <c r="R353" t="str">
        <f>_xlfn.XLOOKUP(Orders[[#This Row],[Customer ID]],customers!$A$1:$A$1001,customers!$I$1:$I$1001)</f>
        <v>Yes</v>
      </c>
    </row>
    <row r="354" spans="1:18" x14ac:dyDescent="0.35">
      <c r="A354" s="2" t="s">
        <v>2792</v>
      </c>
      <c r="B354" s="4">
        <v>44659</v>
      </c>
      <c r="C354" s="23">
        <f>Orders[[#This Row],[Order Date]]</f>
        <v>44659</v>
      </c>
      <c r="D354" s="2">
        <f>YEAR(Orders[[#This Row],[Order Date]])</f>
        <v>2022</v>
      </c>
      <c r="E354" s="2" t="s">
        <v>2793</v>
      </c>
      <c r="F354" t="s">
        <v>6175</v>
      </c>
      <c r="G354" s="20">
        <v>2</v>
      </c>
      <c r="H354" s="2" t="str">
        <f>INDEX(customers!$A$1:$I$1001,MATCH($E354,customers!$A$1:$A$1001,),MATCH($H$1,customers!$A$1:$I$1,0))</f>
        <v>Felice Miell</v>
      </c>
      <c r="I354" s="2" t="str">
        <f>IF(INDEX(customers!$A$1:$I$1001,MATCH($E354,customers!$A$1:$A$1001,0),3)=0,"",INDEX(customers!$A$1:$I$1001,MATCH($E354,customers!$A$1:$A$1001,0),3))</f>
        <v>fmiellbc@spiegel.de</v>
      </c>
      <c r="J354" s="2" t="str">
        <f>_xlfn.XLOOKUP(E354,customers!$A$1:$A$1001,customers!$G$1:$G$1001)</f>
        <v>United States</v>
      </c>
      <c r="K354" t="str">
        <f>INDEX(products!$A$1:$G$49,MATCH($F354,products!$A$1:$A$49,0),MATCH(K$1,products!$A$1:$G$1,0))</f>
        <v>Ara</v>
      </c>
      <c r="L354" t="str">
        <f>INDEX(products!$A$1:$G$49,MATCH($F354,products!$A$1:$A$49,0),MATCH(L$1,products!$A$1:$G$1,0))</f>
        <v>M</v>
      </c>
      <c r="M354" s="5">
        <f>INDEX(products!$A$1:$G$49,MATCH($F354,products!$A$1:$A$49,0),MATCH(M$1,products!$A$1:$G$1,0))</f>
        <v>2.5</v>
      </c>
      <c r="N354" s="7">
        <f>INDEX(products!$A$1:$G$49,MATCH($F354,products!$A$1:$A$49,0),MATCH(N$1,products!$A$1:$G$1,0))</f>
        <v>25.874999999999996</v>
      </c>
      <c r="O354" s="7">
        <f t="shared" si="5"/>
        <v>51.749999999999993</v>
      </c>
      <c r="P354" t="str" cm="1">
        <f t="array" ref="P354">_xlfn.IFS(K354="Rob","Robusta",K354="Exc","Excelsa",K354="Ara","Arabica",K354="Lib","Liberica")</f>
        <v>Arabica</v>
      </c>
      <c r="Q354" t="str" cm="1">
        <f t="array" ref="Q354">_xlfn.IFS(L354="M","Medium",L354="L","Light",L354="D","Dark")</f>
        <v>Medium</v>
      </c>
      <c r="R354" t="str">
        <f>_xlfn.XLOOKUP(Orders[[#This Row],[Customer ID]],customers!$A$1:$A$1001,customers!$I$1:$I$1001)</f>
        <v>Yes</v>
      </c>
    </row>
    <row r="355" spans="1:18" x14ac:dyDescent="0.35">
      <c r="A355" s="2" t="s">
        <v>3283</v>
      </c>
      <c r="B355" s="4">
        <v>44132</v>
      </c>
      <c r="C355" s="23">
        <f>Orders[[#This Row],[Order Date]]</f>
        <v>44132</v>
      </c>
      <c r="D355" s="2">
        <f>YEAR(Orders[[#This Row],[Order Date]])</f>
        <v>2020</v>
      </c>
      <c r="E355" s="2" t="s">
        <v>3284</v>
      </c>
      <c r="F355" t="s">
        <v>6170</v>
      </c>
      <c r="G355" s="20">
        <v>2</v>
      </c>
      <c r="H355" s="2" t="str">
        <f>INDEX(customers!$A$1:$I$1001,MATCH($E355,customers!$A$1:$A$1001,),MATCH($H$1,customers!$A$1:$I$1,0))</f>
        <v>Felicia Jecock</v>
      </c>
      <c r="I355" s="2" t="str">
        <f>IF(INDEX(customers!$A$1:$I$1001,MATCH($E355,customers!$A$1:$A$1001,0),3)=0,"",INDEX(customers!$A$1:$I$1001,MATCH($E355,customers!$A$1:$A$1001,0),3))</f>
        <v>fjecockdq@unicef.org</v>
      </c>
      <c r="J355" s="2" t="str">
        <f>_xlfn.XLOOKUP(E355,customers!$A$1:$A$1001,customers!$G$1:$G$1001)</f>
        <v>United States</v>
      </c>
      <c r="K355" t="str">
        <f>INDEX(products!$A$1:$G$49,MATCH($F355,products!$A$1:$A$49,0),MATCH(K$1,products!$A$1:$G$1,0))</f>
        <v>Lib</v>
      </c>
      <c r="L355" t="str">
        <f>INDEX(products!$A$1:$G$49,MATCH($F355,products!$A$1:$A$49,0),MATCH(L$1,products!$A$1:$G$1,0))</f>
        <v>L</v>
      </c>
      <c r="M355" s="5">
        <f>INDEX(products!$A$1:$G$49,MATCH($F355,products!$A$1:$A$49,0),MATCH(M$1,products!$A$1:$G$1,0))</f>
        <v>1</v>
      </c>
      <c r="N355" s="7">
        <f>INDEX(products!$A$1:$G$49,MATCH($F355,products!$A$1:$A$49,0),MATCH(N$1,products!$A$1:$G$1,0))</f>
        <v>15.85</v>
      </c>
      <c r="O355" s="7">
        <f t="shared" si="5"/>
        <v>31.7</v>
      </c>
      <c r="P355" t="str" cm="1">
        <f t="array" ref="P355">_xlfn.IFS(K355="Rob","Robusta",K355="Exc","Excelsa",K355="Ara","Arabica",K355="Lib","Liberica")</f>
        <v>Liberica</v>
      </c>
      <c r="Q355" t="str" cm="1">
        <f t="array" ref="Q355">_xlfn.IFS(L355="M","Medium",L355="L","Light",L355="D","Dark")</f>
        <v>Light</v>
      </c>
      <c r="R355" t="str">
        <f>_xlfn.XLOOKUP(Orders[[#This Row],[Customer ID]],customers!$A$1:$A$1001,customers!$I$1:$I$1001)</f>
        <v>No</v>
      </c>
    </row>
    <row r="356" spans="1:18" x14ac:dyDescent="0.35">
      <c r="A356" s="2" t="s">
        <v>2532</v>
      </c>
      <c r="B356" s="4">
        <v>44686</v>
      </c>
      <c r="C356" s="23">
        <f>Orders[[#This Row],[Order Date]]</f>
        <v>44686</v>
      </c>
      <c r="D356" s="2">
        <f>YEAR(Orders[[#This Row],[Order Date]])</f>
        <v>2022</v>
      </c>
      <c r="E356" s="2" t="s">
        <v>2533</v>
      </c>
      <c r="F356" t="s">
        <v>6171</v>
      </c>
      <c r="G356" s="20">
        <v>5</v>
      </c>
      <c r="H356" s="2" t="str">
        <f>INDEX(customers!$A$1:$I$1001,MATCH($E356,customers!$A$1:$A$1001,),MATCH($H$1,customers!$A$1:$I$1,0))</f>
        <v>Feliks Babber</v>
      </c>
      <c r="I356" s="2" t="str">
        <f>IF(INDEX(customers!$A$1:$I$1001,MATCH($E356,customers!$A$1:$A$1001,0),3)=0,"",INDEX(customers!$A$1:$I$1001,MATCH($E356,customers!$A$1:$A$1001,0),3))</f>
        <v>fbabbera2@stanford.edu</v>
      </c>
      <c r="J356" s="2" t="str">
        <f>_xlfn.XLOOKUP(E356,customers!$A$1:$A$1001,customers!$G$1:$G$1001)</f>
        <v>United States</v>
      </c>
      <c r="K356" t="str">
        <f>INDEX(products!$A$1:$G$49,MATCH($F356,products!$A$1:$A$49,0),MATCH(K$1,products!$A$1:$G$1,0))</f>
        <v>Exc</v>
      </c>
      <c r="L356" t="str">
        <f>INDEX(products!$A$1:$G$49,MATCH($F356,products!$A$1:$A$49,0),MATCH(L$1,products!$A$1:$G$1,0))</f>
        <v>L</v>
      </c>
      <c r="M356" s="5">
        <f>INDEX(products!$A$1:$G$49,MATCH($F356,products!$A$1:$A$49,0),MATCH(M$1,products!$A$1:$G$1,0))</f>
        <v>1</v>
      </c>
      <c r="N356" s="7">
        <f>INDEX(products!$A$1:$G$49,MATCH($F356,products!$A$1:$A$49,0),MATCH(N$1,products!$A$1:$G$1,0))</f>
        <v>14.85</v>
      </c>
      <c r="O356" s="7">
        <f t="shared" si="5"/>
        <v>74.25</v>
      </c>
      <c r="P356" t="str" cm="1">
        <f t="array" ref="P356">_xlfn.IFS(K356="Rob","Robusta",K356="Exc","Excelsa",K356="Ara","Arabica",K356="Lib","Liberica")</f>
        <v>Excelsa</v>
      </c>
      <c r="Q356" t="str" cm="1">
        <f t="array" ref="Q356">_xlfn.IFS(L356="M","Medium",L356="L","Light",L356="D","Dark")</f>
        <v>Light</v>
      </c>
      <c r="R356" t="str">
        <f>_xlfn.XLOOKUP(Orders[[#This Row],[Customer ID]],customers!$A$1:$A$1001,customers!$I$1:$I$1001)</f>
        <v>Yes</v>
      </c>
    </row>
    <row r="357" spans="1:18" x14ac:dyDescent="0.35">
      <c r="A357" s="2" t="s">
        <v>1441</v>
      </c>
      <c r="B357" s="4">
        <v>44643</v>
      </c>
      <c r="C357" s="23">
        <f>Orders[[#This Row],[Order Date]]</f>
        <v>44643</v>
      </c>
      <c r="D357" s="2">
        <f>YEAR(Orders[[#This Row],[Order Date]])</f>
        <v>2022</v>
      </c>
      <c r="E357" s="2" t="s">
        <v>1442</v>
      </c>
      <c r="F357" t="s">
        <v>6177</v>
      </c>
      <c r="G357" s="20">
        <v>2</v>
      </c>
      <c r="H357" s="2" t="str">
        <f>INDEX(customers!$A$1:$I$1001,MATCH($E357,customers!$A$1:$A$1001,),MATCH($H$1,customers!$A$1:$I$1,0))</f>
        <v>Felita Dauney</v>
      </c>
      <c r="I357" s="2" t="str">
        <f>IF(INDEX(customers!$A$1:$I$1001,MATCH($E357,customers!$A$1:$A$1001,0),3)=0,"",INDEX(customers!$A$1:$I$1001,MATCH($E357,customers!$A$1:$A$1001,0),3))</f>
        <v>fdauney4p@sphinn.com</v>
      </c>
      <c r="J357" s="2" t="str">
        <f>_xlfn.XLOOKUP(E357,customers!$A$1:$A$1001,customers!$G$1:$G$1001)</f>
        <v>Ireland</v>
      </c>
      <c r="K357" t="str">
        <f>INDEX(products!$A$1:$G$49,MATCH($F357,products!$A$1:$A$49,0),MATCH(K$1,products!$A$1:$G$1,0))</f>
        <v>Rob</v>
      </c>
      <c r="L357" t="str">
        <f>INDEX(products!$A$1:$G$49,MATCH($F357,products!$A$1:$A$49,0),MATCH(L$1,products!$A$1:$G$1,0))</f>
        <v>D</v>
      </c>
      <c r="M357" s="5">
        <f>INDEX(products!$A$1:$G$49,MATCH($F357,products!$A$1:$A$49,0),MATCH(M$1,products!$A$1:$G$1,0))</f>
        <v>1</v>
      </c>
      <c r="N357" s="7">
        <f>INDEX(products!$A$1:$G$49,MATCH($F357,products!$A$1:$A$49,0),MATCH(N$1,products!$A$1:$G$1,0))</f>
        <v>8.9499999999999993</v>
      </c>
      <c r="O357" s="7">
        <f t="shared" si="5"/>
        <v>17.899999999999999</v>
      </c>
      <c r="P357" t="str" cm="1">
        <f t="array" ref="P357">_xlfn.IFS(K357="Rob","Robusta",K357="Exc","Excelsa",K357="Ara","Arabica",K357="Lib","Liberica")</f>
        <v>Robusta</v>
      </c>
      <c r="Q357" t="str" cm="1">
        <f t="array" ref="Q357">_xlfn.IFS(L357="M","Medium",L357="L","Light",L357="D","Dark")</f>
        <v>Dark</v>
      </c>
      <c r="R357" t="str">
        <f>_xlfn.XLOOKUP(Orders[[#This Row],[Customer ID]],customers!$A$1:$A$1001,customers!$I$1:$I$1001)</f>
        <v>No</v>
      </c>
    </row>
    <row r="358" spans="1:18" x14ac:dyDescent="0.35">
      <c r="A358" s="2" t="s">
        <v>4717</v>
      </c>
      <c r="B358" s="4">
        <v>44074</v>
      </c>
      <c r="C358" s="23">
        <f>Orders[[#This Row],[Order Date]]</f>
        <v>44074</v>
      </c>
      <c r="D358" s="2">
        <f>YEAR(Orders[[#This Row],[Order Date]])</f>
        <v>2020</v>
      </c>
      <c r="E358" s="2" t="s">
        <v>4718</v>
      </c>
      <c r="F358" t="s">
        <v>6144</v>
      </c>
      <c r="G358" s="20">
        <v>2</v>
      </c>
      <c r="H358" s="2" t="str">
        <f>INDEX(customers!$A$1:$I$1001,MATCH($E358,customers!$A$1:$A$1001,),MATCH($H$1,customers!$A$1:$I$1,0))</f>
        <v>Felita Eshmade</v>
      </c>
      <c r="I358" s="2" t="str">
        <f>IF(INDEX(customers!$A$1:$I$1001,MATCH($E358,customers!$A$1:$A$1001,0),3)=0,"",INDEX(customers!$A$1:$I$1001,MATCH($E358,customers!$A$1:$A$1001,0),3))</f>
        <v>feshmadeks@umn.edu</v>
      </c>
      <c r="J358" s="2" t="str">
        <f>_xlfn.XLOOKUP(E358,customers!$A$1:$A$1001,customers!$G$1:$G$1001)</f>
        <v>United States</v>
      </c>
      <c r="K358" t="str">
        <f>INDEX(products!$A$1:$G$49,MATCH($F358,products!$A$1:$A$49,0),MATCH(K$1,products!$A$1:$G$1,0))</f>
        <v>Exc</v>
      </c>
      <c r="L358" t="str">
        <f>INDEX(products!$A$1:$G$49,MATCH($F358,products!$A$1:$A$49,0),MATCH(L$1,products!$A$1:$G$1,0))</f>
        <v>D</v>
      </c>
      <c r="M358" s="5">
        <f>INDEX(products!$A$1:$G$49,MATCH($F358,products!$A$1:$A$49,0),MATCH(M$1,products!$A$1:$G$1,0))</f>
        <v>0.5</v>
      </c>
      <c r="N358" s="7">
        <f>INDEX(products!$A$1:$G$49,MATCH($F358,products!$A$1:$A$49,0),MATCH(N$1,products!$A$1:$G$1,0))</f>
        <v>7.29</v>
      </c>
      <c r="O358" s="7">
        <f t="shared" si="5"/>
        <v>14.58</v>
      </c>
      <c r="P358" t="str" cm="1">
        <f t="array" ref="P358">_xlfn.IFS(K358="Rob","Robusta",K358="Exc","Excelsa",K358="Ara","Arabica",K358="Lib","Liberica")</f>
        <v>Excelsa</v>
      </c>
      <c r="Q358" t="str" cm="1">
        <f t="array" ref="Q358">_xlfn.IFS(L358="M","Medium",L358="L","Light",L358="D","Dark")</f>
        <v>Dark</v>
      </c>
      <c r="R358" t="str">
        <f>_xlfn.XLOOKUP(Orders[[#This Row],[Customer ID]],customers!$A$1:$A$1001,customers!$I$1:$I$1001)</f>
        <v>No</v>
      </c>
    </row>
    <row r="359" spans="1:18" x14ac:dyDescent="0.35">
      <c r="A359" s="2" t="s">
        <v>4268</v>
      </c>
      <c r="B359" s="4">
        <v>44551</v>
      </c>
      <c r="C359" s="23">
        <f>Orders[[#This Row],[Order Date]]</f>
        <v>44551</v>
      </c>
      <c r="D359" s="2">
        <f>YEAR(Orders[[#This Row],[Order Date]])</f>
        <v>2021</v>
      </c>
      <c r="E359" s="2" t="s">
        <v>4269</v>
      </c>
      <c r="F359" t="s">
        <v>6181</v>
      </c>
      <c r="G359" s="20">
        <v>2</v>
      </c>
      <c r="H359" s="2" t="str">
        <f>INDEX(customers!$A$1:$I$1001,MATCH($E359,customers!$A$1:$A$1001,),MATCH($H$1,customers!$A$1:$I$1,0))</f>
        <v>Ferdie Tourry</v>
      </c>
      <c r="I359" s="2" t="str">
        <f>IF(INDEX(customers!$A$1:$I$1001,MATCH($E359,customers!$A$1:$A$1001,0),3)=0,"",INDEX(customers!$A$1:$I$1001,MATCH($E359,customers!$A$1:$A$1001,0),3))</f>
        <v>ftourryil@google.de</v>
      </c>
      <c r="J359" s="2" t="str">
        <f>_xlfn.XLOOKUP(E359,customers!$A$1:$A$1001,customers!$G$1:$G$1001)</f>
        <v>United States</v>
      </c>
      <c r="K359" t="str">
        <f>INDEX(products!$A$1:$G$49,MATCH($F359,products!$A$1:$A$49,0),MATCH(K$1,products!$A$1:$G$1,0))</f>
        <v>Lib</v>
      </c>
      <c r="L359" t="str">
        <f>INDEX(products!$A$1:$G$49,MATCH($F359,products!$A$1:$A$49,0),MATCH(L$1,products!$A$1:$G$1,0))</f>
        <v>M</v>
      </c>
      <c r="M359" s="5">
        <f>INDEX(products!$A$1:$G$49,MATCH($F359,products!$A$1:$A$49,0),MATCH(M$1,products!$A$1:$G$1,0))</f>
        <v>2.5</v>
      </c>
      <c r="N359" s="7">
        <f>INDEX(products!$A$1:$G$49,MATCH($F359,products!$A$1:$A$49,0),MATCH(N$1,products!$A$1:$G$1,0))</f>
        <v>33.464999999999996</v>
      </c>
      <c r="O359" s="7">
        <f t="shared" si="5"/>
        <v>66.929999999999993</v>
      </c>
      <c r="P359" t="str" cm="1">
        <f t="array" ref="P359">_xlfn.IFS(K359="Rob","Robusta",K359="Exc","Excelsa",K359="Ara","Arabica",K359="Lib","Liberica")</f>
        <v>Liberica</v>
      </c>
      <c r="Q359" t="str" cm="1">
        <f t="array" ref="Q359">_xlfn.IFS(L359="M","Medium",L359="L","Light",L359="D","Dark")</f>
        <v>Medium</v>
      </c>
      <c r="R359" t="str">
        <f>_xlfn.XLOOKUP(Orders[[#This Row],[Customer ID]],customers!$A$1:$A$1001,customers!$I$1:$I$1001)</f>
        <v>No</v>
      </c>
    </row>
    <row r="360" spans="1:18" x14ac:dyDescent="0.35">
      <c r="A360" s="2" t="s">
        <v>4764</v>
      </c>
      <c r="B360" s="4">
        <v>44715</v>
      </c>
      <c r="C360" s="23">
        <f>Orders[[#This Row],[Order Date]]</f>
        <v>44715</v>
      </c>
      <c r="D360" s="2">
        <f>YEAR(Orders[[#This Row],[Order Date]])</f>
        <v>2022</v>
      </c>
      <c r="E360" s="2" t="s">
        <v>4765</v>
      </c>
      <c r="F360" t="s">
        <v>6177</v>
      </c>
      <c r="G360" s="20">
        <v>4</v>
      </c>
      <c r="H360" s="2" t="str">
        <f>INDEX(customers!$A$1:$I$1001,MATCH($E360,customers!$A$1:$A$1001,),MATCH($H$1,customers!$A$1:$I$1,0))</f>
        <v>Fernando Sulman</v>
      </c>
      <c r="I360" s="2" t="str">
        <f>IF(INDEX(customers!$A$1:$I$1001,MATCH($E360,customers!$A$1:$A$1001,0),3)=0,"",INDEX(customers!$A$1:$I$1001,MATCH($E360,customers!$A$1:$A$1001,0),3))</f>
        <v>fsulmanl0@washington.edu</v>
      </c>
      <c r="J360" s="2" t="str">
        <f>_xlfn.XLOOKUP(E360,customers!$A$1:$A$1001,customers!$G$1:$G$1001)</f>
        <v>United States</v>
      </c>
      <c r="K360" t="str">
        <f>INDEX(products!$A$1:$G$49,MATCH($F360,products!$A$1:$A$49,0),MATCH(K$1,products!$A$1:$G$1,0))</f>
        <v>Rob</v>
      </c>
      <c r="L360" t="str">
        <f>INDEX(products!$A$1:$G$49,MATCH($F360,products!$A$1:$A$49,0),MATCH(L$1,products!$A$1:$G$1,0))</f>
        <v>D</v>
      </c>
      <c r="M360" s="5">
        <f>INDEX(products!$A$1:$G$49,MATCH($F360,products!$A$1:$A$49,0),MATCH(M$1,products!$A$1:$G$1,0))</f>
        <v>1</v>
      </c>
      <c r="N360" s="7">
        <f>INDEX(products!$A$1:$G$49,MATCH($F360,products!$A$1:$A$49,0),MATCH(N$1,products!$A$1:$G$1,0))</f>
        <v>8.9499999999999993</v>
      </c>
      <c r="O360" s="7">
        <f t="shared" si="5"/>
        <v>35.799999999999997</v>
      </c>
      <c r="P360" t="str" cm="1">
        <f t="array" ref="P360">_xlfn.IFS(K360="Rob","Robusta",K360="Exc","Excelsa",K360="Ara","Arabica",K360="Lib","Liberica")</f>
        <v>Robusta</v>
      </c>
      <c r="Q360" t="str" cm="1">
        <f t="array" ref="Q360">_xlfn.IFS(L360="M","Medium",L360="L","Light",L360="D","Dark")</f>
        <v>Dark</v>
      </c>
      <c r="R360" t="str">
        <f>_xlfn.XLOOKUP(Orders[[#This Row],[Customer ID]],customers!$A$1:$A$1001,customers!$I$1:$I$1001)</f>
        <v>Yes</v>
      </c>
    </row>
    <row r="361" spans="1:18" x14ac:dyDescent="0.35">
      <c r="A361" s="2" t="s">
        <v>547</v>
      </c>
      <c r="B361" s="4">
        <v>44263</v>
      </c>
      <c r="C361" s="23">
        <f>Orders[[#This Row],[Order Date]]</f>
        <v>44263</v>
      </c>
      <c r="D361" s="2">
        <f>YEAR(Orders[[#This Row],[Order Date]])</f>
        <v>2021</v>
      </c>
      <c r="E361" s="2" t="s">
        <v>548</v>
      </c>
      <c r="F361" t="s">
        <v>6147</v>
      </c>
      <c r="G361" s="20">
        <v>4</v>
      </c>
      <c r="H361" s="2" t="str">
        <f>INDEX(customers!$A$1:$I$1001,MATCH($E361,customers!$A$1:$A$1001,),MATCH($H$1,customers!$A$1:$I$1,0))</f>
        <v>Ferrell Ferber</v>
      </c>
      <c r="I361" s="2" t="str">
        <f>IF(INDEX(customers!$A$1:$I$1001,MATCH($E361,customers!$A$1:$A$1001,0),3)=0,"",INDEX(customers!$A$1:$I$1001,MATCH($E361,customers!$A$1:$A$1001,0),3))</f>
        <v>fferbera@businesswire.com</v>
      </c>
      <c r="J361" s="2" t="str">
        <f>_xlfn.XLOOKUP(E361,customers!$A$1:$A$1001,customers!$G$1:$G$1001)</f>
        <v>United States</v>
      </c>
      <c r="K361" t="str">
        <f>INDEX(products!$A$1:$G$49,MATCH($F361,products!$A$1:$A$49,0),MATCH(K$1,products!$A$1:$G$1,0))</f>
        <v>Ara</v>
      </c>
      <c r="L361" t="str">
        <f>INDEX(products!$A$1:$G$49,MATCH($F361,products!$A$1:$A$49,0),MATCH(L$1,products!$A$1:$G$1,0))</f>
        <v>D</v>
      </c>
      <c r="M361" s="5">
        <f>INDEX(products!$A$1:$G$49,MATCH($F361,products!$A$1:$A$49,0),MATCH(M$1,products!$A$1:$G$1,0))</f>
        <v>1</v>
      </c>
      <c r="N361" s="7">
        <f>INDEX(products!$A$1:$G$49,MATCH($F361,products!$A$1:$A$49,0),MATCH(N$1,products!$A$1:$G$1,0))</f>
        <v>9.9499999999999993</v>
      </c>
      <c r="O361" s="7">
        <f t="shared" si="5"/>
        <v>39.799999999999997</v>
      </c>
      <c r="P361" t="str" cm="1">
        <f t="array" ref="P361">_xlfn.IFS(K361="Rob","Robusta",K361="Exc","Excelsa",K361="Ara","Arabica",K361="Lib","Liberica")</f>
        <v>Arabica</v>
      </c>
      <c r="Q361" t="str" cm="1">
        <f t="array" ref="Q361">_xlfn.IFS(L361="M","Medium",L361="L","Light",L361="D","Dark")</f>
        <v>Dark</v>
      </c>
      <c r="R361" t="str">
        <f>_xlfn.XLOOKUP(Orders[[#This Row],[Customer ID]],customers!$A$1:$A$1001,customers!$I$1:$I$1001)</f>
        <v>No</v>
      </c>
    </row>
    <row r="362" spans="1:18" x14ac:dyDescent="0.35">
      <c r="A362" s="2" t="s">
        <v>1367</v>
      </c>
      <c r="B362" s="4">
        <v>43764</v>
      </c>
      <c r="C362" s="23">
        <f>Orders[[#This Row],[Order Date]]</f>
        <v>43764</v>
      </c>
      <c r="D362" s="2">
        <f>YEAR(Orders[[#This Row],[Order Date]])</f>
        <v>2019</v>
      </c>
      <c r="E362" s="2" t="s">
        <v>1368</v>
      </c>
      <c r="F362" t="s">
        <v>6175</v>
      </c>
      <c r="G362" s="20">
        <v>3</v>
      </c>
      <c r="H362" s="2" t="str">
        <f>INDEX(customers!$A$1:$I$1001,MATCH($E362,customers!$A$1:$A$1001,),MATCH($H$1,customers!$A$1:$I$1,0))</f>
        <v>Fielding Keinrat</v>
      </c>
      <c r="I362" s="2" t="str">
        <f>IF(INDEX(customers!$A$1:$I$1001,MATCH($E362,customers!$A$1:$A$1001,0),3)=0,"",INDEX(customers!$A$1:$I$1001,MATCH($E362,customers!$A$1:$A$1001,0),3))</f>
        <v>fkeinrat4c@dailymail.co.uk</v>
      </c>
      <c r="J362" s="2" t="str">
        <f>_xlfn.XLOOKUP(E362,customers!$A$1:$A$1001,customers!$G$1:$G$1001)</f>
        <v>United States</v>
      </c>
      <c r="K362" t="str">
        <f>INDEX(products!$A$1:$G$49,MATCH($F362,products!$A$1:$A$49,0),MATCH(K$1,products!$A$1:$G$1,0))</f>
        <v>Ara</v>
      </c>
      <c r="L362" t="str">
        <f>INDEX(products!$A$1:$G$49,MATCH($F362,products!$A$1:$A$49,0),MATCH(L$1,products!$A$1:$G$1,0))</f>
        <v>M</v>
      </c>
      <c r="M362" s="5">
        <f>INDEX(products!$A$1:$G$49,MATCH($F362,products!$A$1:$A$49,0),MATCH(M$1,products!$A$1:$G$1,0))</f>
        <v>2.5</v>
      </c>
      <c r="N362" s="7">
        <f>INDEX(products!$A$1:$G$49,MATCH($F362,products!$A$1:$A$49,0),MATCH(N$1,products!$A$1:$G$1,0))</f>
        <v>25.874999999999996</v>
      </c>
      <c r="O362" s="7">
        <f t="shared" si="5"/>
        <v>77.624999999999986</v>
      </c>
      <c r="P362" t="str" cm="1">
        <f t="array" ref="P362">_xlfn.IFS(K362="Rob","Robusta",K362="Exc","Excelsa",K362="Ara","Arabica",K362="Lib","Liberica")</f>
        <v>Arabica</v>
      </c>
      <c r="Q362" t="str" cm="1">
        <f t="array" ref="Q362">_xlfn.IFS(L362="M","Medium",L362="L","Light",L362="D","Dark")</f>
        <v>Medium</v>
      </c>
      <c r="R362" t="str">
        <f>_xlfn.XLOOKUP(Orders[[#This Row],[Customer ID]],customers!$A$1:$A$1001,customers!$I$1:$I$1001)</f>
        <v>Yes</v>
      </c>
    </row>
    <row r="363" spans="1:18" x14ac:dyDescent="0.35">
      <c r="A363" s="2" t="s">
        <v>5407</v>
      </c>
      <c r="B363" s="4">
        <v>44460</v>
      </c>
      <c r="C363" s="23">
        <f>Orders[[#This Row],[Order Date]]</f>
        <v>44460</v>
      </c>
      <c r="D363" s="2">
        <f>YEAR(Orders[[#This Row],[Order Date]])</f>
        <v>2021</v>
      </c>
      <c r="E363" s="2" t="s">
        <v>5408</v>
      </c>
      <c r="F363" t="s">
        <v>6144</v>
      </c>
      <c r="G363" s="20">
        <v>1</v>
      </c>
      <c r="H363" s="2" t="str">
        <f>INDEX(customers!$A$1:$I$1001,MATCH($E363,customers!$A$1:$A$1001,),MATCH($H$1,customers!$A$1:$I$1,0))</f>
        <v>Filip Antcliffe</v>
      </c>
      <c r="I363" s="2" t="str">
        <f>IF(INDEX(customers!$A$1:$I$1001,MATCH($E363,customers!$A$1:$A$1001,0),3)=0,"",INDEX(customers!$A$1:$I$1001,MATCH($E363,customers!$A$1:$A$1001,0),3))</f>
        <v>fantcliffeo6@amazon.co.jp</v>
      </c>
      <c r="J363" s="2" t="str">
        <f>_xlfn.XLOOKUP(E363,customers!$A$1:$A$1001,customers!$G$1:$G$1001)</f>
        <v>Ireland</v>
      </c>
      <c r="K363" t="str">
        <f>INDEX(products!$A$1:$G$49,MATCH($F363,products!$A$1:$A$49,0),MATCH(K$1,products!$A$1:$G$1,0))</f>
        <v>Exc</v>
      </c>
      <c r="L363" t="str">
        <f>INDEX(products!$A$1:$G$49,MATCH($F363,products!$A$1:$A$49,0),MATCH(L$1,products!$A$1:$G$1,0))</f>
        <v>D</v>
      </c>
      <c r="M363" s="5">
        <f>INDEX(products!$A$1:$G$49,MATCH($F363,products!$A$1:$A$49,0),MATCH(M$1,products!$A$1:$G$1,0))</f>
        <v>0.5</v>
      </c>
      <c r="N363" s="7">
        <f>INDEX(products!$A$1:$G$49,MATCH($F363,products!$A$1:$A$49,0),MATCH(N$1,products!$A$1:$G$1,0))</f>
        <v>7.29</v>
      </c>
      <c r="O363" s="7">
        <f t="shared" si="5"/>
        <v>7.29</v>
      </c>
      <c r="P363" t="str" cm="1">
        <f t="array" ref="P363">_xlfn.IFS(K363="Rob","Robusta",K363="Exc","Excelsa",K363="Ara","Arabica",K363="Lib","Liberica")</f>
        <v>Excelsa</v>
      </c>
      <c r="Q363" t="str" cm="1">
        <f t="array" ref="Q363">_xlfn.IFS(L363="M","Medium",L363="L","Light",L363="D","Dark")</f>
        <v>Dark</v>
      </c>
      <c r="R363" t="str">
        <f>_xlfn.XLOOKUP(Orders[[#This Row],[Customer ID]],customers!$A$1:$A$1001,customers!$I$1:$I$1001)</f>
        <v>Yes</v>
      </c>
    </row>
    <row r="364" spans="1:18" x14ac:dyDescent="0.35">
      <c r="A364" s="2" t="s">
        <v>2727</v>
      </c>
      <c r="B364" s="4">
        <v>43720</v>
      </c>
      <c r="C364" s="23">
        <f>Orders[[#This Row],[Order Date]]</f>
        <v>43720</v>
      </c>
      <c r="D364" s="2">
        <f>YEAR(Orders[[#This Row],[Order Date]])</f>
        <v>2019</v>
      </c>
      <c r="E364" s="2" t="s">
        <v>2728</v>
      </c>
      <c r="F364" t="s">
        <v>6169</v>
      </c>
      <c r="G364" s="20">
        <v>4</v>
      </c>
      <c r="H364" s="2" t="str">
        <f>INDEX(customers!$A$1:$I$1001,MATCH($E364,customers!$A$1:$A$1001,),MATCH($H$1,customers!$A$1:$I$1,0))</f>
        <v>Fleur Parres</v>
      </c>
      <c r="I364" s="2" t="str">
        <f>IF(INDEX(customers!$A$1:$I$1001,MATCH($E364,customers!$A$1:$A$1001,0),3)=0,"",INDEX(customers!$A$1:$I$1001,MATCH($E364,customers!$A$1:$A$1001,0),3))</f>
        <v>fparresb1@imageshack.us</v>
      </c>
      <c r="J364" s="2" t="str">
        <f>_xlfn.XLOOKUP(E364,customers!$A$1:$A$1001,customers!$G$1:$G$1001)</f>
        <v>United States</v>
      </c>
      <c r="K364" t="str">
        <f>INDEX(products!$A$1:$G$49,MATCH($F364,products!$A$1:$A$49,0),MATCH(K$1,products!$A$1:$G$1,0))</f>
        <v>Lib</v>
      </c>
      <c r="L364" t="str">
        <f>INDEX(products!$A$1:$G$49,MATCH($F364,products!$A$1:$A$49,0),MATCH(L$1,products!$A$1:$G$1,0))</f>
        <v>D</v>
      </c>
      <c r="M364" s="5">
        <f>INDEX(products!$A$1:$G$49,MATCH($F364,products!$A$1:$A$49,0),MATCH(M$1,products!$A$1:$G$1,0))</f>
        <v>0.5</v>
      </c>
      <c r="N364" s="7">
        <f>INDEX(products!$A$1:$G$49,MATCH($F364,products!$A$1:$A$49,0),MATCH(N$1,products!$A$1:$G$1,0))</f>
        <v>7.77</v>
      </c>
      <c r="O364" s="7">
        <f t="shared" si="5"/>
        <v>31.08</v>
      </c>
      <c r="P364" t="str" cm="1">
        <f t="array" ref="P364">_xlfn.IFS(K364="Rob","Robusta",K364="Exc","Excelsa",K364="Ara","Arabica",K364="Lib","Liberica")</f>
        <v>Liberica</v>
      </c>
      <c r="Q364" t="str" cm="1">
        <f t="array" ref="Q364">_xlfn.IFS(L364="M","Medium",L364="L","Light",L364="D","Dark")</f>
        <v>Dark</v>
      </c>
      <c r="R364" t="str">
        <f>_xlfn.XLOOKUP(Orders[[#This Row],[Customer ID]],customers!$A$1:$A$1001,customers!$I$1:$I$1001)</f>
        <v>Yes</v>
      </c>
    </row>
    <row r="365" spans="1:18" x14ac:dyDescent="0.35">
      <c r="A365" s="2" t="s">
        <v>5921</v>
      </c>
      <c r="B365" s="4">
        <v>44158</v>
      </c>
      <c r="C365" s="23">
        <f>Orders[[#This Row],[Order Date]]</f>
        <v>44158</v>
      </c>
      <c r="D365" s="2">
        <f>YEAR(Orders[[#This Row],[Order Date]])</f>
        <v>2020</v>
      </c>
      <c r="E365" s="2" t="s">
        <v>5922</v>
      </c>
      <c r="F365" t="s">
        <v>6168</v>
      </c>
      <c r="G365" s="20">
        <v>2</v>
      </c>
      <c r="H365" s="2" t="str">
        <f>INDEX(customers!$A$1:$I$1001,MATCH($E365,customers!$A$1:$A$1001,),MATCH($H$1,customers!$A$1:$I$1,0))</f>
        <v>Florinda Matusovsky</v>
      </c>
      <c r="I365" s="2" t="str">
        <f>IF(INDEX(customers!$A$1:$I$1001,MATCH($E365,customers!$A$1:$A$1001,0),3)=0,"",INDEX(customers!$A$1:$I$1001,MATCH($E365,customers!$A$1:$A$1001,0),3))</f>
        <v/>
      </c>
      <c r="J365" s="2" t="str">
        <f>_xlfn.XLOOKUP(E365,customers!$A$1:$A$1001,customers!$G$1:$G$1001)</f>
        <v>United States</v>
      </c>
      <c r="K365" t="str">
        <f>INDEX(products!$A$1:$G$49,MATCH($F365,products!$A$1:$A$49,0),MATCH(K$1,products!$A$1:$G$1,0))</f>
        <v>Ara</v>
      </c>
      <c r="L365" t="str">
        <f>INDEX(products!$A$1:$G$49,MATCH($F365,products!$A$1:$A$49,0),MATCH(L$1,products!$A$1:$G$1,0))</f>
        <v>D</v>
      </c>
      <c r="M365" s="5">
        <f>INDEX(products!$A$1:$G$49,MATCH($F365,products!$A$1:$A$49,0),MATCH(M$1,products!$A$1:$G$1,0))</f>
        <v>2.5</v>
      </c>
      <c r="N365" s="7">
        <f>INDEX(products!$A$1:$G$49,MATCH($F365,products!$A$1:$A$49,0),MATCH(N$1,products!$A$1:$G$1,0))</f>
        <v>22.884999999999998</v>
      </c>
      <c r="O365" s="7">
        <f t="shared" si="5"/>
        <v>45.769999999999996</v>
      </c>
      <c r="P365" t="str" cm="1">
        <f t="array" ref="P365">_xlfn.IFS(K365="Rob","Robusta",K365="Exc","Excelsa",K365="Ara","Arabica",K365="Lib","Liberica")</f>
        <v>Arabica</v>
      </c>
      <c r="Q365" t="str" cm="1">
        <f t="array" ref="Q365">_xlfn.IFS(L365="M","Medium",L365="L","Light",L365="D","Dark")</f>
        <v>Dark</v>
      </c>
      <c r="R365" t="str">
        <f>_xlfn.XLOOKUP(Orders[[#This Row],[Customer ID]],customers!$A$1:$A$1001,customers!$I$1:$I$1001)</f>
        <v>Yes</v>
      </c>
    </row>
    <row r="366" spans="1:18" x14ac:dyDescent="0.35">
      <c r="A366" s="2" t="s">
        <v>2085</v>
      </c>
      <c r="B366" s="4">
        <v>43520</v>
      </c>
      <c r="C366" s="23">
        <f>Orders[[#This Row],[Order Date]]</f>
        <v>43520</v>
      </c>
      <c r="D366" s="2">
        <f>YEAR(Orders[[#This Row],[Order Date]])</f>
        <v>2019</v>
      </c>
      <c r="E366" s="2" t="s">
        <v>2086</v>
      </c>
      <c r="F366" t="s">
        <v>6180</v>
      </c>
      <c r="G366" s="20">
        <v>1</v>
      </c>
      <c r="H366" s="2" t="str">
        <f>INDEX(customers!$A$1:$I$1001,MATCH($E366,customers!$A$1:$A$1001,),MATCH($H$1,customers!$A$1:$I$1,0))</f>
        <v>Flory Crumpe</v>
      </c>
      <c r="I366" s="2" t="str">
        <f>IF(INDEX(customers!$A$1:$I$1001,MATCH($E366,customers!$A$1:$A$1001,0),3)=0,"",INDEX(customers!$A$1:$I$1001,MATCH($E366,customers!$A$1:$A$1001,0),3))</f>
        <v>fcrumpe7u@ftc.gov</v>
      </c>
      <c r="J366" s="2" t="str">
        <f>_xlfn.XLOOKUP(E366,customers!$A$1:$A$1001,customers!$G$1:$G$1001)</f>
        <v>United Kingdom</v>
      </c>
      <c r="K366" t="str">
        <f>INDEX(products!$A$1:$G$49,MATCH($F366,products!$A$1:$A$49,0),MATCH(K$1,products!$A$1:$G$1,0))</f>
        <v>Ara</v>
      </c>
      <c r="L366" t="str">
        <f>INDEX(products!$A$1:$G$49,MATCH($F366,products!$A$1:$A$49,0),MATCH(L$1,products!$A$1:$G$1,0))</f>
        <v>L</v>
      </c>
      <c r="M366" s="5">
        <f>INDEX(products!$A$1:$G$49,MATCH($F366,products!$A$1:$A$49,0),MATCH(M$1,products!$A$1:$G$1,0))</f>
        <v>0.5</v>
      </c>
      <c r="N366" s="7">
        <f>INDEX(products!$A$1:$G$49,MATCH($F366,products!$A$1:$A$49,0),MATCH(N$1,products!$A$1:$G$1,0))</f>
        <v>7.77</v>
      </c>
      <c r="O366" s="7">
        <f t="shared" si="5"/>
        <v>7.77</v>
      </c>
      <c r="P366" t="str" cm="1">
        <f t="array" ref="P366">_xlfn.IFS(K366="Rob","Robusta",K366="Exc","Excelsa",K366="Ara","Arabica",K366="Lib","Liberica")</f>
        <v>Arabica</v>
      </c>
      <c r="Q366" t="str" cm="1">
        <f t="array" ref="Q366">_xlfn.IFS(L366="M","Medium",L366="L","Light",L366="D","Dark")</f>
        <v>Light</v>
      </c>
      <c r="R366" t="str">
        <f>_xlfn.XLOOKUP(Orders[[#This Row],[Customer ID]],customers!$A$1:$A$1001,customers!$I$1:$I$1001)</f>
        <v>No</v>
      </c>
    </row>
    <row r="367" spans="1:18" x14ac:dyDescent="0.35">
      <c r="A367" s="2" t="s">
        <v>2391</v>
      </c>
      <c r="B367" s="4">
        <v>44472</v>
      </c>
      <c r="C367" s="23">
        <f>Orders[[#This Row],[Order Date]]</f>
        <v>44472</v>
      </c>
      <c r="D367" s="2">
        <f>YEAR(Orders[[#This Row],[Order Date]])</f>
        <v>2021</v>
      </c>
      <c r="E367" s="2" t="s">
        <v>2331</v>
      </c>
      <c r="F367" t="s">
        <v>6185</v>
      </c>
      <c r="G367" s="20">
        <v>2</v>
      </c>
      <c r="H367" s="2" t="str">
        <f>INDEX(customers!$A$1:$I$1001,MATCH($E367,customers!$A$1:$A$1001,),MATCH($H$1,customers!$A$1:$I$1,0))</f>
        <v>Flynn Antony</v>
      </c>
      <c r="I367" s="2" t="str">
        <f>IF(INDEX(customers!$A$1:$I$1001,MATCH($E367,customers!$A$1:$A$1001,0),3)=0,"",INDEX(customers!$A$1:$I$1001,MATCH($E367,customers!$A$1:$A$1001,0),3))</f>
        <v/>
      </c>
      <c r="J367" s="2" t="str">
        <f>_xlfn.XLOOKUP(E367,customers!$A$1:$A$1001,customers!$G$1:$G$1001)</f>
        <v>United States</v>
      </c>
      <c r="K367" t="str">
        <f>INDEX(products!$A$1:$G$49,MATCH($F367,products!$A$1:$A$49,0),MATCH(K$1,products!$A$1:$G$1,0))</f>
        <v>Exc</v>
      </c>
      <c r="L367" t="str">
        <f>INDEX(products!$A$1:$G$49,MATCH($F367,products!$A$1:$A$49,0),MATCH(L$1,products!$A$1:$G$1,0))</f>
        <v>D</v>
      </c>
      <c r="M367" s="5">
        <f>INDEX(products!$A$1:$G$49,MATCH($F367,products!$A$1:$A$49,0),MATCH(M$1,products!$A$1:$G$1,0))</f>
        <v>2.5</v>
      </c>
      <c r="N367" s="7">
        <f>INDEX(products!$A$1:$G$49,MATCH($F367,products!$A$1:$A$49,0),MATCH(N$1,products!$A$1:$G$1,0))</f>
        <v>27.945</v>
      </c>
      <c r="O367" s="7">
        <f t="shared" si="5"/>
        <v>55.89</v>
      </c>
      <c r="P367" t="str" cm="1">
        <f t="array" ref="P367">_xlfn.IFS(K367="Rob","Robusta",K367="Exc","Excelsa",K367="Ara","Arabica",K367="Lib","Liberica")</f>
        <v>Excelsa</v>
      </c>
      <c r="Q367" t="str" cm="1">
        <f t="array" ref="Q367">_xlfn.IFS(L367="M","Medium",L367="L","Light",L367="D","Dark")</f>
        <v>Dark</v>
      </c>
      <c r="R367" t="str">
        <f>_xlfn.XLOOKUP(Orders[[#This Row],[Customer ID]],customers!$A$1:$A$1001,customers!$I$1:$I$1001)</f>
        <v>No</v>
      </c>
    </row>
    <row r="368" spans="1:18" x14ac:dyDescent="0.35">
      <c r="A368" s="2" t="s">
        <v>2632</v>
      </c>
      <c r="B368" s="4">
        <v>44249</v>
      </c>
      <c r="C368" s="23">
        <f>Orders[[#This Row],[Order Date]]</f>
        <v>44249</v>
      </c>
      <c r="D368" s="2">
        <f>YEAR(Orders[[#This Row],[Order Date]])</f>
        <v>2021</v>
      </c>
      <c r="E368" s="2" t="s">
        <v>2331</v>
      </c>
      <c r="F368" t="s">
        <v>6169</v>
      </c>
      <c r="G368" s="20">
        <v>3</v>
      </c>
      <c r="H368" s="2" t="str">
        <f>INDEX(customers!$A$1:$I$1001,MATCH($E368,customers!$A$1:$A$1001,),MATCH($H$1,customers!$A$1:$I$1,0))</f>
        <v>Flynn Antony</v>
      </c>
      <c r="I368" s="2" t="str">
        <f>IF(INDEX(customers!$A$1:$I$1001,MATCH($E368,customers!$A$1:$A$1001,0),3)=0,"",INDEX(customers!$A$1:$I$1001,MATCH($E368,customers!$A$1:$A$1001,0),3))</f>
        <v/>
      </c>
      <c r="J368" s="2" t="str">
        <f>_xlfn.XLOOKUP(E368,customers!$A$1:$A$1001,customers!$G$1:$G$1001)</f>
        <v>United States</v>
      </c>
      <c r="K368" t="str">
        <f>INDEX(products!$A$1:$G$49,MATCH($F368,products!$A$1:$A$49,0),MATCH(K$1,products!$A$1:$G$1,0))</f>
        <v>Lib</v>
      </c>
      <c r="L368" t="str">
        <f>INDEX(products!$A$1:$G$49,MATCH($F368,products!$A$1:$A$49,0),MATCH(L$1,products!$A$1:$G$1,0))</f>
        <v>D</v>
      </c>
      <c r="M368" s="5">
        <f>INDEX(products!$A$1:$G$49,MATCH($F368,products!$A$1:$A$49,0),MATCH(M$1,products!$A$1:$G$1,0))</f>
        <v>0.5</v>
      </c>
      <c r="N368" s="7">
        <f>INDEX(products!$A$1:$G$49,MATCH($F368,products!$A$1:$A$49,0),MATCH(N$1,products!$A$1:$G$1,0))</f>
        <v>7.77</v>
      </c>
      <c r="O368" s="7">
        <f t="shared" si="5"/>
        <v>23.31</v>
      </c>
      <c r="P368" t="str" cm="1">
        <f t="array" ref="P368">_xlfn.IFS(K368="Rob","Robusta",K368="Exc","Excelsa",K368="Ara","Arabica",K368="Lib","Liberica")</f>
        <v>Liberica</v>
      </c>
      <c r="Q368" t="str" cm="1">
        <f t="array" ref="Q368">_xlfn.IFS(L368="M","Medium",L368="L","Light",L368="D","Dark")</f>
        <v>Dark</v>
      </c>
      <c r="R368" t="str">
        <f>_xlfn.XLOOKUP(Orders[[#This Row],[Customer ID]],customers!$A$1:$A$1001,customers!$I$1:$I$1001)</f>
        <v>No</v>
      </c>
    </row>
    <row r="369" spans="1:18" x14ac:dyDescent="0.35">
      <c r="A369" s="2" t="s">
        <v>2330</v>
      </c>
      <c r="B369" s="4">
        <v>44057</v>
      </c>
      <c r="C369" s="23">
        <f>Orders[[#This Row],[Order Date]]</f>
        <v>44057</v>
      </c>
      <c r="D369" s="2">
        <f>YEAR(Orders[[#This Row],[Order Date]])</f>
        <v>2020</v>
      </c>
      <c r="E369" s="2" t="s">
        <v>2331</v>
      </c>
      <c r="F369" t="s">
        <v>6177</v>
      </c>
      <c r="G369" s="20">
        <v>5</v>
      </c>
      <c r="H369" s="2" t="str">
        <f>INDEX(customers!$A$1:$I$1001,MATCH($E369,customers!$A$1:$A$1001,),MATCH($H$1,customers!$A$1:$I$1,0))</f>
        <v>Flynn Antony</v>
      </c>
      <c r="I369" s="2" t="str">
        <f>IF(INDEX(customers!$A$1:$I$1001,MATCH($E369,customers!$A$1:$A$1001,0),3)=0,"",INDEX(customers!$A$1:$I$1001,MATCH($E369,customers!$A$1:$A$1001,0),3))</f>
        <v/>
      </c>
      <c r="J369" s="2" t="str">
        <f>_xlfn.XLOOKUP(E369,customers!$A$1:$A$1001,customers!$G$1:$G$1001)</f>
        <v>United States</v>
      </c>
      <c r="K369" t="str">
        <f>INDEX(products!$A$1:$G$49,MATCH($F369,products!$A$1:$A$49,0),MATCH(K$1,products!$A$1:$G$1,0))</f>
        <v>Rob</v>
      </c>
      <c r="L369" t="str">
        <f>INDEX(products!$A$1:$G$49,MATCH($F369,products!$A$1:$A$49,0),MATCH(L$1,products!$A$1:$G$1,0))</f>
        <v>D</v>
      </c>
      <c r="M369" s="5">
        <f>INDEX(products!$A$1:$G$49,MATCH($F369,products!$A$1:$A$49,0),MATCH(M$1,products!$A$1:$G$1,0))</f>
        <v>1</v>
      </c>
      <c r="N369" s="7">
        <f>INDEX(products!$A$1:$G$49,MATCH($F369,products!$A$1:$A$49,0),MATCH(N$1,products!$A$1:$G$1,0))</f>
        <v>8.9499999999999993</v>
      </c>
      <c r="O369" s="7">
        <f t="shared" si="5"/>
        <v>44.75</v>
      </c>
      <c r="P369" t="str" cm="1">
        <f t="array" ref="P369">_xlfn.IFS(K369="Rob","Robusta",K369="Exc","Excelsa",K369="Ara","Arabica",K369="Lib","Liberica")</f>
        <v>Robusta</v>
      </c>
      <c r="Q369" t="str" cm="1">
        <f t="array" ref="Q369">_xlfn.IFS(L369="M","Medium",L369="L","Light",L369="D","Dark")</f>
        <v>Dark</v>
      </c>
      <c r="R369" t="str">
        <f>_xlfn.XLOOKUP(Orders[[#This Row],[Customer ID]],customers!$A$1:$A$1001,customers!$I$1:$I$1001)</f>
        <v>No</v>
      </c>
    </row>
    <row r="370" spans="1:18" x14ac:dyDescent="0.35">
      <c r="A370" s="2" t="s">
        <v>2476</v>
      </c>
      <c r="B370" s="4">
        <v>43984</v>
      </c>
      <c r="C370" s="23">
        <f>Orders[[#This Row],[Order Date]]</f>
        <v>43984</v>
      </c>
      <c r="D370" s="2">
        <f>YEAR(Orders[[#This Row],[Order Date]])</f>
        <v>2020</v>
      </c>
      <c r="E370" s="2" t="s">
        <v>2331</v>
      </c>
      <c r="F370" t="s">
        <v>6144</v>
      </c>
      <c r="G370" s="20">
        <v>5</v>
      </c>
      <c r="H370" s="2" t="str">
        <f>INDEX(customers!$A$1:$I$1001,MATCH($E370,customers!$A$1:$A$1001,),MATCH($H$1,customers!$A$1:$I$1,0))</f>
        <v>Flynn Antony</v>
      </c>
      <c r="I370" s="2" t="str">
        <f>IF(INDEX(customers!$A$1:$I$1001,MATCH($E370,customers!$A$1:$A$1001,0),3)=0,"",INDEX(customers!$A$1:$I$1001,MATCH($E370,customers!$A$1:$A$1001,0),3))</f>
        <v/>
      </c>
      <c r="J370" s="2" t="str">
        <f>_xlfn.XLOOKUP(E370,customers!$A$1:$A$1001,customers!$G$1:$G$1001)</f>
        <v>United States</v>
      </c>
      <c r="K370" t="str">
        <f>INDEX(products!$A$1:$G$49,MATCH($F370,products!$A$1:$A$49,0),MATCH(K$1,products!$A$1:$G$1,0))</f>
        <v>Exc</v>
      </c>
      <c r="L370" t="str">
        <f>INDEX(products!$A$1:$G$49,MATCH($F370,products!$A$1:$A$49,0),MATCH(L$1,products!$A$1:$G$1,0))</f>
        <v>D</v>
      </c>
      <c r="M370" s="5">
        <f>INDEX(products!$A$1:$G$49,MATCH($F370,products!$A$1:$A$49,0),MATCH(M$1,products!$A$1:$G$1,0))</f>
        <v>0.5</v>
      </c>
      <c r="N370" s="7">
        <f>INDEX(products!$A$1:$G$49,MATCH($F370,products!$A$1:$A$49,0),MATCH(N$1,products!$A$1:$G$1,0))</f>
        <v>7.29</v>
      </c>
      <c r="O370" s="7">
        <f t="shared" si="5"/>
        <v>36.450000000000003</v>
      </c>
      <c r="P370" t="str" cm="1">
        <f t="array" ref="P370">_xlfn.IFS(K370="Rob","Robusta",K370="Exc","Excelsa",K370="Ara","Arabica",K370="Lib","Liberica")</f>
        <v>Excelsa</v>
      </c>
      <c r="Q370" t="str" cm="1">
        <f t="array" ref="Q370">_xlfn.IFS(L370="M","Medium",L370="L","Light",L370="D","Dark")</f>
        <v>Dark</v>
      </c>
      <c r="R370" t="str">
        <f>_xlfn.XLOOKUP(Orders[[#This Row],[Customer ID]],customers!$A$1:$A$1001,customers!$I$1:$I$1001)</f>
        <v>No</v>
      </c>
    </row>
    <row r="371" spans="1:18" x14ac:dyDescent="0.35">
      <c r="A371" s="2" t="s">
        <v>4831</v>
      </c>
      <c r="B371" s="4">
        <v>44562</v>
      </c>
      <c r="C371" s="23">
        <f>Orders[[#This Row],[Order Date]]</f>
        <v>44562</v>
      </c>
      <c r="D371" s="2">
        <f>YEAR(Orders[[#This Row],[Order Date]])</f>
        <v>2022</v>
      </c>
      <c r="E371" s="2" t="s">
        <v>4759</v>
      </c>
      <c r="F371" t="s">
        <v>6179</v>
      </c>
      <c r="G371" s="20">
        <v>2</v>
      </c>
      <c r="H371" s="2" t="str">
        <f>INDEX(customers!$A$1:$I$1001,MATCH($E371,customers!$A$1:$A$1001,),MATCH($H$1,customers!$A$1:$I$1,0))</f>
        <v>Foster Constance</v>
      </c>
      <c r="I371" s="2" t="str">
        <f>IF(INDEX(customers!$A$1:$I$1001,MATCH($E371,customers!$A$1:$A$1001,0),3)=0,"",INDEX(customers!$A$1:$I$1001,MATCH($E371,customers!$A$1:$A$1001,0),3))</f>
        <v>fconstancekz@ifeng.com</v>
      </c>
      <c r="J371" s="2" t="str">
        <f>_xlfn.XLOOKUP(E371,customers!$A$1:$A$1001,customers!$G$1:$G$1001)</f>
        <v>United States</v>
      </c>
      <c r="K371" t="str">
        <f>INDEX(products!$A$1:$G$49,MATCH($F371,products!$A$1:$A$49,0),MATCH(K$1,products!$A$1:$G$1,0))</f>
        <v>Rob</v>
      </c>
      <c r="L371" t="str">
        <f>INDEX(products!$A$1:$G$49,MATCH($F371,products!$A$1:$A$49,0),MATCH(L$1,products!$A$1:$G$1,0))</f>
        <v>L</v>
      </c>
      <c r="M371" s="5">
        <f>INDEX(products!$A$1:$G$49,MATCH($F371,products!$A$1:$A$49,0),MATCH(M$1,products!$A$1:$G$1,0))</f>
        <v>1</v>
      </c>
      <c r="N371" s="7">
        <f>INDEX(products!$A$1:$G$49,MATCH($F371,products!$A$1:$A$49,0),MATCH(N$1,products!$A$1:$G$1,0))</f>
        <v>11.95</v>
      </c>
      <c r="O371" s="7">
        <f t="shared" si="5"/>
        <v>23.9</v>
      </c>
      <c r="P371" t="str" cm="1">
        <f t="array" ref="P371">_xlfn.IFS(K371="Rob","Robusta",K371="Exc","Excelsa",K371="Ara","Arabica",K371="Lib","Liberica")</f>
        <v>Robusta</v>
      </c>
      <c r="Q371" t="str" cm="1">
        <f t="array" ref="Q371">_xlfn.IFS(L371="M","Medium",L371="L","Light",L371="D","Dark")</f>
        <v>Light</v>
      </c>
      <c r="R371" t="str">
        <f>_xlfn.XLOOKUP(Orders[[#This Row],[Customer ID]],customers!$A$1:$A$1001,customers!$I$1:$I$1001)</f>
        <v>No</v>
      </c>
    </row>
    <row r="372" spans="1:18" x14ac:dyDescent="0.35">
      <c r="A372" s="2" t="s">
        <v>4758</v>
      </c>
      <c r="B372" s="4">
        <v>44397</v>
      </c>
      <c r="C372" s="23">
        <f>Orders[[#This Row],[Order Date]]</f>
        <v>44397</v>
      </c>
      <c r="D372" s="2">
        <f>YEAR(Orders[[#This Row],[Order Date]])</f>
        <v>2021</v>
      </c>
      <c r="E372" s="2" t="s">
        <v>4759</v>
      </c>
      <c r="F372" t="s">
        <v>6145</v>
      </c>
      <c r="G372" s="20">
        <v>6</v>
      </c>
      <c r="H372" s="2" t="str">
        <f>INDEX(customers!$A$1:$I$1001,MATCH($E372,customers!$A$1:$A$1001,),MATCH($H$1,customers!$A$1:$I$1,0))</f>
        <v>Foster Constance</v>
      </c>
      <c r="I372" s="2" t="str">
        <f>IF(INDEX(customers!$A$1:$I$1001,MATCH($E372,customers!$A$1:$A$1001,0),3)=0,"",INDEX(customers!$A$1:$I$1001,MATCH($E372,customers!$A$1:$A$1001,0),3))</f>
        <v>fconstancekz@ifeng.com</v>
      </c>
      <c r="J372" s="2" t="str">
        <f>_xlfn.XLOOKUP(E372,customers!$A$1:$A$1001,customers!$G$1:$G$1001)</f>
        <v>United States</v>
      </c>
      <c r="K372" t="str">
        <f>INDEX(products!$A$1:$G$49,MATCH($F372,products!$A$1:$A$49,0),MATCH(K$1,products!$A$1:$G$1,0))</f>
        <v>Lib</v>
      </c>
      <c r="L372" t="str">
        <f>INDEX(products!$A$1:$G$49,MATCH($F372,products!$A$1:$A$49,0),MATCH(L$1,products!$A$1:$G$1,0))</f>
        <v>L</v>
      </c>
      <c r="M372" s="5">
        <f>INDEX(products!$A$1:$G$49,MATCH($F372,products!$A$1:$A$49,0),MATCH(M$1,products!$A$1:$G$1,0))</f>
        <v>0.2</v>
      </c>
      <c r="N372" s="7">
        <f>INDEX(products!$A$1:$G$49,MATCH($F372,products!$A$1:$A$49,0),MATCH(N$1,products!$A$1:$G$1,0))</f>
        <v>4.7549999999999999</v>
      </c>
      <c r="O372" s="7">
        <f t="shared" si="5"/>
        <v>28.53</v>
      </c>
      <c r="P372" t="str" cm="1">
        <f t="array" ref="P372">_xlfn.IFS(K372="Rob","Robusta",K372="Exc","Excelsa",K372="Ara","Arabica",K372="Lib","Liberica")</f>
        <v>Liberica</v>
      </c>
      <c r="Q372" t="str" cm="1">
        <f t="array" ref="Q372">_xlfn.IFS(L372="M","Medium",L372="L","Light",L372="D","Dark")</f>
        <v>Light</v>
      </c>
      <c r="R372" t="str">
        <f>_xlfn.XLOOKUP(Orders[[#This Row],[Customer ID]],customers!$A$1:$A$1001,customers!$I$1:$I$1001)</f>
        <v>No</v>
      </c>
    </row>
    <row r="373" spans="1:18" x14ac:dyDescent="0.35">
      <c r="A373" s="2" t="s">
        <v>4825</v>
      </c>
      <c r="B373" s="4">
        <v>44267</v>
      </c>
      <c r="C373" s="23">
        <f>Orders[[#This Row],[Order Date]]</f>
        <v>44267</v>
      </c>
      <c r="D373" s="2">
        <f>YEAR(Orders[[#This Row],[Order Date]])</f>
        <v>2021</v>
      </c>
      <c r="E373" s="2" t="s">
        <v>4759</v>
      </c>
      <c r="F373" t="s">
        <v>6182</v>
      </c>
      <c r="G373" s="20">
        <v>3</v>
      </c>
      <c r="H373" s="2" t="str">
        <f>INDEX(customers!$A$1:$I$1001,MATCH($E373,customers!$A$1:$A$1001,),MATCH($H$1,customers!$A$1:$I$1,0))</f>
        <v>Foster Constance</v>
      </c>
      <c r="I373" s="2" t="str">
        <f>IF(INDEX(customers!$A$1:$I$1001,MATCH($E373,customers!$A$1:$A$1001,0),3)=0,"",INDEX(customers!$A$1:$I$1001,MATCH($E373,customers!$A$1:$A$1001,0),3))</f>
        <v>fconstancekz@ifeng.com</v>
      </c>
      <c r="J373" s="2" t="str">
        <f>_xlfn.XLOOKUP(E373,customers!$A$1:$A$1001,customers!$G$1:$G$1001)</f>
        <v>United States</v>
      </c>
      <c r="K373" t="str">
        <f>INDEX(products!$A$1:$G$49,MATCH($F373,products!$A$1:$A$49,0),MATCH(K$1,products!$A$1:$G$1,0))</f>
        <v>Ara</v>
      </c>
      <c r="L373" t="str">
        <f>INDEX(products!$A$1:$G$49,MATCH($F373,products!$A$1:$A$49,0),MATCH(L$1,products!$A$1:$G$1,0))</f>
        <v>L</v>
      </c>
      <c r="M373" s="5">
        <f>INDEX(products!$A$1:$G$49,MATCH($F373,products!$A$1:$A$49,0),MATCH(M$1,products!$A$1:$G$1,0))</f>
        <v>2.5</v>
      </c>
      <c r="N373" s="7">
        <f>INDEX(products!$A$1:$G$49,MATCH($F373,products!$A$1:$A$49,0),MATCH(N$1,products!$A$1:$G$1,0))</f>
        <v>29.784999999999997</v>
      </c>
      <c r="O373" s="7">
        <f t="shared" si="5"/>
        <v>89.35499999999999</v>
      </c>
      <c r="P373" t="str" cm="1">
        <f t="array" ref="P373">_xlfn.IFS(K373="Rob","Robusta",K373="Exc","Excelsa",K373="Ara","Arabica",K373="Lib","Liberica")</f>
        <v>Arabica</v>
      </c>
      <c r="Q373" t="str" cm="1">
        <f t="array" ref="Q373">_xlfn.IFS(L373="M","Medium",L373="L","Light",L373="D","Dark")</f>
        <v>Light</v>
      </c>
      <c r="R373" t="str">
        <f>_xlfn.XLOOKUP(Orders[[#This Row],[Customer ID]],customers!$A$1:$A$1001,customers!$I$1:$I$1001)</f>
        <v>No</v>
      </c>
    </row>
    <row r="374" spans="1:18" x14ac:dyDescent="0.35">
      <c r="A374" s="2" t="s">
        <v>4389</v>
      </c>
      <c r="B374" s="4">
        <v>44754</v>
      </c>
      <c r="C374" s="23">
        <f>Orders[[#This Row],[Order Date]]</f>
        <v>44754</v>
      </c>
      <c r="D374" s="2">
        <f>YEAR(Orders[[#This Row],[Order Date]])</f>
        <v>2022</v>
      </c>
      <c r="E374" s="2" t="s">
        <v>4390</v>
      </c>
      <c r="F374" t="s">
        <v>6165</v>
      </c>
      <c r="G374" s="20">
        <v>6</v>
      </c>
      <c r="H374" s="2" t="str">
        <f>INDEX(customers!$A$1:$I$1001,MATCH($E374,customers!$A$1:$A$1001,),MATCH($H$1,customers!$A$1:$I$1,0))</f>
        <v>Francesco Dressel</v>
      </c>
      <c r="I374" s="2" t="str">
        <f>IF(INDEX(customers!$A$1:$I$1001,MATCH($E374,customers!$A$1:$A$1001,0),3)=0,"",INDEX(customers!$A$1:$I$1001,MATCH($E374,customers!$A$1:$A$1001,0),3))</f>
        <v/>
      </c>
      <c r="J374" s="2" t="str">
        <f>_xlfn.XLOOKUP(E374,customers!$A$1:$A$1001,customers!$G$1:$G$1001)</f>
        <v>United States</v>
      </c>
      <c r="K374" t="str">
        <f>INDEX(products!$A$1:$G$49,MATCH($F374,products!$A$1:$A$49,0),MATCH(K$1,products!$A$1:$G$1,0))</f>
        <v>Lib</v>
      </c>
      <c r="L374" t="str">
        <f>INDEX(products!$A$1:$G$49,MATCH($F374,products!$A$1:$A$49,0),MATCH(L$1,products!$A$1:$G$1,0))</f>
        <v>D</v>
      </c>
      <c r="M374" s="5">
        <f>INDEX(products!$A$1:$G$49,MATCH($F374,products!$A$1:$A$49,0),MATCH(M$1,products!$A$1:$G$1,0))</f>
        <v>2.5</v>
      </c>
      <c r="N374" s="7">
        <f>INDEX(products!$A$1:$G$49,MATCH($F374,products!$A$1:$A$49,0),MATCH(N$1,products!$A$1:$G$1,0))</f>
        <v>29.784999999999997</v>
      </c>
      <c r="O374" s="7">
        <f t="shared" si="5"/>
        <v>178.70999999999998</v>
      </c>
      <c r="P374" t="str" cm="1">
        <f t="array" ref="P374">_xlfn.IFS(K374="Rob","Robusta",K374="Exc","Excelsa",K374="Ara","Arabica",K374="Lib","Liberica")</f>
        <v>Liberica</v>
      </c>
      <c r="Q374" t="str" cm="1">
        <f t="array" ref="Q374">_xlfn.IFS(L374="M","Medium",L374="L","Light",L374="D","Dark")</f>
        <v>Dark</v>
      </c>
      <c r="R374" t="str">
        <f>_xlfn.XLOOKUP(Orders[[#This Row],[Customer ID]],customers!$A$1:$A$1001,customers!$I$1:$I$1001)</f>
        <v>No</v>
      </c>
    </row>
    <row r="375" spans="1:18" x14ac:dyDescent="0.35">
      <c r="A375" s="2" t="s">
        <v>3236</v>
      </c>
      <c r="B375" s="4">
        <v>44043</v>
      </c>
      <c r="C375" s="23">
        <f>Orders[[#This Row],[Order Date]]</f>
        <v>44043</v>
      </c>
      <c r="D375" s="2">
        <f>YEAR(Orders[[#This Row],[Order Date]])</f>
        <v>2020</v>
      </c>
      <c r="E375" s="2" t="s">
        <v>3237</v>
      </c>
      <c r="F375" t="s">
        <v>6160</v>
      </c>
      <c r="G375" s="20">
        <v>6</v>
      </c>
      <c r="H375" s="2" t="str">
        <f>INDEX(customers!$A$1:$I$1001,MATCH($E375,customers!$A$1:$A$1001,),MATCH($H$1,customers!$A$1:$I$1,0))</f>
        <v>Franny Kienlein</v>
      </c>
      <c r="I375" s="2" t="str">
        <f>IF(INDEX(customers!$A$1:$I$1001,MATCH($E375,customers!$A$1:$A$1001,0),3)=0,"",INDEX(customers!$A$1:$I$1001,MATCH($E375,customers!$A$1:$A$1001,0),3))</f>
        <v>fkienleindi@trellian.com</v>
      </c>
      <c r="J375" s="2" t="str">
        <f>_xlfn.XLOOKUP(E375,customers!$A$1:$A$1001,customers!$G$1:$G$1001)</f>
        <v>Ireland</v>
      </c>
      <c r="K375" t="str">
        <f>INDEX(products!$A$1:$G$49,MATCH($F375,products!$A$1:$A$49,0),MATCH(K$1,products!$A$1:$G$1,0))</f>
        <v>Lib</v>
      </c>
      <c r="L375" t="str">
        <f>INDEX(products!$A$1:$G$49,MATCH($F375,products!$A$1:$A$49,0),MATCH(L$1,products!$A$1:$G$1,0))</f>
        <v>M</v>
      </c>
      <c r="M375" s="5">
        <f>INDEX(products!$A$1:$G$49,MATCH($F375,products!$A$1:$A$49,0),MATCH(M$1,products!$A$1:$G$1,0))</f>
        <v>0.5</v>
      </c>
      <c r="N375" s="7">
        <f>INDEX(products!$A$1:$G$49,MATCH($F375,products!$A$1:$A$49,0),MATCH(N$1,products!$A$1:$G$1,0))</f>
        <v>8.73</v>
      </c>
      <c r="O375" s="7">
        <f t="shared" si="5"/>
        <v>52.38</v>
      </c>
      <c r="P375" t="str" cm="1">
        <f t="array" ref="P375">_xlfn.IFS(K375="Rob","Robusta",K375="Exc","Excelsa",K375="Ara","Arabica",K375="Lib","Liberica")</f>
        <v>Liberica</v>
      </c>
      <c r="Q375" t="str" cm="1">
        <f t="array" ref="Q375">_xlfn.IFS(L375="M","Medium",L375="L","Light",L375="D","Dark")</f>
        <v>Medium</v>
      </c>
      <c r="R375" t="str">
        <f>_xlfn.XLOOKUP(Orders[[#This Row],[Customer ID]],customers!$A$1:$A$1001,customers!$I$1:$I$1001)</f>
        <v>Yes</v>
      </c>
    </row>
    <row r="376" spans="1:18" x14ac:dyDescent="0.35">
      <c r="A376" s="2" t="s">
        <v>5216</v>
      </c>
      <c r="B376" s="4">
        <v>44486</v>
      </c>
      <c r="C376" s="23">
        <f>Orders[[#This Row],[Order Date]]</f>
        <v>44486</v>
      </c>
      <c r="D376" s="2">
        <f>YEAR(Orders[[#This Row],[Order Date]])</f>
        <v>2021</v>
      </c>
      <c r="E376" s="2" t="s">
        <v>5217</v>
      </c>
      <c r="F376" t="s">
        <v>6154</v>
      </c>
      <c r="G376" s="20">
        <v>4</v>
      </c>
      <c r="H376" s="2" t="str">
        <f>INDEX(customers!$A$1:$I$1001,MATCH($E376,customers!$A$1:$A$1001,),MATCH($H$1,customers!$A$1:$I$1,0))</f>
        <v>Frans Habbergham</v>
      </c>
      <c r="I376" s="2" t="str">
        <f>IF(INDEX(customers!$A$1:$I$1001,MATCH($E376,customers!$A$1:$A$1001,0),3)=0,"",INDEX(customers!$A$1:$I$1001,MATCH($E376,customers!$A$1:$A$1001,0),3))</f>
        <v>fhabberghamn8@discovery.com</v>
      </c>
      <c r="J376" s="2" t="str">
        <f>_xlfn.XLOOKUP(E376,customers!$A$1:$A$1001,customers!$G$1:$G$1001)</f>
        <v>United States</v>
      </c>
      <c r="K376" t="str">
        <f>INDEX(products!$A$1:$G$49,MATCH($F376,products!$A$1:$A$49,0),MATCH(K$1,products!$A$1:$G$1,0))</f>
        <v>Ara</v>
      </c>
      <c r="L376" t="str">
        <f>INDEX(products!$A$1:$G$49,MATCH($F376,products!$A$1:$A$49,0),MATCH(L$1,products!$A$1:$G$1,0))</f>
        <v>D</v>
      </c>
      <c r="M376" s="5">
        <f>INDEX(products!$A$1:$G$49,MATCH($F376,products!$A$1:$A$49,0),MATCH(M$1,products!$A$1:$G$1,0))</f>
        <v>0.2</v>
      </c>
      <c r="N376" s="7">
        <f>INDEX(products!$A$1:$G$49,MATCH($F376,products!$A$1:$A$49,0),MATCH(N$1,products!$A$1:$G$1,0))</f>
        <v>2.9849999999999999</v>
      </c>
      <c r="O376" s="7">
        <f t="shared" si="5"/>
        <v>11.94</v>
      </c>
      <c r="P376" t="str" cm="1">
        <f t="array" ref="P376">_xlfn.IFS(K376="Rob","Robusta",K376="Exc","Excelsa",K376="Ara","Arabica",K376="Lib","Liberica")</f>
        <v>Arabica</v>
      </c>
      <c r="Q376" t="str" cm="1">
        <f t="array" ref="Q376">_xlfn.IFS(L376="M","Medium",L376="L","Light",L376="D","Dark")</f>
        <v>Dark</v>
      </c>
      <c r="R376" t="str">
        <f>_xlfn.XLOOKUP(Orders[[#This Row],[Customer ID]],customers!$A$1:$A$1001,customers!$I$1:$I$1001)</f>
        <v>No</v>
      </c>
    </row>
    <row r="377" spans="1:18" x14ac:dyDescent="0.35">
      <c r="A377" s="2" t="s">
        <v>1665</v>
      </c>
      <c r="B377" s="4">
        <v>44105</v>
      </c>
      <c r="C377" s="23">
        <f>Orders[[#This Row],[Order Date]]</f>
        <v>44105</v>
      </c>
      <c r="D377" s="2">
        <f>YEAR(Orders[[#This Row],[Order Date]])</f>
        <v>2020</v>
      </c>
      <c r="E377" s="2" t="s">
        <v>1666</v>
      </c>
      <c r="F377" t="s">
        <v>6157</v>
      </c>
      <c r="G377" s="20">
        <v>1</v>
      </c>
      <c r="H377" s="2" t="str">
        <f>INDEX(customers!$A$1:$I$1001,MATCH($E377,customers!$A$1:$A$1001,),MATCH($H$1,customers!$A$1:$I$1,0))</f>
        <v>Fransisco Malecky</v>
      </c>
      <c r="I377" s="2" t="str">
        <f>IF(INDEX(customers!$A$1:$I$1001,MATCH($E377,customers!$A$1:$A$1001,0),3)=0,"",INDEX(customers!$A$1:$I$1001,MATCH($E377,customers!$A$1:$A$1001,0),3))</f>
        <v>fmalecky5t@list-manage.com</v>
      </c>
      <c r="J377" s="2" t="str">
        <f>_xlfn.XLOOKUP(E377,customers!$A$1:$A$1001,customers!$G$1:$G$1001)</f>
        <v>United Kingdom</v>
      </c>
      <c r="K377" t="str">
        <f>INDEX(products!$A$1:$G$49,MATCH($F377,products!$A$1:$A$49,0),MATCH(K$1,products!$A$1:$G$1,0))</f>
        <v>Ara</v>
      </c>
      <c r="L377" t="str">
        <f>INDEX(products!$A$1:$G$49,MATCH($F377,products!$A$1:$A$49,0),MATCH(L$1,products!$A$1:$G$1,0))</f>
        <v>M</v>
      </c>
      <c r="M377" s="5">
        <f>INDEX(products!$A$1:$G$49,MATCH($F377,products!$A$1:$A$49,0),MATCH(M$1,products!$A$1:$G$1,0))</f>
        <v>0.5</v>
      </c>
      <c r="N377" s="7">
        <f>INDEX(products!$A$1:$G$49,MATCH($F377,products!$A$1:$A$49,0),MATCH(N$1,products!$A$1:$G$1,0))</f>
        <v>6.75</v>
      </c>
      <c r="O377" s="7">
        <f t="shared" si="5"/>
        <v>6.75</v>
      </c>
      <c r="P377" t="str" cm="1">
        <f t="array" ref="P377">_xlfn.IFS(K377="Rob","Robusta",K377="Exc","Excelsa",K377="Ara","Arabica",K377="Lib","Liberica")</f>
        <v>Arabica</v>
      </c>
      <c r="Q377" t="str" cm="1">
        <f t="array" ref="Q377">_xlfn.IFS(L377="M","Medium",L377="L","Light",L377="D","Dark")</f>
        <v>Medium</v>
      </c>
      <c r="R377" t="str">
        <f>_xlfn.XLOOKUP(Orders[[#This Row],[Customer ID]],customers!$A$1:$A$1001,customers!$I$1:$I$1001)</f>
        <v>No</v>
      </c>
    </row>
    <row r="378" spans="1:18" x14ac:dyDescent="0.35">
      <c r="A378" s="2" t="s">
        <v>2968</v>
      </c>
      <c r="B378" s="4">
        <v>44230</v>
      </c>
      <c r="C378" s="23">
        <f>Orders[[#This Row],[Order Date]]</f>
        <v>44230</v>
      </c>
      <c r="D378" s="2">
        <f>YEAR(Orders[[#This Row],[Order Date]])</f>
        <v>2021</v>
      </c>
      <c r="E378" s="2" t="s">
        <v>2969</v>
      </c>
      <c r="F378" t="s">
        <v>6175</v>
      </c>
      <c r="G378" s="20">
        <v>4</v>
      </c>
      <c r="H378" s="2" t="str">
        <f>INDEX(customers!$A$1:$I$1001,MATCH($E378,customers!$A$1:$A$1001,),MATCH($H$1,customers!$A$1:$I$1,0))</f>
        <v>Freda Hollows</v>
      </c>
      <c r="I378" s="2" t="str">
        <f>IF(INDEX(customers!$A$1:$I$1001,MATCH($E378,customers!$A$1:$A$1001,0),3)=0,"",INDEX(customers!$A$1:$I$1001,MATCH($E378,customers!$A$1:$A$1001,0),3))</f>
        <v>fhollowsc8@blogtalkradio.com</v>
      </c>
      <c r="J378" s="2" t="str">
        <f>_xlfn.XLOOKUP(E378,customers!$A$1:$A$1001,customers!$G$1:$G$1001)</f>
        <v>United States</v>
      </c>
      <c r="K378" t="str">
        <f>INDEX(products!$A$1:$G$49,MATCH($F378,products!$A$1:$A$49,0),MATCH(K$1,products!$A$1:$G$1,0))</f>
        <v>Ara</v>
      </c>
      <c r="L378" t="str">
        <f>INDEX(products!$A$1:$G$49,MATCH($F378,products!$A$1:$A$49,0),MATCH(L$1,products!$A$1:$G$1,0))</f>
        <v>M</v>
      </c>
      <c r="M378" s="5">
        <f>INDEX(products!$A$1:$G$49,MATCH($F378,products!$A$1:$A$49,0),MATCH(M$1,products!$A$1:$G$1,0))</f>
        <v>2.5</v>
      </c>
      <c r="N378" s="7">
        <f>INDEX(products!$A$1:$G$49,MATCH($F378,products!$A$1:$A$49,0),MATCH(N$1,products!$A$1:$G$1,0))</f>
        <v>25.874999999999996</v>
      </c>
      <c r="O378" s="7">
        <f t="shared" si="5"/>
        <v>103.49999999999999</v>
      </c>
      <c r="P378" t="str" cm="1">
        <f t="array" ref="P378">_xlfn.IFS(K378="Rob","Robusta",K378="Exc","Excelsa",K378="Ara","Arabica",K378="Lib","Liberica")</f>
        <v>Arabica</v>
      </c>
      <c r="Q378" t="str" cm="1">
        <f t="array" ref="Q378">_xlfn.IFS(L378="M","Medium",L378="L","Light",L378="D","Dark")</f>
        <v>Medium</v>
      </c>
      <c r="R378" t="str">
        <f>_xlfn.XLOOKUP(Orders[[#This Row],[Customer ID]],customers!$A$1:$A$1001,customers!$I$1:$I$1001)</f>
        <v>Yes</v>
      </c>
    </row>
    <row r="379" spans="1:18" x14ac:dyDescent="0.35">
      <c r="A379" s="2" t="s">
        <v>2813</v>
      </c>
      <c r="B379" s="4">
        <v>44410</v>
      </c>
      <c r="C379" s="23">
        <f>Orders[[#This Row],[Order Date]]</f>
        <v>44410</v>
      </c>
      <c r="D379" s="2">
        <f>YEAR(Orders[[#This Row],[Order Date]])</f>
        <v>2021</v>
      </c>
      <c r="E379" s="2" t="s">
        <v>2814</v>
      </c>
      <c r="F379" t="s">
        <v>6155</v>
      </c>
      <c r="G379" s="20">
        <v>5</v>
      </c>
      <c r="H379" s="2" t="str">
        <f>INDEX(customers!$A$1:$I$1001,MATCH($E379,customers!$A$1:$A$1001,),MATCH($H$1,customers!$A$1:$I$1,0))</f>
        <v>Freeland Missenden</v>
      </c>
      <c r="I379" s="2" t="str">
        <f>IF(INDEX(customers!$A$1:$I$1001,MATCH($E379,customers!$A$1:$A$1001,0),3)=0,"",INDEX(customers!$A$1:$I$1001,MATCH($E379,customers!$A$1:$A$1001,0),3))</f>
        <v/>
      </c>
      <c r="J379" s="2" t="str">
        <f>_xlfn.XLOOKUP(E379,customers!$A$1:$A$1001,customers!$G$1:$G$1001)</f>
        <v>United States</v>
      </c>
      <c r="K379" t="str">
        <f>INDEX(products!$A$1:$G$49,MATCH($F379,products!$A$1:$A$49,0),MATCH(K$1,products!$A$1:$G$1,0))</f>
        <v>Ara</v>
      </c>
      <c r="L379" t="str">
        <f>INDEX(products!$A$1:$G$49,MATCH($F379,products!$A$1:$A$49,0),MATCH(L$1,products!$A$1:$G$1,0))</f>
        <v>M</v>
      </c>
      <c r="M379" s="5">
        <f>INDEX(products!$A$1:$G$49,MATCH($F379,products!$A$1:$A$49,0),MATCH(M$1,products!$A$1:$G$1,0))</f>
        <v>1</v>
      </c>
      <c r="N379" s="7">
        <f>INDEX(products!$A$1:$G$49,MATCH($F379,products!$A$1:$A$49,0),MATCH(N$1,products!$A$1:$G$1,0))</f>
        <v>11.25</v>
      </c>
      <c r="O379" s="7">
        <f t="shared" si="5"/>
        <v>56.25</v>
      </c>
      <c r="P379" t="str" cm="1">
        <f t="array" ref="P379">_xlfn.IFS(K379="Rob","Robusta",K379="Exc","Excelsa",K379="Ara","Arabica",K379="Lib","Liberica")</f>
        <v>Arabica</v>
      </c>
      <c r="Q379" t="str" cm="1">
        <f t="array" ref="Q379">_xlfn.IFS(L379="M","Medium",L379="L","Light",L379="D","Dark")</f>
        <v>Medium</v>
      </c>
      <c r="R379" t="str">
        <f>_xlfn.XLOOKUP(Orders[[#This Row],[Customer ID]],customers!$A$1:$A$1001,customers!$I$1:$I$1001)</f>
        <v>Yes</v>
      </c>
    </row>
    <row r="380" spans="1:18" x14ac:dyDescent="0.35">
      <c r="A380" s="2" t="s">
        <v>1833</v>
      </c>
      <c r="B380" s="4">
        <v>44172</v>
      </c>
      <c r="C380" s="23">
        <f>Orders[[#This Row],[Order Date]]</f>
        <v>44172</v>
      </c>
      <c r="D380" s="2">
        <f>YEAR(Orders[[#This Row],[Order Date]])</f>
        <v>2020</v>
      </c>
      <c r="E380" s="2" t="s">
        <v>1834</v>
      </c>
      <c r="F380" t="s">
        <v>6151</v>
      </c>
      <c r="G380" s="20">
        <v>2</v>
      </c>
      <c r="H380" s="2" t="str">
        <f>INDEX(customers!$A$1:$I$1001,MATCH($E380,customers!$A$1:$A$1001,),MATCH($H$1,customers!$A$1:$I$1,0))</f>
        <v>Friederike Drysdale</v>
      </c>
      <c r="I380" s="2" t="str">
        <f>IF(INDEX(customers!$A$1:$I$1001,MATCH($E380,customers!$A$1:$A$1001,0),3)=0,"",INDEX(customers!$A$1:$I$1001,MATCH($E380,customers!$A$1:$A$1001,0),3))</f>
        <v>fdrysdale6m@symantec.com</v>
      </c>
      <c r="J380" s="2" t="str">
        <f>_xlfn.XLOOKUP(E380,customers!$A$1:$A$1001,customers!$G$1:$G$1001)</f>
        <v>United States</v>
      </c>
      <c r="K380" t="str">
        <f>INDEX(products!$A$1:$G$49,MATCH($F380,products!$A$1:$A$49,0),MATCH(K$1,products!$A$1:$G$1,0))</f>
        <v>Rob</v>
      </c>
      <c r="L380" t="str">
        <f>INDEX(products!$A$1:$G$49,MATCH($F380,products!$A$1:$A$49,0),MATCH(L$1,products!$A$1:$G$1,0))</f>
        <v>M</v>
      </c>
      <c r="M380" s="5">
        <f>INDEX(products!$A$1:$G$49,MATCH($F380,products!$A$1:$A$49,0),MATCH(M$1,products!$A$1:$G$1,0))</f>
        <v>2.5</v>
      </c>
      <c r="N380" s="7">
        <f>INDEX(products!$A$1:$G$49,MATCH($F380,products!$A$1:$A$49,0),MATCH(N$1,products!$A$1:$G$1,0))</f>
        <v>22.884999999999998</v>
      </c>
      <c r="O380" s="7">
        <f t="shared" si="5"/>
        <v>45.769999999999996</v>
      </c>
      <c r="P380" t="str" cm="1">
        <f t="array" ref="P380">_xlfn.IFS(K380="Rob","Robusta",K380="Exc","Excelsa",K380="Ara","Arabica",K380="Lib","Liberica")</f>
        <v>Robusta</v>
      </c>
      <c r="Q380" t="str" cm="1">
        <f t="array" ref="Q380">_xlfn.IFS(L380="M","Medium",L380="L","Light",L380="D","Dark")</f>
        <v>Medium</v>
      </c>
      <c r="R380" t="str">
        <f>_xlfn.XLOOKUP(Orders[[#This Row],[Customer ID]],customers!$A$1:$A$1001,customers!$I$1:$I$1001)</f>
        <v>Yes</v>
      </c>
    </row>
    <row r="381" spans="1:18" x14ac:dyDescent="0.35">
      <c r="A381" s="2" t="s">
        <v>4308</v>
      </c>
      <c r="B381" s="4">
        <v>44217</v>
      </c>
      <c r="C381" s="23">
        <f>Orders[[#This Row],[Order Date]]</f>
        <v>44217</v>
      </c>
      <c r="D381" s="2">
        <f>YEAR(Orders[[#This Row],[Order Date]])</f>
        <v>2021</v>
      </c>
      <c r="E381" s="2" t="s">
        <v>4309</v>
      </c>
      <c r="F381" t="s">
        <v>6161</v>
      </c>
      <c r="G381" s="20">
        <v>5</v>
      </c>
      <c r="H381" s="2" t="str">
        <f>INDEX(customers!$A$1:$I$1001,MATCH($E381,customers!$A$1:$A$1001,),MATCH($H$1,customers!$A$1:$I$1,0))</f>
        <v>Gabey Cogan</v>
      </c>
      <c r="I381" s="2" t="str">
        <f>IF(INDEX(customers!$A$1:$I$1001,MATCH($E381,customers!$A$1:$A$1001,0),3)=0,"",INDEX(customers!$A$1:$I$1001,MATCH($E381,customers!$A$1:$A$1001,0),3))</f>
        <v/>
      </c>
      <c r="J381" s="2" t="str">
        <f>_xlfn.XLOOKUP(E381,customers!$A$1:$A$1001,customers!$G$1:$G$1001)</f>
        <v>United States</v>
      </c>
      <c r="K381" t="str">
        <f>INDEX(products!$A$1:$G$49,MATCH($F381,products!$A$1:$A$49,0),MATCH(K$1,products!$A$1:$G$1,0))</f>
        <v>Lib</v>
      </c>
      <c r="L381" t="str">
        <f>INDEX(products!$A$1:$G$49,MATCH($F381,products!$A$1:$A$49,0),MATCH(L$1,products!$A$1:$G$1,0))</f>
        <v>L</v>
      </c>
      <c r="M381" s="5">
        <f>INDEX(products!$A$1:$G$49,MATCH($F381,products!$A$1:$A$49,0),MATCH(M$1,products!$A$1:$G$1,0))</f>
        <v>0.5</v>
      </c>
      <c r="N381" s="7">
        <f>INDEX(products!$A$1:$G$49,MATCH($F381,products!$A$1:$A$49,0),MATCH(N$1,products!$A$1:$G$1,0))</f>
        <v>9.51</v>
      </c>
      <c r="O381" s="7">
        <f t="shared" si="5"/>
        <v>47.55</v>
      </c>
      <c r="P381" t="str" cm="1">
        <f t="array" ref="P381">_xlfn.IFS(K381="Rob","Robusta",K381="Exc","Excelsa",K381="Ara","Arabica",K381="Lib","Liberica")</f>
        <v>Liberica</v>
      </c>
      <c r="Q381" t="str" cm="1">
        <f t="array" ref="Q381">_xlfn.IFS(L381="M","Medium",L381="L","Light",L381="D","Dark")</f>
        <v>Light</v>
      </c>
      <c r="R381" t="str">
        <f>_xlfn.XLOOKUP(Orders[[#This Row],[Customer ID]],customers!$A$1:$A$1001,customers!$I$1:$I$1001)</f>
        <v>No</v>
      </c>
    </row>
    <row r="382" spans="1:18" x14ac:dyDescent="0.35">
      <c r="A382" s="2" t="s">
        <v>2291</v>
      </c>
      <c r="B382" s="4">
        <v>43676</v>
      </c>
      <c r="C382" s="23">
        <f>Orders[[#This Row],[Order Date]]</f>
        <v>43676</v>
      </c>
      <c r="D382" s="2">
        <f>YEAR(Orders[[#This Row],[Order Date]])</f>
        <v>2019</v>
      </c>
      <c r="E382" s="2" t="s">
        <v>2292</v>
      </c>
      <c r="F382" t="s">
        <v>6156</v>
      </c>
      <c r="G382" s="20">
        <v>2</v>
      </c>
      <c r="H382" s="2" t="str">
        <f>INDEX(customers!$A$1:$I$1001,MATCH($E382,customers!$A$1:$A$1001,),MATCH($H$1,customers!$A$1:$I$1,0))</f>
        <v>Gabie Tweed</v>
      </c>
      <c r="I382" s="2" t="str">
        <f>IF(INDEX(customers!$A$1:$I$1001,MATCH($E382,customers!$A$1:$A$1001,0),3)=0,"",INDEX(customers!$A$1:$I$1001,MATCH($E382,customers!$A$1:$A$1001,0),3))</f>
        <v>gtweed8v@yolasite.com</v>
      </c>
      <c r="J382" s="2" t="str">
        <f>_xlfn.XLOOKUP(E382,customers!$A$1:$A$1001,customers!$G$1:$G$1001)</f>
        <v>United States</v>
      </c>
      <c r="K382" t="str">
        <f>INDEX(products!$A$1:$G$49,MATCH($F382,products!$A$1:$A$49,0),MATCH(K$1,products!$A$1:$G$1,0))</f>
        <v>Exc</v>
      </c>
      <c r="L382" t="str">
        <f>INDEX(products!$A$1:$G$49,MATCH($F382,products!$A$1:$A$49,0),MATCH(L$1,products!$A$1:$G$1,0))</f>
        <v>M</v>
      </c>
      <c r="M382" s="5">
        <f>INDEX(products!$A$1:$G$49,MATCH($F382,products!$A$1:$A$49,0),MATCH(M$1,products!$A$1:$G$1,0))</f>
        <v>0.2</v>
      </c>
      <c r="N382" s="7">
        <f>INDEX(products!$A$1:$G$49,MATCH($F382,products!$A$1:$A$49,0),MATCH(N$1,products!$A$1:$G$1,0))</f>
        <v>4.125</v>
      </c>
      <c r="O382" s="7">
        <f t="shared" si="5"/>
        <v>8.25</v>
      </c>
      <c r="P382" t="str" cm="1">
        <f t="array" ref="P382">_xlfn.IFS(K382="Rob","Robusta",K382="Exc","Excelsa",K382="Ara","Arabica",K382="Lib","Liberica")</f>
        <v>Excelsa</v>
      </c>
      <c r="Q382" t="str" cm="1">
        <f t="array" ref="Q382">_xlfn.IFS(L382="M","Medium",L382="L","Light",L382="D","Dark")</f>
        <v>Medium</v>
      </c>
      <c r="R382" t="str">
        <f>_xlfn.XLOOKUP(Orders[[#This Row],[Customer ID]],customers!$A$1:$A$1001,customers!$I$1:$I$1001)</f>
        <v>Yes</v>
      </c>
    </row>
    <row r="383" spans="1:18" x14ac:dyDescent="0.35">
      <c r="A383" s="2" t="s">
        <v>2291</v>
      </c>
      <c r="B383" s="4">
        <v>43676</v>
      </c>
      <c r="C383" s="23">
        <f>Orders[[#This Row],[Order Date]]</f>
        <v>43676</v>
      </c>
      <c r="D383" s="2">
        <f>YEAR(Orders[[#This Row],[Order Date]])</f>
        <v>2019</v>
      </c>
      <c r="E383" s="2" t="s">
        <v>2292</v>
      </c>
      <c r="F383" t="s">
        <v>6167</v>
      </c>
      <c r="G383" s="20">
        <v>5</v>
      </c>
      <c r="H383" s="2" t="str">
        <f>INDEX(customers!$A$1:$I$1001,MATCH($E383,customers!$A$1:$A$1001,),MATCH($H$1,customers!$A$1:$I$1,0))</f>
        <v>Gabie Tweed</v>
      </c>
      <c r="I383" s="2" t="str">
        <f>IF(INDEX(customers!$A$1:$I$1001,MATCH($E383,customers!$A$1:$A$1001,0),3)=0,"",INDEX(customers!$A$1:$I$1001,MATCH($E383,customers!$A$1:$A$1001,0),3))</f>
        <v>gtweed8v@yolasite.com</v>
      </c>
      <c r="J383" s="2" t="str">
        <f>_xlfn.XLOOKUP(E383,customers!$A$1:$A$1001,customers!$G$1:$G$1001)</f>
        <v>United States</v>
      </c>
      <c r="K383" t="str">
        <f>INDEX(products!$A$1:$G$49,MATCH($F383,products!$A$1:$A$49,0),MATCH(K$1,products!$A$1:$G$1,0))</f>
        <v>Ara</v>
      </c>
      <c r="L383" t="str">
        <f>INDEX(products!$A$1:$G$49,MATCH($F383,products!$A$1:$A$49,0),MATCH(L$1,products!$A$1:$G$1,0))</f>
        <v>L</v>
      </c>
      <c r="M383" s="5">
        <f>INDEX(products!$A$1:$G$49,MATCH($F383,products!$A$1:$A$49,0),MATCH(M$1,products!$A$1:$G$1,0))</f>
        <v>0.2</v>
      </c>
      <c r="N383" s="7">
        <f>INDEX(products!$A$1:$G$49,MATCH($F383,products!$A$1:$A$49,0),MATCH(N$1,products!$A$1:$G$1,0))</f>
        <v>3.8849999999999998</v>
      </c>
      <c r="O383" s="7">
        <f t="shared" si="5"/>
        <v>19.424999999999997</v>
      </c>
      <c r="P383" t="str" cm="1">
        <f t="array" ref="P383">_xlfn.IFS(K383="Rob","Robusta",K383="Exc","Excelsa",K383="Ara","Arabica",K383="Lib","Liberica")</f>
        <v>Arabica</v>
      </c>
      <c r="Q383" t="str" cm="1">
        <f t="array" ref="Q383">_xlfn.IFS(L383="M","Medium",L383="L","Light",L383="D","Dark")</f>
        <v>Light</v>
      </c>
      <c r="R383" t="str">
        <f>_xlfn.XLOOKUP(Orders[[#This Row],[Customer ID]],customers!$A$1:$A$1001,customers!$I$1:$I$1001)</f>
        <v>Yes</v>
      </c>
    </row>
    <row r="384" spans="1:18" x14ac:dyDescent="0.35">
      <c r="A384" s="2" t="s">
        <v>3844</v>
      </c>
      <c r="B384" s="4">
        <v>43512</v>
      </c>
      <c r="C384" s="23">
        <f>Orders[[#This Row],[Order Date]]</f>
        <v>43512</v>
      </c>
      <c r="D384" s="2">
        <f>YEAR(Orders[[#This Row],[Order Date]])</f>
        <v>2019</v>
      </c>
      <c r="E384" s="2" t="s">
        <v>3845</v>
      </c>
      <c r="F384" t="s">
        <v>6182</v>
      </c>
      <c r="G384" s="20">
        <v>2</v>
      </c>
      <c r="H384" s="2" t="str">
        <f>INDEX(customers!$A$1:$I$1001,MATCH($E384,customers!$A$1:$A$1001,),MATCH($H$1,customers!$A$1:$I$1,0))</f>
        <v>Gabriel Starcks</v>
      </c>
      <c r="I384" s="2" t="str">
        <f>IF(INDEX(customers!$A$1:$I$1001,MATCH($E384,customers!$A$1:$A$1001,0),3)=0,"",INDEX(customers!$A$1:$I$1001,MATCH($E384,customers!$A$1:$A$1001,0),3))</f>
        <v>gstarcksgi@abc.net.au</v>
      </c>
      <c r="J384" s="2" t="str">
        <f>_xlfn.XLOOKUP(E384,customers!$A$1:$A$1001,customers!$G$1:$G$1001)</f>
        <v>United States</v>
      </c>
      <c r="K384" t="str">
        <f>INDEX(products!$A$1:$G$49,MATCH($F384,products!$A$1:$A$49,0),MATCH(K$1,products!$A$1:$G$1,0))</f>
        <v>Ara</v>
      </c>
      <c r="L384" t="str">
        <f>INDEX(products!$A$1:$G$49,MATCH($F384,products!$A$1:$A$49,0),MATCH(L$1,products!$A$1:$G$1,0))</f>
        <v>L</v>
      </c>
      <c r="M384" s="5">
        <f>INDEX(products!$A$1:$G$49,MATCH($F384,products!$A$1:$A$49,0),MATCH(M$1,products!$A$1:$G$1,0))</f>
        <v>2.5</v>
      </c>
      <c r="N384" s="7">
        <f>INDEX(products!$A$1:$G$49,MATCH($F384,products!$A$1:$A$49,0),MATCH(N$1,products!$A$1:$G$1,0))</f>
        <v>29.784999999999997</v>
      </c>
      <c r="O384" s="7">
        <f t="shared" si="5"/>
        <v>59.569999999999993</v>
      </c>
      <c r="P384" t="str" cm="1">
        <f t="array" ref="P384">_xlfn.IFS(K384="Rob","Robusta",K384="Exc","Excelsa",K384="Ara","Arabica",K384="Lib","Liberica")</f>
        <v>Arabica</v>
      </c>
      <c r="Q384" t="str" cm="1">
        <f t="array" ref="Q384">_xlfn.IFS(L384="M","Medium",L384="L","Light",L384="D","Dark")</f>
        <v>Light</v>
      </c>
      <c r="R384" t="str">
        <f>_xlfn.XLOOKUP(Orders[[#This Row],[Customer ID]],customers!$A$1:$A$1001,customers!$I$1:$I$1001)</f>
        <v>No</v>
      </c>
    </row>
    <row r="385" spans="1:18" x14ac:dyDescent="0.35">
      <c r="A385" s="2" t="s">
        <v>2301</v>
      </c>
      <c r="B385" s="4">
        <v>44170</v>
      </c>
      <c r="C385" s="23">
        <f>Orders[[#This Row],[Order Date]]</f>
        <v>44170</v>
      </c>
      <c r="D385" s="2">
        <f>YEAR(Orders[[#This Row],[Order Date]])</f>
        <v>2020</v>
      </c>
      <c r="E385" s="2" t="s">
        <v>2302</v>
      </c>
      <c r="F385" t="s">
        <v>6152</v>
      </c>
      <c r="G385" s="20">
        <v>6</v>
      </c>
      <c r="H385" s="2" t="str">
        <f>INDEX(customers!$A$1:$I$1001,MATCH($E385,customers!$A$1:$A$1001,),MATCH($H$1,customers!$A$1:$I$1,0))</f>
        <v>Gaile Goggin</v>
      </c>
      <c r="I385" s="2" t="str">
        <f>IF(INDEX(customers!$A$1:$I$1001,MATCH($E385,customers!$A$1:$A$1001,0),3)=0,"",INDEX(customers!$A$1:$I$1001,MATCH($E385,customers!$A$1:$A$1001,0),3))</f>
        <v>ggoggin8x@wix.com</v>
      </c>
      <c r="J385" s="2" t="str">
        <f>_xlfn.XLOOKUP(E385,customers!$A$1:$A$1001,customers!$G$1:$G$1001)</f>
        <v>Ireland</v>
      </c>
      <c r="K385" t="str">
        <f>INDEX(products!$A$1:$G$49,MATCH($F385,products!$A$1:$A$49,0),MATCH(K$1,products!$A$1:$G$1,0))</f>
        <v>Ara</v>
      </c>
      <c r="L385" t="str">
        <f>INDEX(products!$A$1:$G$49,MATCH($F385,products!$A$1:$A$49,0),MATCH(L$1,products!$A$1:$G$1,0))</f>
        <v>M</v>
      </c>
      <c r="M385" s="5">
        <f>INDEX(products!$A$1:$G$49,MATCH($F385,products!$A$1:$A$49,0),MATCH(M$1,products!$A$1:$G$1,0))</f>
        <v>0.2</v>
      </c>
      <c r="N385" s="7">
        <f>INDEX(products!$A$1:$G$49,MATCH($F385,products!$A$1:$A$49,0),MATCH(N$1,products!$A$1:$G$1,0))</f>
        <v>3.375</v>
      </c>
      <c r="O385" s="7">
        <f t="shared" si="5"/>
        <v>20.25</v>
      </c>
      <c r="P385" t="str" cm="1">
        <f t="array" ref="P385">_xlfn.IFS(K385="Rob","Robusta",K385="Exc","Excelsa",K385="Ara","Arabica",K385="Lib","Liberica")</f>
        <v>Arabica</v>
      </c>
      <c r="Q385" t="str" cm="1">
        <f t="array" ref="Q385">_xlfn.IFS(L385="M","Medium",L385="L","Light",L385="D","Dark")</f>
        <v>Medium</v>
      </c>
      <c r="R385" t="str">
        <f>_xlfn.XLOOKUP(Orders[[#This Row],[Customer ID]],customers!$A$1:$A$1001,customers!$I$1:$I$1001)</f>
        <v>Yes</v>
      </c>
    </row>
    <row r="386" spans="1:18" x14ac:dyDescent="0.35">
      <c r="A386" s="2" t="s">
        <v>2757</v>
      </c>
      <c r="B386" s="4">
        <v>43502</v>
      </c>
      <c r="C386" s="23">
        <f>Orders[[#This Row],[Order Date]]</f>
        <v>43502</v>
      </c>
      <c r="D386" s="2">
        <f>YEAR(Orders[[#This Row],[Order Date]])</f>
        <v>2019</v>
      </c>
      <c r="E386" s="2" t="s">
        <v>2758</v>
      </c>
      <c r="F386" t="s">
        <v>6177</v>
      </c>
      <c r="G386" s="20">
        <v>3</v>
      </c>
      <c r="H386" s="2" t="str">
        <f>INDEX(customers!$A$1:$I$1001,MATCH($E386,customers!$A$1:$A$1001,),MATCH($H$1,customers!$A$1:$I$1,0))</f>
        <v>Gale Croysdale</v>
      </c>
      <c r="I386" s="2" t="str">
        <f>IF(INDEX(customers!$A$1:$I$1001,MATCH($E386,customers!$A$1:$A$1001,0),3)=0,"",INDEX(customers!$A$1:$I$1001,MATCH($E386,customers!$A$1:$A$1001,0),3))</f>
        <v>gcroysdaleb6@nih.gov</v>
      </c>
      <c r="J386" s="2" t="str">
        <f>_xlfn.XLOOKUP(E386,customers!$A$1:$A$1001,customers!$G$1:$G$1001)</f>
        <v>United States</v>
      </c>
      <c r="K386" t="str">
        <f>INDEX(products!$A$1:$G$49,MATCH($F386,products!$A$1:$A$49,0),MATCH(K$1,products!$A$1:$G$1,0))</f>
        <v>Rob</v>
      </c>
      <c r="L386" t="str">
        <f>INDEX(products!$A$1:$G$49,MATCH($F386,products!$A$1:$A$49,0),MATCH(L$1,products!$A$1:$G$1,0))</f>
        <v>D</v>
      </c>
      <c r="M386" s="5">
        <f>INDEX(products!$A$1:$G$49,MATCH($F386,products!$A$1:$A$49,0),MATCH(M$1,products!$A$1:$G$1,0))</f>
        <v>1</v>
      </c>
      <c r="N386" s="7">
        <f>INDEX(products!$A$1:$G$49,MATCH($F386,products!$A$1:$A$49,0),MATCH(N$1,products!$A$1:$G$1,0))</f>
        <v>8.9499999999999993</v>
      </c>
      <c r="O386" s="7">
        <f t="shared" ref="O386:O449" si="6">N386*G386</f>
        <v>26.849999999999998</v>
      </c>
      <c r="P386" t="str" cm="1">
        <f t="array" ref="P386">_xlfn.IFS(K386="Rob","Robusta",K386="Exc","Excelsa",K386="Ara","Arabica",K386="Lib","Liberica")</f>
        <v>Robusta</v>
      </c>
      <c r="Q386" t="str" cm="1">
        <f t="array" ref="Q386">_xlfn.IFS(L386="M","Medium",L386="L","Light",L386="D","Dark")</f>
        <v>Dark</v>
      </c>
      <c r="R386" t="str">
        <f>_xlfn.XLOOKUP(Orders[[#This Row],[Customer ID]],customers!$A$1:$A$1001,customers!$I$1:$I$1001)</f>
        <v>Yes</v>
      </c>
    </row>
    <row r="387" spans="1:18" x14ac:dyDescent="0.35">
      <c r="A387" s="2" t="s">
        <v>4280</v>
      </c>
      <c r="B387" s="4">
        <v>44495</v>
      </c>
      <c r="C387" s="23">
        <f>Orders[[#This Row],[Order Date]]</f>
        <v>44495</v>
      </c>
      <c r="D387" s="2">
        <f>YEAR(Orders[[#This Row],[Order Date]])</f>
        <v>2021</v>
      </c>
      <c r="E387" s="2" t="s">
        <v>4281</v>
      </c>
      <c r="F387" t="s">
        <v>6179</v>
      </c>
      <c r="G387" s="20">
        <v>5</v>
      </c>
      <c r="H387" s="2" t="str">
        <f>INDEX(customers!$A$1:$I$1001,MATCH($E387,customers!$A$1:$A$1001,),MATCH($H$1,customers!$A$1:$I$1,0))</f>
        <v>Gale Heindrick</v>
      </c>
      <c r="I387" s="2" t="str">
        <f>IF(INDEX(customers!$A$1:$I$1001,MATCH($E387,customers!$A$1:$A$1001,0),3)=0,"",INDEX(customers!$A$1:$I$1001,MATCH($E387,customers!$A$1:$A$1001,0),3))</f>
        <v>gheindrickin@usda.gov</v>
      </c>
      <c r="J387" s="2" t="str">
        <f>_xlfn.XLOOKUP(E387,customers!$A$1:$A$1001,customers!$G$1:$G$1001)</f>
        <v>United States</v>
      </c>
      <c r="K387" t="str">
        <f>INDEX(products!$A$1:$G$49,MATCH($F387,products!$A$1:$A$49,0),MATCH(K$1,products!$A$1:$G$1,0))</f>
        <v>Rob</v>
      </c>
      <c r="L387" t="str">
        <f>INDEX(products!$A$1:$G$49,MATCH($F387,products!$A$1:$A$49,0),MATCH(L$1,products!$A$1:$G$1,0))</f>
        <v>L</v>
      </c>
      <c r="M387" s="5">
        <f>INDEX(products!$A$1:$G$49,MATCH($F387,products!$A$1:$A$49,0),MATCH(M$1,products!$A$1:$G$1,0))</f>
        <v>1</v>
      </c>
      <c r="N387" s="7">
        <f>INDEX(products!$A$1:$G$49,MATCH($F387,products!$A$1:$A$49,0),MATCH(N$1,products!$A$1:$G$1,0))</f>
        <v>11.95</v>
      </c>
      <c r="O387" s="7">
        <f t="shared" si="6"/>
        <v>59.75</v>
      </c>
      <c r="P387" t="str" cm="1">
        <f t="array" ref="P387">_xlfn.IFS(K387="Rob","Robusta",K387="Exc","Excelsa",K387="Ara","Arabica",K387="Lib","Liberica")</f>
        <v>Robusta</v>
      </c>
      <c r="Q387" t="str" cm="1">
        <f t="array" ref="Q387">_xlfn.IFS(L387="M","Medium",L387="L","Light",L387="D","Dark")</f>
        <v>Light</v>
      </c>
      <c r="R387" t="str">
        <f>_xlfn.XLOOKUP(Orders[[#This Row],[Customer ID]],customers!$A$1:$A$1001,customers!$I$1:$I$1001)</f>
        <v>No</v>
      </c>
    </row>
    <row r="388" spans="1:18" x14ac:dyDescent="0.35">
      <c r="A388" s="2" t="s">
        <v>676</v>
      </c>
      <c r="B388" s="4">
        <v>44394</v>
      </c>
      <c r="C388" s="23">
        <f>Orders[[#This Row],[Order Date]]</f>
        <v>44394</v>
      </c>
      <c r="D388" s="2">
        <f>YEAR(Orders[[#This Row],[Order Date]])</f>
        <v>2021</v>
      </c>
      <c r="E388" s="2" t="s">
        <v>677</v>
      </c>
      <c r="F388" t="s">
        <v>6145</v>
      </c>
      <c r="G388" s="20">
        <v>5</v>
      </c>
      <c r="H388" s="2" t="str">
        <f>INDEX(customers!$A$1:$I$1001,MATCH($E388,customers!$A$1:$A$1001,),MATCH($H$1,customers!$A$1:$I$1,0))</f>
        <v>Gallard Gatheral</v>
      </c>
      <c r="I388" s="2" t="str">
        <f>IF(INDEX(customers!$A$1:$I$1001,MATCH($E388,customers!$A$1:$A$1001,0),3)=0,"",INDEX(customers!$A$1:$I$1001,MATCH($E388,customers!$A$1:$A$1001,0),3))</f>
        <v>ggatheralx@123-reg.co.uk</v>
      </c>
      <c r="J388" s="2" t="str">
        <f>_xlfn.XLOOKUP(E388,customers!$A$1:$A$1001,customers!$G$1:$G$1001)</f>
        <v>United States</v>
      </c>
      <c r="K388" t="str">
        <f>INDEX(products!$A$1:$G$49,MATCH($F388,products!$A$1:$A$49,0),MATCH(K$1,products!$A$1:$G$1,0))</f>
        <v>Lib</v>
      </c>
      <c r="L388" t="str">
        <f>INDEX(products!$A$1:$G$49,MATCH($F388,products!$A$1:$A$49,0),MATCH(L$1,products!$A$1:$G$1,0))</f>
        <v>L</v>
      </c>
      <c r="M388" s="5">
        <f>INDEX(products!$A$1:$G$49,MATCH($F388,products!$A$1:$A$49,0),MATCH(M$1,products!$A$1:$G$1,0))</f>
        <v>0.2</v>
      </c>
      <c r="N388" s="7">
        <f>INDEX(products!$A$1:$G$49,MATCH($F388,products!$A$1:$A$49,0),MATCH(N$1,products!$A$1:$G$1,0))</f>
        <v>4.7549999999999999</v>
      </c>
      <c r="O388" s="7">
        <f t="shared" si="6"/>
        <v>23.774999999999999</v>
      </c>
      <c r="P388" t="str" cm="1">
        <f t="array" ref="P388">_xlfn.IFS(K388="Rob","Robusta",K388="Exc","Excelsa",K388="Ara","Arabica",K388="Lib","Liberica")</f>
        <v>Liberica</v>
      </c>
      <c r="Q388" t="str" cm="1">
        <f t="array" ref="Q388">_xlfn.IFS(L388="M","Medium",L388="L","Light",L388="D","Dark")</f>
        <v>Light</v>
      </c>
      <c r="R388" t="str">
        <f>_xlfn.XLOOKUP(Orders[[#This Row],[Customer ID]],customers!$A$1:$A$1001,customers!$I$1:$I$1001)</f>
        <v>No</v>
      </c>
    </row>
    <row r="389" spans="1:18" x14ac:dyDescent="0.35">
      <c r="A389" s="2" t="s">
        <v>3181</v>
      </c>
      <c r="B389" s="4">
        <v>44274</v>
      </c>
      <c r="C389" s="23">
        <f>Orders[[#This Row],[Order Date]]</f>
        <v>44274</v>
      </c>
      <c r="D389" s="2">
        <f>YEAR(Orders[[#This Row],[Order Date]])</f>
        <v>2021</v>
      </c>
      <c r="E389" s="2" t="s">
        <v>3182</v>
      </c>
      <c r="F389" t="s">
        <v>6184</v>
      </c>
      <c r="G389" s="20">
        <v>6</v>
      </c>
      <c r="H389" s="2" t="str">
        <f>INDEX(customers!$A$1:$I$1001,MATCH($E389,customers!$A$1:$A$1001,),MATCH($H$1,customers!$A$1:$I$1,0))</f>
        <v>Gardy Dimitriou</v>
      </c>
      <c r="I389" s="2" t="str">
        <f>IF(INDEX(customers!$A$1:$I$1001,MATCH($E389,customers!$A$1:$A$1001,0),3)=0,"",INDEX(customers!$A$1:$I$1001,MATCH($E389,customers!$A$1:$A$1001,0),3))</f>
        <v>gdimitrioud8@chronoengine.com</v>
      </c>
      <c r="J389" s="2" t="str">
        <f>_xlfn.XLOOKUP(E389,customers!$A$1:$A$1001,customers!$G$1:$G$1001)</f>
        <v>United States</v>
      </c>
      <c r="K389" t="str">
        <f>INDEX(products!$A$1:$G$49,MATCH($F389,products!$A$1:$A$49,0),MATCH(K$1,products!$A$1:$G$1,0))</f>
        <v>Exc</v>
      </c>
      <c r="L389" t="str">
        <f>INDEX(products!$A$1:$G$49,MATCH($F389,products!$A$1:$A$49,0),MATCH(L$1,products!$A$1:$G$1,0))</f>
        <v>L</v>
      </c>
      <c r="M389" s="5">
        <f>INDEX(products!$A$1:$G$49,MATCH($F389,products!$A$1:$A$49,0),MATCH(M$1,products!$A$1:$G$1,0))</f>
        <v>0.2</v>
      </c>
      <c r="N389" s="7">
        <f>INDEX(products!$A$1:$G$49,MATCH($F389,products!$A$1:$A$49,0),MATCH(N$1,products!$A$1:$G$1,0))</f>
        <v>4.4550000000000001</v>
      </c>
      <c r="O389" s="7">
        <f t="shared" si="6"/>
        <v>26.73</v>
      </c>
      <c r="P389" t="str" cm="1">
        <f t="array" ref="P389">_xlfn.IFS(K389="Rob","Robusta",K389="Exc","Excelsa",K389="Ara","Arabica",K389="Lib","Liberica")</f>
        <v>Excelsa</v>
      </c>
      <c r="Q389" t="str" cm="1">
        <f t="array" ref="Q389">_xlfn.IFS(L389="M","Medium",L389="L","Light",L389="D","Dark")</f>
        <v>Light</v>
      </c>
      <c r="R389" t="str">
        <f>_xlfn.XLOOKUP(Orders[[#This Row],[Customer ID]],customers!$A$1:$A$1001,customers!$I$1:$I$1001)</f>
        <v>Yes</v>
      </c>
    </row>
    <row r="390" spans="1:18" x14ac:dyDescent="0.35">
      <c r="A390" s="2" t="s">
        <v>4062</v>
      </c>
      <c r="B390" s="4">
        <v>43820</v>
      </c>
      <c r="C390" s="23">
        <f>Orders[[#This Row],[Order Date]]</f>
        <v>43820</v>
      </c>
      <c r="D390" s="2">
        <f>YEAR(Orders[[#This Row],[Order Date]])</f>
        <v>2019</v>
      </c>
      <c r="E390" s="2" t="s">
        <v>4063</v>
      </c>
      <c r="F390" t="s">
        <v>6179</v>
      </c>
      <c r="G390" s="20">
        <v>4</v>
      </c>
      <c r="H390" s="2" t="str">
        <f>INDEX(customers!$A$1:$I$1001,MATCH($E390,customers!$A$1:$A$1001,),MATCH($H$1,customers!$A$1:$I$1,0))</f>
        <v>Gaspar McGavin</v>
      </c>
      <c r="I390" s="2" t="str">
        <f>IF(INDEX(customers!$A$1:$I$1001,MATCH($E390,customers!$A$1:$A$1001,0),3)=0,"",INDEX(customers!$A$1:$I$1001,MATCH($E390,customers!$A$1:$A$1001,0),3))</f>
        <v>gmcgavinhl@histats.com</v>
      </c>
      <c r="J390" s="2" t="str">
        <f>_xlfn.XLOOKUP(E390,customers!$A$1:$A$1001,customers!$G$1:$G$1001)</f>
        <v>United States</v>
      </c>
      <c r="K390" t="str">
        <f>INDEX(products!$A$1:$G$49,MATCH($F390,products!$A$1:$A$49,0),MATCH(K$1,products!$A$1:$G$1,0))</f>
        <v>Rob</v>
      </c>
      <c r="L390" t="str">
        <f>INDEX(products!$A$1:$G$49,MATCH($F390,products!$A$1:$A$49,0),MATCH(L$1,products!$A$1:$G$1,0))</f>
        <v>L</v>
      </c>
      <c r="M390" s="5">
        <f>INDEX(products!$A$1:$G$49,MATCH($F390,products!$A$1:$A$49,0),MATCH(M$1,products!$A$1:$G$1,0))</f>
        <v>1</v>
      </c>
      <c r="N390" s="7">
        <f>INDEX(products!$A$1:$G$49,MATCH($F390,products!$A$1:$A$49,0),MATCH(N$1,products!$A$1:$G$1,0))</f>
        <v>11.95</v>
      </c>
      <c r="O390" s="7">
        <f t="shared" si="6"/>
        <v>47.8</v>
      </c>
      <c r="P390" t="str" cm="1">
        <f t="array" ref="P390">_xlfn.IFS(K390="Rob","Robusta",K390="Exc","Excelsa",K390="Ara","Arabica",K390="Lib","Liberica")</f>
        <v>Robusta</v>
      </c>
      <c r="Q390" t="str" cm="1">
        <f t="array" ref="Q390">_xlfn.IFS(L390="M","Medium",L390="L","Light",L390="D","Dark")</f>
        <v>Light</v>
      </c>
      <c r="R390" t="str">
        <f>_xlfn.XLOOKUP(Orders[[#This Row],[Customer ID]],customers!$A$1:$A$1001,customers!$I$1:$I$1001)</f>
        <v>No</v>
      </c>
    </row>
    <row r="391" spans="1:18" x14ac:dyDescent="0.35">
      <c r="A391" s="2" t="s">
        <v>4574</v>
      </c>
      <c r="B391" s="4">
        <v>44470</v>
      </c>
      <c r="C391" s="23">
        <f>Orders[[#This Row],[Order Date]]</f>
        <v>44470</v>
      </c>
      <c r="D391" s="2">
        <f>YEAR(Orders[[#This Row],[Order Date]])</f>
        <v>2021</v>
      </c>
      <c r="E391" s="2" t="s">
        <v>4575</v>
      </c>
      <c r="F391" t="s">
        <v>6166</v>
      </c>
      <c r="G391" s="20">
        <v>2</v>
      </c>
      <c r="H391" s="2" t="str">
        <f>INDEX(customers!$A$1:$I$1001,MATCH($E391,customers!$A$1:$A$1001,),MATCH($H$1,customers!$A$1:$I$1,0))</f>
        <v>Gay Eilhersen</v>
      </c>
      <c r="I391" s="2" t="str">
        <f>IF(INDEX(customers!$A$1:$I$1001,MATCH($E391,customers!$A$1:$A$1001,0),3)=0,"",INDEX(customers!$A$1:$I$1001,MATCH($E391,customers!$A$1:$A$1001,0),3))</f>
        <v>geilhersenk3@networksolutions.com</v>
      </c>
      <c r="J391" s="2" t="str">
        <f>_xlfn.XLOOKUP(E391,customers!$A$1:$A$1001,customers!$G$1:$G$1001)</f>
        <v>United States</v>
      </c>
      <c r="K391" t="str">
        <f>INDEX(products!$A$1:$G$49,MATCH($F391,products!$A$1:$A$49,0),MATCH(K$1,products!$A$1:$G$1,0))</f>
        <v>Exc</v>
      </c>
      <c r="L391" t="str">
        <f>INDEX(products!$A$1:$G$49,MATCH($F391,products!$A$1:$A$49,0),MATCH(L$1,products!$A$1:$G$1,0))</f>
        <v>M</v>
      </c>
      <c r="M391" s="5">
        <f>INDEX(products!$A$1:$G$49,MATCH($F391,products!$A$1:$A$49,0),MATCH(M$1,products!$A$1:$G$1,0))</f>
        <v>2.5</v>
      </c>
      <c r="N391" s="7">
        <f>INDEX(products!$A$1:$G$49,MATCH($F391,products!$A$1:$A$49,0),MATCH(N$1,products!$A$1:$G$1,0))</f>
        <v>31.624999999999996</v>
      </c>
      <c r="O391" s="7">
        <f t="shared" si="6"/>
        <v>63.249999999999993</v>
      </c>
      <c r="P391" t="str" cm="1">
        <f t="array" ref="P391">_xlfn.IFS(K391="Rob","Robusta",K391="Exc","Excelsa",K391="Ara","Arabica",K391="Lib","Liberica")</f>
        <v>Excelsa</v>
      </c>
      <c r="Q391" t="str" cm="1">
        <f t="array" ref="Q391">_xlfn.IFS(L391="M","Medium",L391="L","Light",L391="D","Dark")</f>
        <v>Medium</v>
      </c>
      <c r="R391" t="str">
        <f>_xlfn.XLOOKUP(Orders[[#This Row],[Customer ID]],customers!$A$1:$A$1001,customers!$I$1:$I$1001)</f>
        <v>No</v>
      </c>
    </row>
    <row r="392" spans="1:18" x14ac:dyDescent="0.35">
      <c r="A392" s="2" t="s">
        <v>878</v>
      </c>
      <c r="B392" s="4">
        <v>43795</v>
      </c>
      <c r="C392" s="23">
        <f>Orders[[#This Row],[Order Date]]</f>
        <v>43795</v>
      </c>
      <c r="D392" s="2">
        <f>YEAR(Orders[[#This Row],[Order Date]])</f>
        <v>2019</v>
      </c>
      <c r="E392" s="2" t="s">
        <v>879</v>
      </c>
      <c r="F392" t="s">
        <v>6138</v>
      </c>
      <c r="G392" s="20">
        <v>6</v>
      </c>
      <c r="H392" s="2" t="str">
        <f>INDEX(customers!$A$1:$I$1001,MATCH($E392,customers!$A$1:$A$1001,),MATCH($H$1,customers!$A$1:$I$1,0))</f>
        <v>Gay Rizzello</v>
      </c>
      <c r="I392" s="2" t="str">
        <f>IF(INDEX(customers!$A$1:$I$1001,MATCH($E392,customers!$A$1:$A$1001,0),3)=0,"",INDEX(customers!$A$1:$I$1001,MATCH($E392,customers!$A$1:$A$1001,0),3))</f>
        <v>grizzello1x@symantec.com</v>
      </c>
      <c r="J392" s="2" t="str">
        <f>_xlfn.XLOOKUP(E392,customers!$A$1:$A$1001,customers!$G$1:$G$1001)</f>
        <v>United Kingdom</v>
      </c>
      <c r="K392" t="str">
        <f>INDEX(products!$A$1:$G$49,MATCH($F392,products!$A$1:$A$49,0),MATCH(K$1,products!$A$1:$G$1,0))</f>
        <v>Rob</v>
      </c>
      <c r="L392" t="str">
        <f>INDEX(products!$A$1:$G$49,MATCH($F392,products!$A$1:$A$49,0),MATCH(L$1,products!$A$1:$G$1,0))</f>
        <v>M</v>
      </c>
      <c r="M392" s="5">
        <f>INDEX(products!$A$1:$G$49,MATCH($F392,products!$A$1:$A$49,0),MATCH(M$1,products!$A$1:$G$1,0))</f>
        <v>1</v>
      </c>
      <c r="N392" s="7">
        <f>INDEX(products!$A$1:$G$49,MATCH($F392,products!$A$1:$A$49,0),MATCH(N$1,products!$A$1:$G$1,0))</f>
        <v>9.9499999999999993</v>
      </c>
      <c r="O392" s="7">
        <f t="shared" si="6"/>
        <v>59.699999999999996</v>
      </c>
      <c r="P392" t="str" cm="1">
        <f t="array" ref="P392">_xlfn.IFS(K392="Rob","Robusta",K392="Exc","Excelsa",K392="Ara","Arabica",K392="Lib","Liberica")</f>
        <v>Robusta</v>
      </c>
      <c r="Q392" t="str" cm="1">
        <f t="array" ref="Q392">_xlfn.IFS(L392="M","Medium",L392="L","Light",L392="D","Dark")</f>
        <v>Medium</v>
      </c>
      <c r="R392" t="str">
        <f>_xlfn.XLOOKUP(Orders[[#This Row],[Customer ID]],customers!$A$1:$A$1001,customers!$I$1:$I$1001)</f>
        <v>Yes</v>
      </c>
    </row>
    <row r="393" spans="1:18" x14ac:dyDescent="0.35">
      <c r="A393" s="2" t="s">
        <v>1140</v>
      </c>
      <c r="B393" s="4">
        <v>44054</v>
      </c>
      <c r="C393" s="23">
        <f>Orders[[#This Row],[Order Date]]</f>
        <v>44054</v>
      </c>
      <c r="D393" s="2">
        <f>YEAR(Orders[[#This Row],[Order Date]])</f>
        <v>2020</v>
      </c>
      <c r="E393" s="2" t="s">
        <v>1141</v>
      </c>
      <c r="F393" t="s">
        <v>6145</v>
      </c>
      <c r="G393" s="20">
        <v>4</v>
      </c>
      <c r="H393" s="2" t="str">
        <f>INDEX(customers!$A$1:$I$1001,MATCH($E393,customers!$A$1:$A$1001,),MATCH($H$1,customers!$A$1:$I$1,0))</f>
        <v>Geneva Standley</v>
      </c>
      <c r="I393" s="2" t="str">
        <f>IF(INDEX(customers!$A$1:$I$1001,MATCH($E393,customers!$A$1:$A$1001,0),3)=0,"",INDEX(customers!$A$1:$I$1001,MATCH($E393,customers!$A$1:$A$1001,0),3))</f>
        <v>gstandley38@dion.ne.jp</v>
      </c>
      <c r="J393" s="2" t="str">
        <f>_xlfn.XLOOKUP(E393,customers!$A$1:$A$1001,customers!$G$1:$G$1001)</f>
        <v>Ireland</v>
      </c>
      <c r="K393" t="str">
        <f>INDEX(products!$A$1:$G$49,MATCH($F393,products!$A$1:$A$49,0),MATCH(K$1,products!$A$1:$G$1,0))</f>
        <v>Lib</v>
      </c>
      <c r="L393" t="str">
        <f>INDEX(products!$A$1:$G$49,MATCH($F393,products!$A$1:$A$49,0),MATCH(L$1,products!$A$1:$G$1,0))</f>
        <v>L</v>
      </c>
      <c r="M393" s="5">
        <f>INDEX(products!$A$1:$G$49,MATCH($F393,products!$A$1:$A$49,0),MATCH(M$1,products!$A$1:$G$1,0))</f>
        <v>0.2</v>
      </c>
      <c r="N393" s="7">
        <f>INDEX(products!$A$1:$G$49,MATCH($F393,products!$A$1:$A$49,0),MATCH(N$1,products!$A$1:$G$1,0))</f>
        <v>4.7549999999999999</v>
      </c>
      <c r="O393" s="7">
        <f t="shared" si="6"/>
        <v>19.02</v>
      </c>
      <c r="P393" t="str" cm="1">
        <f t="array" ref="P393">_xlfn.IFS(K393="Rob","Robusta",K393="Exc","Excelsa",K393="Ara","Arabica",K393="Lib","Liberica")</f>
        <v>Liberica</v>
      </c>
      <c r="Q393" t="str" cm="1">
        <f t="array" ref="Q393">_xlfn.IFS(L393="M","Medium",L393="L","Light",L393="D","Dark")</f>
        <v>Light</v>
      </c>
      <c r="R393" t="str">
        <f>_xlfn.XLOOKUP(Orders[[#This Row],[Customer ID]],customers!$A$1:$A$1001,customers!$I$1:$I$1001)</f>
        <v>Yes</v>
      </c>
    </row>
    <row r="394" spans="1:18" x14ac:dyDescent="0.35">
      <c r="A394" s="2" t="s">
        <v>5803</v>
      </c>
      <c r="B394" s="4">
        <v>44332</v>
      </c>
      <c r="C394" s="23">
        <f>Orders[[#This Row],[Order Date]]</f>
        <v>44332</v>
      </c>
      <c r="D394" s="2">
        <f>YEAR(Orders[[#This Row],[Order Date]])</f>
        <v>2021</v>
      </c>
      <c r="E394" s="2" t="s">
        <v>5804</v>
      </c>
      <c r="F394" t="s">
        <v>6173</v>
      </c>
      <c r="G394" s="20">
        <v>2</v>
      </c>
      <c r="H394" s="2" t="str">
        <f>INDEX(customers!$A$1:$I$1001,MATCH($E394,customers!$A$1:$A$1001,),MATCH($H$1,customers!$A$1:$I$1,0))</f>
        <v>Geoffrey Siuda</v>
      </c>
      <c r="I394" s="2" t="str">
        <f>IF(INDEX(customers!$A$1:$I$1001,MATCH($E394,customers!$A$1:$A$1001,0),3)=0,"",INDEX(customers!$A$1:$I$1001,MATCH($E394,customers!$A$1:$A$1001,0),3))</f>
        <v>gsiudaq4@nytimes.com</v>
      </c>
      <c r="J394" s="2" t="str">
        <f>_xlfn.XLOOKUP(E394,customers!$A$1:$A$1001,customers!$G$1:$G$1001)</f>
        <v>United States</v>
      </c>
      <c r="K394" t="str">
        <f>INDEX(products!$A$1:$G$49,MATCH($F394,products!$A$1:$A$49,0),MATCH(K$1,products!$A$1:$G$1,0))</f>
        <v>Rob</v>
      </c>
      <c r="L394" t="str">
        <f>INDEX(products!$A$1:$G$49,MATCH($F394,products!$A$1:$A$49,0),MATCH(L$1,products!$A$1:$G$1,0))</f>
        <v>L</v>
      </c>
      <c r="M394" s="5">
        <f>INDEX(products!$A$1:$G$49,MATCH($F394,products!$A$1:$A$49,0),MATCH(M$1,products!$A$1:$G$1,0))</f>
        <v>0.5</v>
      </c>
      <c r="N394" s="7">
        <f>INDEX(products!$A$1:$G$49,MATCH($F394,products!$A$1:$A$49,0),MATCH(N$1,products!$A$1:$G$1,0))</f>
        <v>7.169999999999999</v>
      </c>
      <c r="O394" s="7">
        <f t="shared" si="6"/>
        <v>14.339999999999998</v>
      </c>
      <c r="P394" t="str" cm="1">
        <f t="array" ref="P394">_xlfn.IFS(K394="Rob","Robusta",K394="Exc","Excelsa",K394="Ara","Arabica",K394="Lib","Liberica")</f>
        <v>Robusta</v>
      </c>
      <c r="Q394" t="str" cm="1">
        <f t="array" ref="Q394">_xlfn.IFS(L394="M","Medium",L394="L","Light",L394="D","Dark")</f>
        <v>Light</v>
      </c>
      <c r="R394" t="str">
        <f>_xlfn.XLOOKUP(Orders[[#This Row],[Customer ID]],customers!$A$1:$A$1001,customers!$I$1:$I$1001)</f>
        <v>Yes</v>
      </c>
    </row>
    <row r="395" spans="1:18" x14ac:dyDescent="0.35">
      <c r="A395" s="2" t="s">
        <v>1878</v>
      </c>
      <c r="B395" s="4">
        <v>44542</v>
      </c>
      <c r="C395" s="23">
        <f>Orders[[#This Row],[Order Date]]</f>
        <v>44542</v>
      </c>
      <c r="D395" s="2">
        <f>YEAR(Orders[[#This Row],[Order Date]])</f>
        <v>2021</v>
      </c>
      <c r="E395" s="2" t="s">
        <v>1879</v>
      </c>
      <c r="F395" t="s">
        <v>6143</v>
      </c>
      <c r="G395" s="20">
        <v>3</v>
      </c>
      <c r="H395" s="2" t="str">
        <f>INDEX(customers!$A$1:$I$1001,MATCH($E395,customers!$A$1:$A$1001,),MATCH($H$1,customers!$A$1:$I$1,0))</f>
        <v>Georgena Bentjens</v>
      </c>
      <c r="I395" s="2" t="str">
        <f>IF(INDEX(customers!$A$1:$I$1001,MATCH($E395,customers!$A$1:$A$1001,0),3)=0,"",INDEX(customers!$A$1:$I$1001,MATCH($E395,customers!$A$1:$A$1001,0),3))</f>
        <v>gbentjens6u@netlog.com</v>
      </c>
      <c r="J395" s="2" t="str">
        <f>_xlfn.XLOOKUP(E395,customers!$A$1:$A$1001,customers!$G$1:$G$1001)</f>
        <v>United Kingdom</v>
      </c>
      <c r="K395" t="str">
        <f>INDEX(products!$A$1:$G$49,MATCH($F395,products!$A$1:$A$49,0),MATCH(K$1,products!$A$1:$G$1,0))</f>
        <v>Lib</v>
      </c>
      <c r="L395" t="str">
        <f>INDEX(products!$A$1:$G$49,MATCH($F395,products!$A$1:$A$49,0),MATCH(L$1,products!$A$1:$G$1,0))</f>
        <v>D</v>
      </c>
      <c r="M395" s="5">
        <f>INDEX(products!$A$1:$G$49,MATCH($F395,products!$A$1:$A$49,0),MATCH(M$1,products!$A$1:$G$1,0))</f>
        <v>1</v>
      </c>
      <c r="N395" s="7">
        <f>INDEX(products!$A$1:$G$49,MATCH($F395,products!$A$1:$A$49,0),MATCH(N$1,products!$A$1:$G$1,0))</f>
        <v>12.95</v>
      </c>
      <c r="O395" s="7">
        <f t="shared" si="6"/>
        <v>38.849999999999994</v>
      </c>
      <c r="P395" t="str" cm="1">
        <f t="array" ref="P395">_xlfn.IFS(K395="Rob","Robusta",K395="Exc","Excelsa",K395="Ara","Arabica",K395="Lib","Liberica")</f>
        <v>Liberica</v>
      </c>
      <c r="Q395" t="str" cm="1">
        <f t="array" ref="Q395">_xlfn.IFS(L395="M","Medium",L395="L","Light",L395="D","Dark")</f>
        <v>Dark</v>
      </c>
      <c r="R395" t="str">
        <f>_xlfn.XLOOKUP(Orders[[#This Row],[Customer ID]],customers!$A$1:$A$1001,customers!$I$1:$I$1001)</f>
        <v>No</v>
      </c>
    </row>
    <row r="396" spans="1:18" x14ac:dyDescent="0.35">
      <c r="A396" s="2" t="s">
        <v>1328</v>
      </c>
      <c r="B396" s="4">
        <v>44108</v>
      </c>
      <c r="C396" s="23">
        <f>Orders[[#This Row],[Order Date]]</f>
        <v>44108</v>
      </c>
      <c r="D396" s="2">
        <f>YEAR(Orders[[#This Row],[Order Date]])</f>
        <v>2020</v>
      </c>
      <c r="E396" s="2" t="s">
        <v>1329</v>
      </c>
      <c r="F396" t="s">
        <v>6175</v>
      </c>
      <c r="G396" s="20">
        <v>2</v>
      </c>
      <c r="H396" s="2" t="str">
        <f>INDEX(customers!$A$1:$I$1001,MATCH($E396,customers!$A$1:$A$1001,),MATCH($H$1,customers!$A$1:$I$1,0))</f>
        <v>Gerard Pirdy</v>
      </c>
      <c r="I396" s="2" t="str">
        <f>IF(INDEX(customers!$A$1:$I$1001,MATCH($E396,customers!$A$1:$A$1001,0),3)=0,"",INDEX(customers!$A$1:$I$1001,MATCH($E396,customers!$A$1:$A$1001,0),3))</f>
        <v/>
      </c>
      <c r="J396" s="2" t="str">
        <f>_xlfn.XLOOKUP(E396,customers!$A$1:$A$1001,customers!$G$1:$G$1001)</f>
        <v>United States</v>
      </c>
      <c r="K396" t="str">
        <f>INDEX(products!$A$1:$G$49,MATCH($F396,products!$A$1:$A$49,0),MATCH(K$1,products!$A$1:$G$1,0))</f>
        <v>Ara</v>
      </c>
      <c r="L396" t="str">
        <f>INDEX(products!$A$1:$G$49,MATCH($F396,products!$A$1:$A$49,0),MATCH(L$1,products!$A$1:$G$1,0))</f>
        <v>M</v>
      </c>
      <c r="M396" s="5">
        <f>INDEX(products!$A$1:$G$49,MATCH($F396,products!$A$1:$A$49,0),MATCH(M$1,products!$A$1:$G$1,0))</f>
        <v>2.5</v>
      </c>
      <c r="N396" s="7">
        <f>INDEX(products!$A$1:$G$49,MATCH($F396,products!$A$1:$A$49,0),MATCH(N$1,products!$A$1:$G$1,0))</f>
        <v>25.874999999999996</v>
      </c>
      <c r="O396" s="7">
        <f t="shared" si="6"/>
        <v>51.749999999999993</v>
      </c>
      <c r="P396" t="str" cm="1">
        <f t="array" ref="P396">_xlfn.IFS(K396="Rob","Robusta",K396="Exc","Excelsa",K396="Ara","Arabica",K396="Lib","Liberica")</f>
        <v>Arabica</v>
      </c>
      <c r="Q396" t="str" cm="1">
        <f t="array" ref="Q396">_xlfn.IFS(L396="M","Medium",L396="L","Light",L396="D","Dark")</f>
        <v>Medium</v>
      </c>
      <c r="R396" t="str">
        <f>_xlfn.XLOOKUP(Orders[[#This Row],[Customer ID]],customers!$A$1:$A$1001,customers!$I$1:$I$1001)</f>
        <v>Yes</v>
      </c>
    </row>
    <row r="397" spans="1:18" x14ac:dyDescent="0.35">
      <c r="A397" s="2" t="s">
        <v>1407</v>
      </c>
      <c r="B397" s="4">
        <v>43619</v>
      </c>
      <c r="C397" s="23">
        <f>Orders[[#This Row],[Order Date]]</f>
        <v>43619</v>
      </c>
      <c r="D397" s="2">
        <f>YEAR(Orders[[#This Row],[Order Date]])</f>
        <v>2019</v>
      </c>
      <c r="E397" s="2" t="s">
        <v>1408</v>
      </c>
      <c r="F397" t="s">
        <v>6163</v>
      </c>
      <c r="G397" s="20">
        <v>6</v>
      </c>
      <c r="H397" s="2" t="str">
        <f>INDEX(customers!$A$1:$I$1001,MATCH($E397,customers!$A$1:$A$1001,),MATCH($H$1,customers!$A$1:$I$1,0))</f>
        <v>Gerardo Schonfeld</v>
      </c>
      <c r="I397" s="2" t="str">
        <f>IF(INDEX(customers!$A$1:$I$1001,MATCH($E397,customers!$A$1:$A$1001,0),3)=0,"",INDEX(customers!$A$1:$I$1001,MATCH($E397,customers!$A$1:$A$1001,0),3))</f>
        <v>gschonfeld4j@oracle.com</v>
      </c>
      <c r="J397" s="2" t="str">
        <f>_xlfn.XLOOKUP(E397,customers!$A$1:$A$1001,customers!$G$1:$G$1001)</f>
        <v>United States</v>
      </c>
      <c r="K397" t="str">
        <f>INDEX(products!$A$1:$G$49,MATCH($F397,products!$A$1:$A$49,0),MATCH(K$1,products!$A$1:$G$1,0))</f>
        <v>Rob</v>
      </c>
      <c r="L397" t="str">
        <f>INDEX(products!$A$1:$G$49,MATCH($F397,products!$A$1:$A$49,0),MATCH(L$1,products!$A$1:$G$1,0))</f>
        <v>D</v>
      </c>
      <c r="M397" s="5">
        <f>INDEX(products!$A$1:$G$49,MATCH($F397,products!$A$1:$A$49,0),MATCH(M$1,products!$A$1:$G$1,0))</f>
        <v>0.2</v>
      </c>
      <c r="N397" s="7">
        <f>INDEX(products!$A$1:$G$49,MATCH($F397,products!$A$1:$A$49,0),MATCH(N$1,products!$A$1:$G$1,0))</f>
        <v>2.6849999999999996</v>
      </c>
      <c r="O397" s="7">
        <f t="shared" si="6"/>
        <v>16.11</v>
      </c>
      <c r="P397" t="str" cm="1">
        <f t="array" ref="P397">_xlfn.IFS(K397="Rob","Robusta",K397="Exc","Excelsa",K397="Ara","Arabica",K397="Lib","Liberica")</f>
        <v>Robusta</v>
      </c>
      <c r="Q397" t="str" cm="1">
        <f t="array" ref="Q397">_xlfn.IFS(L397="M","Medium",L397="L","Light",L397="D","Dark")</f>
        <v>Dark</v>
      </c>
      <c r="R397" t="str">
        <f>_xlfn.XLOOKUP(Orders[[#This Row],[Customer ID]],customers!$A$1:$A$1001,customers!$I$1:$I$1001)</f>
        <v>No</v>
      </c>
    </row>
    <row r="398" spans="1:18" x14ac:dyDescent="0.35">
      <c r="A398" s="2" t="s">
        <v>1322</v>
      </c>
      <c r="B398" s="4">
        <v>44551</v>
      </c>
      <c r="C398" s="23">
        <f>Orders[[#This Row],[Order Date]]</f>
        <v>44551</v>
      </c>
      <c r="D398" s="2">
        <f>YEAR(Orders[[#This Row],[Order Date]])</f>
        <v>2021</v>
      </c>
      <c r="E398" s="2" t="s">
        <v>1323</v>
      </c>
      <c r="F398" t="s">
        <v>6153</v>
      </c>
      <c r="G398" s="20">
        <v>5</v>
      </c>
      <c r="H398" s="2" t="str">
        <f>INDEX(customers!$A$1:$I$1001,MATCH($E398,customers!$A$1:$A$1001,),MATCH($H$1,customers!$A$1:$I$1,0))</f>
        <v>Giacobo Skingle</v>
      </c>
      <c r="I398" s="2" t="str">
        <f>IF(INDEX(customers!$A$1:$I$1001,MATCH($E398,customers!$A$1:$A$1001,0),3)=0,"",INDEX(customers!$A$1:$I$1001,MATCH($E398,customers!$A$1:$A$1001,0),3))</f>
        <v>gskingle44@clickbank.net</v>
      </c>
      <c r="J398" s="2" t="str">
        <f>_xlfn.XLOOKUP(E398,customers!$A$1:$A$1001,customers!$G$1:$G$1001)</f>
        <v>United States</v>
      </c>
      <c r="K398" t="str">
        <f>INDEX(products!$A$1:$G$49,MATCH($F398,products!$A$1:$A$49,0),MATCH(K$1,products!$A$1:$G$1,0))</f>
        <v>Exc</v>
      </c>
      <c r="L398" t="str">
        <f>INDEX(products!$A$1:$G$49,MATCH($F398,products!$A$1:$A$49,0),MATCH(L$1,products!$A$1:$G$1,0))</f>
        <v>D</v>
      </c>
      <c r="M398" s="5">
        <f>INDEX(products!$A$1:$G$49,MATCH($F398,products!$A$1:$A$49,0),MATCH(M$1,products!$A$1:$G$1,0))</f>
        <v>0.2</v>
      </c>
      <c r="N398" s="7">
        <f>INDEX(products!$A$1:$G$49,MATCH($F398,products!$A$1:$A$49,0),MATCH(N$1,products!$A$1:$G$1,0))</f>
        <v>3.645</v>
      </c>
      <c r="O398" s="7">
        <f t="shared" si="6"/>
        <v>18.225000000000001</v>
      </c>
      <c r="P398" t="str" cm="1">
        <f t="array" ref="P398">_xlfn.IFS(K398="Rob","Robusta",K398="Exc","Excelsa",K398="Ara","Arabica",K398="Lib","Liberica")</f>
        <v>Excelsa</v>
      </c>
      <c r="Q398" t="str" cm="1">
        <f t="array" ref="Q398">_xlfn.IFS(L398="M","Medium",L398="L","Light",L398="D","Dark")</f>
        <v>Dark</v>
      </c>
      <c r="R398" t="str">
        <f>_xlfn.XLOOKUP(Orders[[#This Row],[Customer ID]],customers!$A$1:$A$1001,customers!$I$1:$I$1001)</f>
        <v>Yes</v>
      </c>
    </row>
    <row r="399" spans="1:18" x14ac:dyDescent="0.35">
      <c r="A399" s="2" t="s">
        <v>4169</v>
      </c>
      <c r="B399" s="4">
        <v>44084</v>
      </c>
      <c r="C399" s="23">
        <f>Orders[[#This Row],[Order Date]]</f>
        <v>44084</v>
      </c>
      <c r="D399" s="2">
        <f>YEAR(Orders[[#This Row],[Order Date]])</f>
        <v>2020</v>
      </c>
      <c r="E399" s="2" t="s">
        <v>4170</v>
      </c>
      <c r="F399" t="s">
        <v>6179</v>
      </c>
      <c r="G399" s="20">
        <v>4</v>
      </c>
      <c r="H399" s="2" t="str">
        <f>INDEX(customers!$A$1:$I$1001,MATCH($E399,customers!$A$1:$A$1001,),MATCH($H$1,customers!$A$1:$I$1,0))</f>
        <v>Giana Tonnesen</v>
      </c>
      <c r="I399" s="2" t="str">
        <f>IF(INDEX(customers!$A$1:$I$1001,MATCH($E399,customers!$A$1:$A$1001,0),3)=0,"",INDEX(customers!$A$1:$I$1001,MATCH($E399,customers!$A$1:$A$1001,0),3))</f>
        <v/>
      </c>
      <c r="J399" s="2" t="str">
        <f>_xlfn.XLOOKUP(E399,customers!$A$1:$A$1001,customers!$G$1:$G$1001)</f>
        <v>United States</v>
      </c>
      <c r="K399" t="str">
        <f>INDEX(products!$A$1:$G$49,MATCH($F399,products!$A$1:$A$49,0),MATCH(K$1,products!$A$1:$G$1,0))</f>
        <v>Rob</v>
      </c>
      <c r="L399" t="str">
        <f>INDEX(products!$A$1:$G$49,MATCH($F399,products!$A$1:$A$49,0),MATCH(L$1,products!$A$1:$G$1,0))</f>
        <v>L</v>
      </c>
      <c r="M399" s="5">
        <f>INDEX(products!$A$1:$G$49,MATCH($F399,products!$A$1:$A$49,0),MATCH(M$1,products!$A$1:$G$1,0))</f>
        <v>1</v>
      </c>
      <c r="N399" s="7">
        <f>INDEX(products!$A$1:$G$49,MATCH($F399,products!$A$1:$A$49,0),MATCH(N$1,products!$A$1:$G$1,0))</f>
        <v>11.95</v>
      </c>
      <c r="O399" s="7">
        <f t="shared" si="6"/>
        <v>47.8</v>
      </c>
      <c r="P399" t="str" cm="1">
        <f t="array" ref="P399">_xlfn.IFS(K399="Rob","Robusta",K399="Exc","Excelsa",K399="Ara","Arabica",K399="Lib","Liberica")</f>
        <v>Robusta</v>
      </c>
      <c r="Q399" t="str" cm="1">
        <f t="array" ref="Q399">_xlfn.IFS(L399="M","Medium",L399="L","Light",L399="D","Dark")</f>
        <v>Light</v>
      </c>
      <c r="R399" t="str">
        <f>_xlfn.XLOOKUP(Orders[[#This Row],[Customer ID]],customers!$A$1:$A$1001,customers!$I$1:$I$1001)</f>
        <v>No</v>
      </c>
    </row>
    <row r="400" spans="1:18" x14ac:dyDescent="0.35">
      <c r="A400" s="2" t="s">
        <v>4528</v>
      </c>
      <c r="B400" s="4">
        <v>44504</v>
      </c>
      <c r="C400" s="23">
        <f>Orders[[#This Row],[Order Date]]</f>
        <v>44504</v>
      </c>
      <c r="D400" s="2">
        <f>YEAR(Orders[[#This Row],[Order Date]])</f>
        <v>2021</v>
      </c>
      <c r="E400" s="2" t="s">
        <v>4529</v>
      </c>
      <c r="F400" t="s">
        <v>6171</v>
      </c>
      <c r="G400" s="20">
        <v>6</v>
      </c>
      <c r="H400" s="2" t="str">
        <f>INDEX(customers!$A$1:$I$1001,MATCH($E400,customers!$A$1:$A$1001,),MATCH($H$1,customers!$A$1:$I$1,0))</f>
        <v>Gilberto Cornier</v>
      </c>
      <c r="I400" s="2" t="str">
        <f>IF(INDEX(customers!$A$1:$I$1001,MATCH($E400,customers!$A$1:$A$1001,0),3)=0,"",INDEX(customers!$A$1:$I$1001,MATCH($E400,customers!$A$1:$A$1001,0),3))</f>
        <v>gcornierjv@techcrunch.com</v>
      </c>
      <c r="J400" s="2" t="str">
        <f>_xlfn.XLOOKUP(E400,customers!$A$1:$A$1001,customers!$G$1:$G$1001)</f>
        <v>United States</v>
      </c>
      <c r="K400" t="str">
        <f>INDEX(products!$A$1:$G$49,MATCH($F400,products!$A$1:$A$49,0),MATCH(K$1,products!$A$1:$G$1,0))</f>
        <v>Exc</v>
      </c>
      <c r="L400" t="str">
        <f>INDEX(products!$A$1:$G$49,MATCH($F400,products!$A$1:$A$49,0),MATCH(L$1,products!$A$1:$G$1,0))</f>
        <v>L</v>
      </c>
      <c r="M400" s="5">
        <f>INDEX(products!$A$1:$G$49,MATCH($F400,products!$A$1:$A$49,0),MATCH(M$1,products!$A$1:$G$1,0))</f>
        <v>1</v>
      </c>
      <c r="N400" s="7">
        <f>INDEX(products!$A$1:$G$49,MATCH($F400,products!$A$1:$A$49,0),MATCH(N$1,products!$A$1:$G$1,0))</f>
        <v>14.85</v>
      </c>
      <c r="O400" s="7">
        <f t="shared" si="6"/>
        <v>89.1</v>
      </c>
      <c r="P400" t="str" cm="1">
        <f t="array" ref="P400">_xlfn.IFS(K400="Rob","Robusta",K400="Exc","Excelsa",K400="Ara","Arabica",K400="Lib","Liberica")</f>
        <v>Excelsa</v>
      </c>
      <c r="Q400" t="str" cm="1">
        <f t="array" ref="Q400">_xlfn.IFS(L400="M","Medium",L400="L","Light",L400="D","Dark")</f>
        <v>Light</v>
      </c>
      <c r="R400" t="str">
        <f>_xlfn.XLOOKUP(Orders[[#This Row],[Customer ID]],customers!$A$1:$A$1001,customers!$I$1:$I$1001)</f>
        <v>No</v>
      </c>
    </row>
    <row r="401" spans="1:18" x14ac:dyDescent="0.35">
      <c r="A401" s="2" t="s">
        <v>2803</v>
      </c>
      <c r="B401" s="4">
        <v>44441</v>
      </c>
      <c r="C401" s="23">
        <f>Orders[[#This Row],[Order Date]]</f>
        <v>44441</v>
      </c>
      <c r="D401" s="2">
        <f>YEAR(Orders[[#This Row],[Order Date]])</f>
        <v>2021</v>
      </c>
      <c r="E401" s="2" t="s">
        <v>2804</v>
      </c>
      <c r="F401" t="s">
        <v>6167</v>
      </c>
      <c r="G401" s="20">
        <v>4</v>
      </c>
      <c r="H401" s="2" t="str">
        <f>INDEX(customers!$A$1:$I$1001,MATCH($E401,customers!$A$1:$A$1001,),MATCH($H$1,customers!$A$1:$I$1,0))</f>
        <v>Giordano Lorenzin</v>
      </c>
      <c r="I401" s="2" t="str">
        <f>IF(INDEX(customers!$A$1:$I$1001,MATCH($E401,customers!$A$1:$A$1001,0),3)=0,"",INDEX(customers!$A$1:$I$1001,MATCH($E401,customers!$A$1:$A$1001,0),3))</f>
        <v/>
      </c>
      <c r="J401" s="2" t="str">
        <f>_xlfn.XLOOKUP(E401,customers!$A$1:$A$1001,customers!$G$1:$G$1001)</f>
        <v>United States</v>
      </c>
      <c r="K401" t="str">
        <f>INDEX(products!$A$1:$G$49,MATCH($F401,products!$A$1:$A$49,0),MATCH(K$1,products!$A$1:$G$1,0))</f>
        <v>Ara</v>
      </c>
      <c r="L401" t="str">
        <f>INDEX(products!$A$1:$G$49,MATCH($F401,products!$A$1:$A$49,0),MATCH(L$1,products!$A$1:$G$1,0))</f>
        <v>L</v>
      </c>
      <c r="M401" s="5">
        <f>INDEX(products!$A$1:$G$49,MATCH($F401,products!$A$1:$A$49,0),MATCH(M$1,products!$A$1:$G$1,0))</f>
        <v>0.2</v>
      </c>
      <c r="N401" s="7">
        <f>INDEX(products!$A$1:$G$49,MATCH($F401,products!$A$1:$A$49,0),MATCH(N$1,products!$A$1:$G$1,0))</f>
        <v>3.8849999999999998</v>
      </c>
      <c r="O401" s="7">
        <f t="shared" si="6"/>
        <v>15.54</v>
      </c>
      <c r="P401" t="str" cm="1">
        <f t="array" ref="P401">_xlfn.IFS(K401="Rob","Robusta",K401="Exc","Excelsa",K401="Ara","Arabica",K401="Lib","Liberica")</f>
        <v>Arabica</v>
      </c>
      <c r="Q401" t="str" cm="1">
        <f t="array" ref="Q401">_xlfn.IFS(L401="M","Medium",L401="L","Light",L401="D","Dark")</f>
        <v>Light</v>
      </c>
      <c r="R401" t="str">
        <f>_xlfn.XLOOKUP(Orders[[#This Row],[Customer ID]],customers!$A$1:$A$1001,customers!$I$1:$I$1001)</f>
        <v>No</v>
      </c>
    </row>
    <row r="402" spans="1:18" x14ac:dyDescent="0.35">
      <c r="A402" s="2" t="s">
        <v>3323</v>
      </c>
      <c r="B402" s="4">
        <v>43467</v>
      </c>
      <c r="C402" s="23">
        <f>Orders[[#This Row],[Order Date]]</f>
        <v>43467</v>
      </c>
      <c r="D402" s="2">
        <f>YEAR(Orders[[#This Row],[Order Date]])</f>
        <v>2019</v>
      </c>
      <c r="E402" s="2" t="s">
        <v>3324</v>
      </c>
      <c r="F402" t="s">
        <v>6174</v>
      </c>
      <c r="G402" s="20">
        <v>4</v>
      </c>
      <c r="H402" s="2" t="str">
        <f>INDEX(customers!$A$1:$I$1001,MATCH($E402,customers!$A$1:$A$1001,),MATCH($H$1,customers!$A$1:$I$1,0))</f>
        <v>Gladi Ducker</v>
      </c>
      <c r="I402" s="2" t="str">
        <f>IF(INDEX(customers!$A$1:$I$1001,MATCH($E402,customers!$A$1:$A$1001,0),3)=0,"",INDEX(customers!$A$1:$I$1001,MATCH($E402,customers!$A$1:$A$1001,0),3))</f>
        <v>gduckerdx@patch.com</v>
      </c>
      <c r="J402" s="2" t="str">
        <f>_xlfn.XLOOKUP(E402,customers!$A$1:$A$1001,customers!$G$1:$G$1001)</f>
        <v>United Kingdom</v>
      </c>
      <c r="K402" t="str">
        <f>INDEX(products!$A$1:$G$49,MATCH($F402,products!$A$1:$A$49,0),MATCH(K$1,products!$A$1:$G$1,0))</f>
        <v>Rob</v>
      </c>
      <c r="L402" t="str">
        <f>INDEX(products!$A$1:$G$49,MATCH($F402,products!$A$1:$A$49,0),MATCH(L$1,products!$A$1:$G$1,0))</f>
        <v>M</v>
      </c>
      <c r="M402" s="5">
        <f>INDEX(products!$A$1:$G$49,MATCH($F402,products!$A$1:$A$49,0),MATCH(M$1,products!$A$1:$G$1,0))</f>
        <v>0.2</v>
      </c>
      <c r="N402" s="7">
        <f>INDEX(products!$A$1:$G$49,MATCH($F402,products!$A$1:$A$49,0),MATCH(N$1,products!$A$1:$G$1,0))</f>
        <v>2.9849999999999999</v>
      </c>
      <c r="O402" s="7">
        <f t="shared" si="6"/>
        <v>11.94</v>
      </c>
      <c r="P402" t="str" cm="1">
        <f t="array" ref="P402">_xlfn.IFS(K402="Rob","Robusta",K402="Exc","Excelsa",K402="Ara","Arabica",K402="Lib","Liberica")</f>
        <v>Robusta</v>
      </c>
      <c r="Q402" t="str" cm="1">
        <f t="array" ref="Q402">_xlfn.IFS(L402="M","Medium",L402="L","Light",L402="D","Dark")</f>
        <v>Medium</v>
      </c>
      <c r="R402" t="str">
        <f>_xlfn.XLOOKUP(Orders[[#This Row],[Customer ID]],customers!$A$1:$A$1001,customers!$I$1:$I$1001)</f>
        <v>No</v>
      </c>
    </row>
    <row r="403" spans="1:18" x14ac:dyDescent="0.35">
      <c r="A403" s="2" t="s">
        <v>3323</v>
      </c>
      <c r="B403" s="4">
        <v>43467</v>
      </c>
      <c r="C403" s="23">
        <f>Orders[[#This Row],[Order Date]]</f>
        <v>43467</v>
      </c>
      <c r="D403" s="2">
        <f>YEAR(Orders[[#This Row],[Order Date]])</f>
        <v>2019</v>
      </c>
      <c r="E403" s="2" t="s">
        <v>3324</v>
      </c>
      <c r="F403" t="s">
        <v>6156</v>
      </c>
      <c r="G403" s="20">
        <v>4</v>
      </c>
      <c r="H403" s="2" t="str">
        <f>INDEX(customers!$A$1:$I$1001,MATCH($E403,customers!$A$1:$A$1001,),MATCH($H$1,customers!$A$1:$I$1,0))</f>
        <v>Gladi Ducker</v>
      </c>
      <c r="I403" s="2" t="str">
        <f>IF(INDEX(customers!$A$1:$I$1001,MATCH($E403,customers!$A$1:$A$1001,0),3)=0,"",INDEX(customers!$A$1:$I$1001,MATCH($E403,customers!$A$1:$A$1001,0),3))</f>
        <v>gduckerdx@patch.com</v>
      </c>
      <c r="J403" s="2" t="str">
        <f>_xlfn.XLOOKUP(E403,customers!$A$1:$A$1001,customers!$G$1:$G$1001)</f>
        <v>United Kingdom</v>
      </c>
      <c r="K403" t="str">
        <f>INDEX(products!$A$1:$G$49,MATCH($F403,products!$A$1:$A$49,0),MATCH(K$1,products!$A$1:$G$1,0))</f>
        <v>Exc</v>
      </c>
      <c r="L403" t="str">
        <f>INDEX(products!$A$1:$G$49,MATCH($F403,products!$A$1:$A$49,0),MATCH(L$1,products!$A$1:$G$1,0))</f>
        <v>M</v>
      </c>
      <c r="M403" s="5">
        <f>INDEX(products!$A$1:$G$49,MATCH($F403,products!$A$1:$A$49,0),MATCH(M$1,products!$A$1:$G$1,0))</f>
        <v>0.2</v>
      </c>
      <c r="N403" s="7">
        <f>INDEX(products!$A$1:$G$49,MATCH($F403,products!$A$1:$A$49,0),MATCH(N$1,products!$A$1:$G$1,0))</f>
        <v>4.125</v>
      </c>
      <c r="O403" s="7">
        <f t="shared" si="6"/>
        <v>16.5</v>
      </c>
      <c r="P403" t="str" cm="1">
        <f t="array" ref="P403">_xlfn.IFS(K403="Rob","Robusta",K403="Exc","Excelsa",K403="Ara","Arabica",K403="Lib","Liberica")</f>
        <v>Excelsa</v>
      </c>
      <c r="Q403" t="str" cm="1">
        <f t="array" ref="Q403">_xlfn.IFS(L403="M","Medium",L403="L","Light",L403="D","Dark")</f>
        <v>Medium</v>
      </c>
      <c r="R403" t="str">
        <f>_xlfn.XLOOKUP(Orders[[#This Row],[Customer ID]],customers!$A$1:$A$1001,customers!$I$1:$I$1001)</f>
        <v>No</v>
      </c>
    </row>
    <row r="404" spans="1:18" x14ac:dyDescent="0.35">
      <c r="A404" s="2" t="s">
        <v>3323</v>
      </c>
      <c r="B404" s="4">
        <v>43467</v>
      </c>
      <c r="C404" s="23">
        <f>Orders[[#This Row],[Order Date]]</f>
        <v>43467</v>
      </c>
      <c r="D404" s="2">
        <f>YEAR(Orders[[#This Row],[Order Date]])</f>
        <v>2019</v>
      </c>
      <c r="E404" s="2" t="s">
        <v>3324</v>
      </c>
      <c r="F404" t="s">
        <v>6143</v>
      </c>
      <c r="G404" s="20">
        <v>4</v>
      </c>
      <c r="H404" s="2" t="str">
        <f>INDEX(customers!$A$1:$I$1001,MATCH($E404,customers!$A$1:$A$1001,),MATCH($H$1,customers!$A$1:$I$1,0))</f>
        <v>Gladi Ducker</v>
      </c>
      <c r="I404" s="2" t="str">
        <f>IF(INDEX(customers!$A$1:$I$1001,MATCH($E404,customers!$A$1:$A$1001,0),3)=0,"",INDEX(customers!$A$1:$I$1001,MATCH($E404,customers!$A$1:$A$1001,0),3))</f>
        <v>gduckerdx@patch.com</v>
      </c>
      <c r="J404" s="2" t="str">
        <f>_xlfn.XLOOKUP(E404,customers!$A$1:$A$1001,customers!$G$1:$G$1001)</f>
        <v>United Kingdom</v>
      </c>
      <c r="K404" t="str">
        <f>INDEX(products!$A$1:$G$49,MATCH($F404,products!$A$1:$A$49,0),MATCH(K$1,products!$A$1:$G$1,0))</f>
        <v>Lib</v>
      </c>
      <c r="L404" t="str">
        <f>INDEX(products!$A$1:$G$49,MATCH($F404,products!$A$1:$A$49,0),MATCH(L$1,products!$A$1:$G$1,0))</f>
        <v>D</v>
      </c>
      <c r="M404" s="5">
        <f>INDEX(products!$A$1:$G$49,MATCH($F404,products!$A$1:$A$49,0),MATCH(M$1,products!$A$1:$G$1,0))</f>
        <v>1</v>
      </c>
      <c r="N404" s="7">
        <f>INDEX(products!$A$1:$G$49,MATCH($F404,products!$A$1:$A$49,0),MATCH(N$1,products!$A$1:$G$1,0))</f>
        <v>12.95</v>
      </c>
      <c r="O404" s="7">
        <f t="shared" si="6"/>
        <v>51.8</v>
      </c>
      <c r="P404" t="str" cm="1">
        <f t="array" ref="P404">_xlfn.IFS(K404="Rob","Robusta",K404="Exc","Excelsa",K404="Ara","Arabica",K404="Lib","Liberica")</f>
        <v>Liberica</v>
      </c>
      <c r="Q404" t="str" cm="1">
        <f t="array" ref="Q404">_xlfn.IFS(L404="M","Medium",L404="L","Light",L404="D","Dark")</f>
        <v>Dark</v>
      </c>
      <c r="R404" t="str">
        <f>_xlfn.XLOOKUP(Orders[[#This Row],[Customer ID]],customers!$A$1:$A$1001,customers!$I$1:$I$1001)</f>
        <v>No</v>
      </c>
    </row>
    <row r="405" spans="1:18" x14ac:dyDescent="0.35">
      <c r="A405" s="2" t="s">
        <v>3323</v>
      </c>
      <c r="B405" s="4">
        <v>43467</v>
      </c>
      <c r="C405" s="23">
        <f>Orders[[#This Row],[Order Date]]</f>
        <v>43467</v>
      </c>
      <c r="D405" s="2">
        <f>YEAR(Orders[[#This Row],[Order Date]])</f>
        <v>2019</v>
      </c>
      <c r="E405" s="2" t="s">
        <v>3324</v>
      </c>
      <c r="F405" t="s">
        <v>6145</v>
      </c>
      <c r="G405" s="20">
        <v>3</v>
      </c>
      <c r="H405" s="2" t="str">
        <f>INDEX(customers!$A$1:$I$1001,MATCH($E405,customers!$A$1:$A$1001,),MATCH($H$1,customers!$A$1:$I$1,0))</f>
        <v>Gladi Ducker</v>
      </c>
      <c r="I405" s="2" t="str">
        <f>IF(INDEX(customers!$A$1:$I$1001,MATCH($E405,customers!$A$1:$A$1001,0),3)=0,"",INDEX(customers!$A$1:$I$1001,MATCH($E405,customers!$A$1:$A$1001,0),3))</f>
        <v>gduckerdx@patch.com</v>
      </c>
      <c r="J405" s="2" t="str">
        <f>_xlfn.XLOOKUP(E405,customers!$A$1:$A$1001,customers!$G$1:$G$1001)</f>
        <v>United Kingdom</v>
      </c>
      <c r="K405" t="str">
        <f>INDEX(products!$A$1:$G$49,MATCH($F405,products!$A$1:$A$49,0),MATCH(K$1,products!$A$1:$G$1,0))</f>
        <v>Lib</v>
      </c>
      <c r="L405" t="str">
        <f>INDEX(products!$A$1:$G$49,MATCH($F405,products!$A$1:$A$49,0),MATCH(L$1,products!$A$1:$G$1,0))</f>
        <v>L</v>
      </c>
      <c r="M405" s="5">
        <f>INDEX(products!$A$1:$G$49,MATCH($F405,products!$A$1:$A$49,0),MATCH(M$1,products!$A$1:$G$1,0))</f>
        <v>0.2</v>
      </c>
      <c r="N405" s="7">
        <f>INDEX(products!$A$1:$G$49,MATCH($F405,products!$A$1:$A$49,0),MATCH(N$1,products!$A$1:$G$1,0))</f>
        <v>4.7549999999999999</v>
      </c>
      <c r="O405" s="7">
        <f t="shared" si="6"/>
        <v>14.265000000000001</v>
      </c>
      <c r="P405" t="str" cm="1">
        <f t="array" ref="P405">_xlfn.IFS(K405="Rob","Robusta",K405="Exc","Excelsa",K405="Ara","Arabica",K405="Lib","Liberica")</f>
        <v>Liberica</v>
      </c>
      <c r="Q405" t="str" cm="1">
        <f t="array" ref="Q405">_xlfn.IFS(L405="M","Medium",L405="L","Light",L405="D","Dark")</f>
        <v>Light</v>
      </c>
      <c r="R405" t="str">
        <f>_xlfn.XLOOKUP(Orders[[#This Row],[Customer ID]],customers!$A$1:$A$1001,customers!$I$1:$I$1001)</f>
        <v>No</v>
      </c>
    </row>
    <row r="406" spans="1:18" x14ac:dyDescent="0.35">
      <c r="A406" s="2" t="s">
        <v>4631</v>
      </c>
      <c r="B406" s="4">
        <v>44565</v>
      </c>
      <c r="C406" s="23">
        <f>Orders[[#This Row],[Order Date]]</f>
        <v>44565</v>
      </c>
      <c r="D406" s="2">
        <f>YEAR(Orders[[#This Row],[Order Date]])</f>
        <v>2022</v>
      </c>
      <c r="E406" s="2" t="s">
        <v>4632</v>
      </c>
      <c r="F406" t="s">
        <v>6181</v>
      </c>
      <c r="G406" s="20">
        <v>3</v>
      </c>
      <c r="H406" s="2" t="str">
        <f>INDEX(customers!$A$1:$I$1001,MATCH($E406,customers!$A$1:$A$1001,),MATCH($H$1,customers!$A$1:$I$1,0))</f>
        <v>Glory Clemon</v>
      </c>
      <c r="I406" s="2" t="str">
        <f>IF(INDEX(customers!$A$1:$I$1001,MATCH($E406,customers!$A$1:$A$1001,0),3)=0,"",INDEX(customers!$A$1:$I$1001,MATCH($E406,customers!$A$1:$A$1001,0),3))</f>
        <v>gclemonkd@networksolutions.com</v>
      </c>
      <c r="J406" s="2" t="str">
        <f>_xlfn.XLOOKUP(E406,customers!$A$1:$A$1001,customers!$G$1:$G$1001)</f>
        <v>United States</v>
      </c>
      <c r="K406" t="str">
        <f>INDEX(products!$A$1:$G$49,MATCH($F406,products!$A$1:$A$49,0),MATCH(K$1,products!$A$1:$G$1,0))</f>
        <v>Lib</v>
      </c>
      <c r="L406" t="str">
        <f>INDEX(products!$A$1:$G$49,MATCH($F406,products!$A$1:$A$49,0),MATCH(L$1,products!$A$1:$G$1,0))</f>
        <v>M</v>
      </c>
      <c r="M406" s="5">
        <f>INDEX(products!$A$1:$G$49,MATCH($F406,products!$A$1:$A$49,0),MATCH(M$1,products!$A$1:$G$1,0))</f>
        <v>2.5</v>
      </c>
      <c r="N406" s="7">
        <f>INDEX(products!$A$1:$G$49,MATCH($F406,products!$A$1:$A$49,0),MATCH(N$1,products!$A$1:$G$1,0))</f>
        <v>33.464999999999996</v>
      </c>
      <c r="O406" s="7">
        <f t="shared" si="6"/>
        <v>100.39499999999998</v>
      </c>
      <c r="P406" t="str" cm="1">
        <f t="array" ref="P406">_xlfn.IFS(K406="Rob","Robusta",K406="Exc","Excelsa",K406="Ara","Arabica",K406="Lib","Liberica")</f>
        <v>Liberica</v>
      </c>
      <c r="Q406" t="str" cm="1">
        <f t="array" ref="Q406">_xlfn.IFS(L406="M","Medium",L406="L","Light",L406="D","Dark")</f>
        <v>Medium</v>
      </c>
      <c r="R406" t="str">
        <f>_xlfn.XLOOKUP(Orders[[#This Row],[Customer ID]],customers!$A$1:$A$1001,customers!$I$1:$I$1001)</f>
        <v>Yes</v>
      </c>
    </row>
    <row r="407" spans="1:18" x14ac:dyDescent="0.35">
      <c r="A407" s="2" t="s">
        <v>5849</v>
      </c>
      <c r="B407" s="4">
        <v>44445</v>
      </c>
      <c r="C407" s="23">
        <f>Orders[[#This Row],[Order Date]]</f>
        <v>44445</v>
      </c>
      <c r="D407" s="2">
        <f>YEAR(Orders[[#This Row],[Order Date]])</f>
        <v>2021</v>
      </c>
      <c r="E407" s="2" t="s">
        <v>5850</v>
      </c>
      <c r="F407" t="s">
        <v>6185</v>
      </c>
      <c r="G407" s="20">
        <v>3</v>
      </c>
      <c r="H407" s="2" t="str">
        <f>INDEX(customers!$A$1:$I$1001,MATCH($E407,customers!$A$1:$A$1001,),MATCH($H$1,customers!$A$1:$I$1,0))</f>
        <v>Gnni Cheeke</v>
      </c>
      <c r="I407" s="2" t="str">
        <f>IF(INDEX(customers!$A$1:$I$1001,MATCH($E407,customers!$A$1:$A$1001,0),3)=0,"",INDEX(customers!$A$1:$I$1001,MATCH($E407,customers!$A$1:$A$1001,0),3))</f>
        <v>gcheekeqc@sitemeter.com</v>
      </c>
      <c r="J407" s="2" t="str">
        <f>_xlfn.XLOOKUP(E407,customers!$A$1:$A$1001,customers!$G$1:$G$1001)</f>
        <v>United Kingdom</v>
      </c>
      <c r="K407" t="str">
        <f>INDEX(products!$A$1:$G$49,MATCH($F407,products!$A$1:$A$49,0),MATCH(K$1,products!$A$1:$G$1,0))</f>
        <v>Exc</v>
      </c>
      <c r="L407" t="str">
        <f>INDEX(products!$A$1:$G$49,MATCH($F407,products!$A$1:$A$49,0),MATCH(L$1,products!$A$1:$G$1,0))</f>
        <v>D</v>
      </c>
      <c r="M407" s="5">
        <f>INDEX(products!$A$1:$G$49,MATCH($F407,products!$A$1:$A$49,0),MATCH(M$1,products!$A$1:$G$1,0))</f>
        <v>2.5</v>
      </c>
      <c r="N407" s="7">
        <f>INDEX(products!$A$1:$G$49,MATCH($F407,products!$A$1:$A$49,0),MATCH(N$1,products!$A$1:$G$1,0))</f>
        <v>27.945</v>
      </c>
      <c r="O407" s="7">
        <f t="shared" si="6"/>
        <v>83.835000000000008</v>
      </c>
      <c r="P407" t="str" cm="1">
        <f t="array" ref="P407">_xlfn.IFS(K407="Rob","Robusta",K407="Exc","Excelsa",K407="Ara","Arabica",K407="Lib","Liberica")</f>
        <v>Excelsa</v>
      </c>
      <c r="Q407" t="str" cm="1">
        <f t="array" ref="Q407">_xlfn.IFS(L407="M","Medium",L407="L","Light",L407="D","Dark")</f>
        <v>Dark</v>
      </c>
      <c r="R407" t="str">
        <f>_xlfn.XLOOKUP(Orders[[#This Row],[Customer ID]],customers!$A$1:$A$1001,customers!$I$1:$I$1001)</f>
        <v>Yes</v>
      </c>
    </row>
    <row r="408" spans="1:18" x14ac:dyDescent="0.35">
      <c r="A408" s="2" t="s">
        <v>1713</v>
      </c>
      <c r="B408" s="4">
        <v>44174</v>
      </c>
      <c r="C408" s="23">
        <f>Orders[[#This Row],[Order Date]]</f>
        <v>44174</v>
      </c>
      <c r="D408" s="2">
        <f>YEAR(Orders[[#This Row],[Order Date]])</f>
        <v>2020</v>
      </c>
      <c r="E408" s="2" t="s">
        <v>1714</v>
      </c>
      <c r="F408" t="s">
        <v>6176</v>
      </c>
      <c r="G408" s="20">
        <v>4</v>
      </c>
      <c r="H408" s="2" t="str">
        <f>INDEX(customers!$A$1:$I$1001,MATCH($E408,customers!$A$1:$A$1001,),MATCH($H$1,customers!$A$1:$I$1,0))</f>
        <v>Godfry Poinsett</v>
      </c>
      <c r="I408" s="2" t="str">
        <f>IF(INDEX(customers!$A$1:$I$1001,MATCH($E408,customers!$A$1:$A$1001,0),3)=0,"",INDEX(customers!$A$1:$I$1001,MATCH($E408,customers!$A$1:$A$1001,0),3))</f>
        <v>gpoinsett61@berkeley.edu</v>
      </c>
      <c r="J408" s="2" t="str">
        <f>_xlfn.XLOOKUP(E408,customers!$A$1:$A$1001,customers!$G$1:$G$1001)</f>
        <v>United States</v>
      </c>
      <c r="K408" t="str">
        <f>INDEX(products!$A$1:$G$49,MATCH($F408,products!$A$1:$A$49,0),MATCH(K$1,products!$A$1:$G$1,0))</f>
        <v>Exc</v>
      </c>
      <c r="L408" t="str">
        <f>INDEX(products!$A$1:$G$49,MATCH($F408,products!$A$1:$A$49,0),MATCH(L$1,products!$A$1:$G$1,0))</f>
        <v>L</v>
      </c>
      <c r="M408" s="5">
        <f>INDEX(products!$A$1:$G$49,MATCH($F408,products!$A$1:$A$49,0),MATCH(M$1,products!$A$1:$G$1,0))</f>
        <v>0.5</v>
      </c>
      <c r="N408" s="7">
        <f>INDEX(products!$A$1:$G$49,MATCH($F408,products!$A$1:$A$49,0),MATCH(N$1,products!$A$1:$G$1,0))</f>
        <v>8.91</v>
      </c>
      <c r="O408" s="7">
        <f t="shared" si="6"/>
        <v>35.64</v>
      </c>
      <c r="P408" t="str" cm="1">
        <f t="array" ref="P408">_xlfn.IFS(K408="Rob","Robusta",K408="Exc","Excelsa",K408="Ara","Arabica",K408="Lib","Liberica")</f>
        <v>Excelsa</v>
      </c>
      <c r="Q408" t="str" cm="1">
        <f t="array" ref="Q408">_xlfn.IFS(L408="M","Medium",L408="L","Light",L408="D","Dark")</f>
        <v>Light</v>
      </c>
      <c r="R408" t="str">
        <f>_xlfn.XLOOKUP(Orders[[#This Row],[Customer ID]],customers!$A$1:$A$1001,customers!$I$1:$I$1001)</f>
        <v>No</v>
      </c>
    </row>
    <row r="409" spans="1:18" x14ac:dyDescent="0.35">
      <c r="A409" s="2" t="s">
        <v>5709</v>
      </c>
      <c r="B409" s="4">
        <v>43746</v>
      </c>
      <c r="C409" s="23">
        <f>Orders[[#This Row],[Order Date]]</f>
        <v>43746</v>
      </c>
      <c r="D409" s="2">
        <f>YEAR(Orders[[#This Row],[Order Date]])</f>
        <v>2019</v>
      </c>
      <c r="E409" s="2" t="s">
        <v>5710</v>
      </c>
      <c r="F409" t="s">
        <v>6185</v>
      </c>
      <c r="G409" s="20">
        <v>1</v>
      </c>
      <c r="H409" s="2" t="str">
        <f>INDEX(customers!$A$1:$I$1001,MATCH($E409,customers!$A$1:$A$1001,),MATCH($H$1,customers!$A$1:$I$1,0))</f>
        <v>Goldie Wynes</v>
      </c>
      <c r="I409" s="2" t="str">
        <f>IF(INDEX(customers!$A$1:$I$1001,MATCH($E409,customers!$A$1:$A$1001,0),3)=0,"",INDEX(customers!$A$1:$I$1001,MATCH($E409,customers!$A$1:$A$1001,0),3))</f>
        <v>gwynespn@dagondesign.com</v>
      </c>
      <c r="J409" s="2" t="str">
        <f>_xlfn.XLOOKUP(E409,customers!$A$1:$A$1001,customers!$G$1:$G$1001)</f>
        <v>United States</v>
      </c>
      <c r="K409" t="str">
        <f>INDEX(products!$A$1:$G$49,MATCH($F409,products!$A$1:$A$49,0),MATCH(K$1,products!$A$1:$G$1,0))</f>
        <v>Exc</v>
      </c>
      <c r="L409" t="str">
        <f>INDEX(products!$A$1:$G$49,MATCH($F409,products!$A$1:$A$49,0),MATCH(L$1,products!$A$1:$G$1,0))</f>
        <v>D</v>
      </c>
      <c r="M409" s="5">
        <f>INDEX(products!$A$1:$G$49,MATCH($F409,products!$A$1:$A$49,0),MATCH(M$1,products!$A$1:$G$1,0))</f>
        <v>2.5</v>
      </c>
      <c r="N409" s="7">
        <f>INDEX(products!$A$1:$G$49,MATCH($F409,products!$A$1:$A$49,0),MATCH(N$1,products!$A$1:$G$1,0))</f>
        <v>27.945</v>
      </c>
      <c r="O409" s="7">
        <f t="shared" si="6"/>
        <v>27.945</v>
      </c>
      <c r="P409" t="str" cm="1">
        <f t="array" ref="P409">_xlfn.IFS(K409="Rob","Robusta",K409="Exc","Excelsa",K409="Ara","Arabica",K409="Lib","Liberica")</f>
        <v>Excelsa</v>
      </c>
      <c r="Q409" t="str" cm="1">
        <f t="array" ref="Q409">_xlfn.IFS(L409="M","Medium",L409="L","Light",L409="D","Dark")</f>
        <v>Dark</v>
      </c>
      <c r="R409" t="str">
        <f>_xlfn.XLOOKUP(Orders[[#This Row],[Customer ID]],customers!$A$1:$A$1001,customers!$I$1:$I$1001)</f>
        <v>No</v>
      </c>
    </row>
    <row r="410" spans="1:18" x14ac:dyDescent="0.35">
      <c r="A410" s="2" t="s">
        <v>5008</v>
      </c>
      <c r="B410" s="4">
        <v>44588</v>
      </c>
      <c r="C410" s="23">
        <f>Orders[[#This Row],[Order Date]]</f>
        <v>44588</v>
      </c>
      <c r="D410" s="2">
        <f>YEAR(Orders[[#This Row],[Order Date]])</f>
        <v>2022</v>
      </c>
      <c r="E410" s="2" t="s">
        <v>5009</v>
      </c>
      <c r="F410" t="s">
        <v>6183</v>
      </c>
      <c r="G410" s="20">
        <v>3</v>
      </c>
      <c r="H410" s="2" t="str">
        <f>INDEX(customers!$A$1:$I$1001,MATCH($E410,customers!$A$1:$A$1001,),MATCH($H$1,customers!$A$1:$I$1,0))</f>
        <v>Gonzales Cicculi</v>
      </c>
      <c r="I410" s="2" t="str">
        <f>IF(INDEX(customers!$A$1:$I$1001,MATCH($E410,customers!$A$1:$A$1001,0),3)=0,"",INDEX(customers!$A$1:$I$1001,MATCH($E410,customers!$A$1:$A$1001,0),3))</f>
        <v/>
      </c>
      <c r="J410" s="2" t="str">
        <f>_xlfn.XLOOKUP(E410,customers!$A$1:$A$1001,customers!$G$1:$G$1001)</f>
        <v>United States</v>
      </c>
      <c r="K410" t="str">
        <f>INDEX(products!$A$1:$G$49,MATCH($F410,products!$A$1:$A$49,0),MATCH(K$1,products!$A$1:$G$1,0))</f>
        <v>Exc</v>
      </c>
      <c r="L410" t="str">
        <f>INDEX(products!$A$1:$G$49,MATCH($F410,products!$A$1:$A$49,0),MATCH(L$1,products!$A$1:$G$1,0))</f>
        <v>D</v>
      </c>
      <c r="M410" s="5">
        <f>INDEX(products!$A$1:$G$49,MATCH($F410,products!$A$1:$A$49,0),MATCH(M$1,products!$A$1:$G$1,0))</f>
        <v>1</v>
      </c>
      <c r="N410" s="7">
        <f>INDEX(products!$A$1:$G$49,MATCH($F410,products!$A$1:$A$49,0),MATCH(N$1,products!$A$1:$G$1,0))</f>
        <v>12.15</v>
      </c>
      <c r="O410" s="7">
        <f t="shared" si="6"/>
        <v>36.450000000000003</v>
      </c>
      <c r="P410" t="str" cm="1">
        <f t="array" ref="P410">_xlfn.IFS(K410="Rob","Robusta",K410="Exc","Excelsa",K410="Ara","Arabica",K410="Lib","Liberica")</f>
        <v>Excelsa</v>
      </c>
      <c r="Q410" t="str" cm="1">
        <f t="array" ref="Q410">_xlfn.IFS(L410="M","Medium",L410="L","Light",L410="D","Dark")</f>
        <v>Dark</v>
      </c>
      <c r="R410" t="str">
        <f>_xlfn.XLOOKUP(Orders[[#This Row],[Customer ID]],customers!$A$1:$A$1001,customers!$I$1:$I$1001)</f>
        <v>Yes</v>
      </c>
    </row>
    <row r="411" spans="1:18" x14ac:dyDescent="0.35">
      <c r="A411" s="2" t="s">
        <v>2597</v>
      </c>
      <c r="B411" s="4">
        <v>44125</v>
      </c>
      <c r="C411" s="23">
        <f>Orders[[#This Row],[Order Date]]</f>
        <v>44125</v>
      </c>
      <c r="D411" s="2">
        <f>YEAR(Orders[[#This Row],[Order Date]])</f>
        <v>2020</v>
      </c>
      <c r="E411" s="2" t="s">
        <v>2598</v>
      </c>
      <c r="F411" t="s">
        <v>6161</v>
      </c>
      <c r="G411" s="20">
        <v>4</v>
      </c>
      <c r="H411" s="2" t="str">
        <f>INDEX(customers!$A$1:$I$1001,MATCH($E411,customers!$A$1:$A$1001,),MATCH($H$1,customers!$A$1:$I$1,0))</f>
        <v>Gothart Bamfield</v>
      </c>
      <c r="I411" s="2" t="str">
        <f>IF(INDEX(customers!$A$1:$I$1001,MATCH($E411,customers!$A$1:$A$1001,0),3)=0,"",INDEX(customers!$A$1:$I$1001,MATCH($E411,customers!$A$1:$A$1001,0),3))</f>
        <v>gbamfieldae@yellowpages.com</v>
      </c>
      <c r="J411" s="2" t="str">
        <f>_xlfn.XLOOKUP(E411,customers!$A$1:$A$1001,customers!$G$1:$G$1001)</f>
        <v>United States</v>
      </c>
      <c r="K411" t="str">
        <f>INDEX(products!$A$1:$G$49,MATCH($F411,products!$A$1:$A$49,0),MATCH(K$1,products!$A$1:$G$1,0))</f>
        <v>Lib</v>
      </c>
      <c r="L411" t="str">
        <f>INDEX(products!$A$1:$G$49,MATCH($F411,products!$A$1:$A$49,0),MATCH(L$1,products!$A$1:$G$1,0))</f>
        <v>L</v>
      </c>
      <c r="M411" s="5">
        <f>INDEX(products!$A$1:$G$49,MATCH($F411,products!$A$1:$A$49,0),MATCH(M$1,products!$A$1:$G$1,0))</f>
        <v>0.5</v>
      </c>
      <c r="N411" s="7">
        <f>INDEX(products!$A$1:$G$49,MATCH($F411,products!$A$1:$A$49,0),MATCH(N$1,products!$A$1:$G$1,0))</f>
        <v>9.51</v>
      </c>
      <c r="O411" s="7">
        <f t="shared" si="6"/>
        <v>38.04</v>
      </c>
      <c r="P411" t="str" cm="1">
        <f t="array" ref="P411">_xlfn.IFS(K411="Rob","Robusta",K411="Exc","Excelsa",K411="Ara","Arabica",K411="Lib","Liberica")</f>
        <v>Liberica</v>
      </c>
      <c r="Q411" t="str" cm="1">
        <f t="array" ref="Q411">_xlfn.IFS(L411="M","Medium",L411="L","Light",L411="D","Dark")</f>
        <v>Light</v>
      </c>
      <c r="R411" t="str">
        <f>_xlfn.XLOOKUP(Orders[[#This Row],[Customer ID]],customers!$A$1:$A$1001,customers!$I$1:$I$1001)</f>
        <v>Yes</v>
      </c>
    </row>
    <row r="412" spans="1:18" x14ac:dyDescent="0.35">
      <c r="A412" s="2" t="s">
        <v>4921</v>
      </c>
      <c r="B412" s="4">
        <v>44511</v>
      </c>
      <c r="C412" s="23">
        <f>Orders[[#This Row],[Order Date]]</f>
        <v>44511</v>
      </c>
      <c r="D412" s="2">
        <f>YEAR(Orders[[#This Row],[Order Date]])</f>
        <v>2021</v>
      </c>
      <c r="E412" s="2" t="s">
        <v>4922</v>
      </c>
      <c r="F412" t="s">
        <v>6170</v>
      </c>
      <c r="G412" s="20">
        <v>2</v>
      </c>
      <c r="H412" s="2" t="str">
        <f>INDEX(customers!$A$1:$I$1001,MATCH($E412,customers!$A$1:$A$1001,),MATCH($H$1,customers!$A$1:$I$1,0))</f>
        <v>Graeme Whitehead</v>
      </c>
      <c r="I412" s="2" t="str">
        <f>IF(INDEX(customers!$A$1:$I$1001,MATCH($E412,customers!$A$1:$A$1001,0),3)=0,"",INDEX(customers!$A$1:$I$1001,MATCH($E412,customers!$A$1:$A$1001,0),3))</f>
        <v>gwhiteheadls@hp.com</v>
      </c>
      <c r="J412" s="2" t="str">
        <f>_xlfn.XLOOKUP(E412,customers!$A$1:$A$1001,customers!$G$1:$G$1001)</f>
        <v>United States</v>
      </c>
      <c r="K412" t="str">
        <f>INDEX(products!$A$1:$G$49,MATCH($F412,products!$A$1:$A$49,0),MATCH(K$1,products!$A$1:$G$1,0))</f>
        <v>Lib</v>
      </c>
      <c r="L412" t="str">
        <f>INDEX(products!$A$1:$G$49,MATCH($F412,products!$A$1:$A$49,0),MATCH(L$1,products!$A$1:$G$1,0))</f>
        <v>L</v>
      </c>
      <c r="M412" s="5">
        <f>INDEX(products!$A$1:$G$49,MATCH($F412,products!$A$1:$A$49,0),MATCH(M$1,products!$A$1:$G$1,0))</f>
        <v>1</v>
      </c>
      <c r="N412" s="7">
        <f>INDEX(products!$A$1:$G$49,MATCH($F412,products!$A$1:$A$49,0),MATCH(N$1,products!$A$1:$G$1,0))</f>
        <v>15.85</v>
      </c>
      <c r="O412" s="7">
        <f t="shared" si="6"/>
        <v>31.7</v>
      </c>
      <c r="P412" t="str" cm="1">
        <f t="array" ref="P412">_xlfn.IFS(K412="Rob","Robusta",K412="Exc","Excelsa",K412="Ara","Arabica",K412="Lib","Liberica")</f>
        <v>Liberica</v>
      </c>
      <c r="Q412" t="str" cm="1">
        <f t="array" ref="Q412">_xlfn.IFS(L412="M","Medium",L412="L","Light",L412="D","Dark")</f>
        <v>Light</v>
      </c>
      <c r="R412" t="str">
        <f>_xlfn.XLOOKUP(Orders[[#This Row],[Customer ID]],customers!$A$1:$A$1001,customers!$I$1:$I$1001)</f>
        <v>No</v>
      </c>
    </row>
    <row r="413" spans="1:18" x14ac:dyDescent="0.35">
      <c r="A413" s="2" t="s">
        <v>2733</v>
      </c>
      <c r="B413" s="4">
        <v>43677</v>
      </c>
      <c r="C413" s="23">
        <f>Orders[[#This Row],[Order Date]]</f>
        <v>43677</v>
      </c>
      <c r="D413" s="2">
        <f>YEAR(Orders[[#This Row],[Order Date]])</f>
        <v>2019</v>
      </c>
      <c r="E413" s="2" t="s">
        <v>2734</v>
      </c>
      <c r="F413" t="s">
        <v>6154</v>
      </c>
      <c r="G413" s="20">
        <v>6</v>
      </c>
      <c r="H413" s="2" t="str">
        <f>INDEX(customers!$A$1:$I$1001,MATCH($E413,customers!$A$1:$A$1001,),MATCH($H$1,customers!$A$1:$I$1,0))</f>
        <v>Gran Sibray</v>
      </c>
      <c r="I413" s="2" t="str">
        <f>IF(INDEX(customers!$A$1:$I$1001,MATCH($E413,customers!$A$1:$A$1001,0),3)=0,"",INDEX(customers!$A$1:$I$1001,MATCH($E413,customers!$A$1:$A$1001,0),3))</f>
        <v>gsibrayb2@wsj.com</v>
      </c>
      <c r="J413" s="2" t="str">
        <f>_xlfn.XLOOKUP(E413,customers!$A$1:$A$1001,customers!$G$1:$G$1001)</f>
        <v>United States</v>
      </c>
      <c r="K413" t="str">
        <f>INDEX(products!$A$1:$G$49,MATCH($F413,products!$A$1:$A$49,0),MATCH(K$1,products!$A$1:$G$1,0))</f>
        <v>Ara</v>
      </c>
      <c r="L413" t="str">
        <f>INDEX(products!$A$1:$G$49,MATCH($F413,products!$A$1:$A$49,0),MATCH(L$1,products!$A$1:$G$1,0))</f>
        <v>D</v>
      </c>
      <c r="M413" s="5">
        <f>INDEX(products!$A$1:$G$49,MATCH($F413,products!$A$1:$A$49,0),MATCH(M$1,products!$A$1:$G$1,0))</f>
        <v>0.2</v>
      </c>
      <c r="N413" s="7">
        <f>INDEX(products!$A$1:$G$49,MATCH($F413,products!$A$1:$A$49,0),MATCH(N$1,products!$A$1:$G$1,0))</f>
        <v>2.9849999999999999</v>
      </c>
      <c r="O413" s="7">
        <f t="shared" si="6"/>
        <v>17.91</v>
      </c>
      <c r="P413" t="str" cm="1">
        <f t="array" ref="P413">_xlfn.IFS(K413="Rob","Robusta",K413="Exc","Excelsa",K413="Ara","Arabica",K413="Lib","Liberica")</f>
        <v>Arabica</v>
      </c>
      <c r="Q413" t="str" cm="1">
        <f t="array" ref="Q413">_xlfn.IFS(L413="M","Medium",L413="L","Light",L413="D","Dark")</f>
        <v>Dark</v>
      </c>
      <c r="R413" t="str">
        <f>_xlfn.XLOOKUP(Orders[[#This Row],[Customer ID]],customers!$A$1:$A$1001,customers!$I$1:$I$1001)</f>
        <v>Yes</v>
      </c>
    </row>
    <row r="414" spans="1:18" x14ac:dyDescent="0.35">
      <c r="A414" s="2" t="s">
        <v>4551</v>
      </c>
      <c r="B414" s="4">
        <v>44150</v>
      </c>
      <c r="C414" s="23">
        <f>Orders[[#This Row],[Order Date]]</f>
        <v>44150</v>
      </c>
      <c r="D414" s="2">
        <f>YEAR(Orders[[#This Row],[Order Date]])</f>
        <v>2020</v>
      </c>
      <c r="E414" s="2" t="s">
        <v>4552</v>
      </c>
      <c r="F414" t="s">
        <v>6170</v>
      </c>
      <c r="G414" s="20">
        <v>5</v>
      </c>
      <c r="H414" s="2" t="str">
        <f>INDEX(customers!$A$1:$I$1001,MATCH($E414,customers!$A$1:$A$1001,),MATCH($H$1,customers!$A$1:$I$1,0))</f>
        <v>Granger Fantham</v>
      </c>
      <c r="I414" s="2" t="str">
        <f>IF(INDEX(customers!$A$1:$I$1001,MATCH($E414,customers!$A$1:$A$1001,0),3)=0,"",INDEX(customers!$A$1:$I$1001,MATCH($E414,customers!$A$1:$A$1001,0),3))</f>
        <v>gfanthamjz@hexun.com</v>
      </c>
      <c r="J414" s="2" t="str">
        <f>_xlfn.XLOOKUP(E414,customers!$A$1:$A$1001,customers!$G$1:$G$1001)</f>
        <v>United States</v>
      </c>
      <c r="K414" t="str">
        <f>INDEX(products!$A$1:$G$49,MATCH($F414,products!$A$1:$A$49,0),MATCH(K$1,products!$A$1:$G$1,0))</f>
        <v>Lib</v>
      </c>
      <c r="L414" t="str">
        <f>INDEX(products!$A$1:$G$49,MATCH($F414,products!$A$1:$A$49,0),MATCH(L$1,products!$A$1:$G$1,0))</f>
        <v>L</v>
      </c>
      <c r="M414" s="5">
        <f>INDEX(products!$A$1:$G$49,MATCH($F414,products!$A$1:$A$49,0),MATCH(M$1,products!$A$1:$G$1,0))</f>
        <v>1</v>
      </c>
      <c r="N414" s="7">
        <f>INDEX(products!$A$1:$G$49,MATCH($F414,products!$A$1:$A$49,0),MATCH(N$1,products!$A$1:$G$1,0))</f>
        <v>15.85</v>
      </c>
      <c r="O414" s="7">
        <f t="shared" si="6"/>
        <v>79.25</v>
      </c>
      <c r="P414" t="str" cm="1">
        <f t="array" ref="P414">_xlfn.IFS(K414="Rob","Robusta",K414="Exc","Excelsa",K414="Ara","Arabica",K414="Lib","Liberica")</f>
        <v>Liberica</v>
      </c>
      <c r="Q414" t="str" cm="1">
        <f t="array" ref="Q414">_xlfn.IFS(L414="M","Medium",L414="L","Light",L414="D","Dark")</f>
        <v>Light</v>
      </c>
      <c r="R414" t="str">
        <f>_xlfn.XLOOKUP(Orders[[#This Row],[Customer ID]],customers!$A$1:$A$1001,customers!$I$1:$I$1001)</f>
        <v>Yes</v>
      </c>
    </row>
    <row r="415" spans="1:18" x14ac:dyDescent="0.35">
      <c r="A415" s="2" t="s">
        <v>3170</v>
      </c>
      <c r="B415" s="4">
        <v>44014</v>
      </c>
      <c r="C415" s="23">
        <f>Orders[[#This Row],[Order Date]]</f>
        <v>44014</v>
      </c>
      <c r="D415" s="2">
        <f>YEAR(Orders[[#This Row],[Order Date]])</f>
        <v>2020</v>
      </c>
      <c r="E415" s="2" t="s">
        <v>3171</v>
      </c>
      <c r="F415" t="s">
        <v>6166</v>
      </c>
      <c r="G415" s="20">
        <v>1</v>
      </c>
      <c r="H415" s="2" t="str">
        <f>INDEX(customers!$A$1:$I$1001,MATCH($E415,customers!$A$1:$A$1001,),MATCH($H$1,customers!$A$1:$I$1,0))</f>
        <v>Granger Smallcombe</v>
      </c>
      <c r="I415" s="2" t="str">
        <f>IF(INDEX(customers!$A$1:$I$1001,MATCH($E415,customers!$A$1:$A$1001,0),3)=0,"",INDEX(customers!$A$1:$I$1001,MATCH($E415,customers!$A$1:$A$1001,0),3))</f>
        <v>gsmallcombed6@ucla.edu</v>
      </c>
      <c r="J415" s="2" t="str">
        <f>_xlfn.XLOOKUP(E415,customers!$A$1:$A$1001,customers!$G$1:$G$1001)</f>
        <v>Ireland</v>
      </c>
      <c r="K415" t="str">
        <f>INDEX(products!$A$1:$G$49,MATCH($F415,products!$A$1:$A$49,0),MATCH(K$1,products!$A$1:$G$1,0))</f>
        <v>Exc</v>
      </c>
      <c r="L415" t="str">
        <f>INDEX(products!$A$1:$G$49,MATCH($F415,products!$A$1:$A$49,0),MATCH(L$1,products!$A$1:$G$1,0))</f>
        <v>M</v>
      </c>
      <c r="M415" s="5">
        <f>INDEX(products!$A$1:$G$49,MATCH($F415,products!$A$1:$A$49,0),MATCH(M$1,products!$A$1:$G$1,0))</f>
        <v>2.5</v>
      </c>
      <c r="N415" s="7">
        <f>INDEX(products!$A$1:$G$49,MATCH($F415,products!$A$1:$A$49,0),MATCH(N$1,products!$A$1:$G$1,0))</f>
        <v>31.624999999999996</v>
      </c>
      <c r="O415" s="7">
        <f t="shared" si="6"/>
        <v>31.624999999999996</v>
      </c>
      <c r="P415" t="str" cm="1">
        <f t="array" ref="P415">_xlfn.IFS(K415="Rob","Robusta",K415="Exc","Excelsa",K415="Ara","Arabica",K415="Lib","Liberica")</f>
        <v>Excelsa</v>
      </c>
      <c r="Q415" t="str" cm="1">
        <f t="array" ref="Q415">_xlfn.IFS(L415="M","Medium",L415="L","Light",L415="D","Dark")</f>
        <v>Medium</v>
      </c>
      <c r="R415" t="str">
        <f>_xlfn.XLOOKUP(Orders[[#This Row],[Customer ID]],customers!$A$1:$A$1001,customers!$I$1:$I$1001)</f>
        <v>Yes</v>
      </c>
    </row>
    <row r="416" spans="1:18" x14ac:dyDescent="0.35">
      <c r="A416" s="2" t="s">
        <v>3611</v>
      </c>
      <c r="B416" s="4">
        <v>43761</v>
      </c>
      <c r="C416" s="23">
        <f>Orders[[#This Row],[Order Date]]</f>
        <v>43761</v>
      </c>
      <c r="D416" s="2">
        <f>YEAR(Orders[[#This Row],[Order Date]])</f>
        <v>2019</v>
      </c>
      <c r="E416" s="2" t="s">
        <v>3612</v>
      </c>
      <c r="F416" t="s">
        <v>6184</v>
      </c>
      <c r="G416" s="20">
        <v>4</v>
      </c>
      <c r="H416" s="2" t="str">
        <f>INDEX(customers!$A$1:$I$1001,MATCH($E416,customers!$A$1:$A$1001,),MATCH($H$1,customers!$A$1:$I$1,0))</f>
        <v>Granville Alberts</v>
      </c>
      <c r="I416" s="2" t="str">
        <f>IF(INDEX(customers!$A$1:$I$1001,MATCH($E416,customers!$A$1:$A$1001,0),3)=0,"",INDEX(customers!$A$1:$I$1001,MATCH($E416,customers!$A$1:$A$1001,0),3))</f>
        <v>galbertsfc@etsy.com</v>
      </c>
      <c r="J416" s="2" t="str">
        <f>_xlfn.XLOOKUP(E416,customers!$A$1:$A$1001,customers!$G$1:$G$1001)</f>
        <v>United Kingdom</v>
      </c>
      <c r="K416" t="str">
        <f>INDEX(products!$A$1:$G$49,MATCH($F416,products!$A$1:$A$49,0),MATCH(K$1,products!$A$1:$G$1,0))</f>
        <v>Exc</v>
      </c>
      <c r="L416" t="str">
        <f>INDEX(products!$A$1:$G$49,MATCH($F416,products!$A$1:$A$49,0),MATCH(L$1,products!$A$1:$G$1,0))</f>
        <v>L</v>
      </c>
      <c r="M416" s="5">
        <f>INDEX(products!$A$1:$G$49,MATCH($F416,products!$A$1:$A$49,0),MATCH(M$1,products!$A$1:$G$1,0))</f>
        <v>0.2</v>
      </c>
      <c r="N416" s="7">
        <f>INDEX(products!$A$1:$G$49,MATCH($F416,products!$A$1:$A$49,0),MATCH(N$1,products!$A$1:$G$1,0))</f>
        <v>4.4550000000000001</v>
      </c>
      <c r="O416" s="7">
        <f t="shared" si="6"/>
        <v>17.82</v>
      </c>
      <c r="P416" t="str" cm="1">
        <f t="array" ref="P416">_xlfn.IFS(K416="Rob","Robusta",K416="Exc","Excelsa",K416="Ara","Arabica",K416="Lib","Liberica")</f>
        <v>Excelsa</v>
      </c>
      <c r="Q416" t="str" cm="1">
        <f t="array" ref="Q416">_xlfn.IFS(L416="M","Medium",L416="L","Light",L416="D","Dark")</f>
        <v>Light</v>
      </c>
      <c r="R416" t="str">
        <f>_xlfn.XLOOKUP(Orders[[#This Row],[Customer ID]],customers!$A$1:$A$1001,customers!$I$1:$I$1001)</f>
        <v>Yes</v>
      </c>
    </row>
    <row r="417" spans="1:18" x14ac:dyDescent="0.35">
      <c r="A417" s="2" t="s">
        <v>5362</v>
      </c>
      <c r="B417" s="4">
        <v>43725</v>
      </c>
      <c r="C417" s="23">
        <f>Orders[[#This Row],[Order Date]]</f>
        <v>43725</v>
      </c>
      <c r="D417" s="2">
        <f>YEAR(Orders[[#This Row],[Order Date]])</f>
        <v>2019</v>
      </c>
      <c r="E417" s="2" t="s">
        <v>5363</v>
      </c>
      <c r="F417" t="s">
        <v>6138</v>
      </c>
      <c r="G417" s="20">
        <v>1</v>
      </c>
      <c r="H417" s="2" t="str">
        <f>INDEX(customers!$A$1:$I$1001,MATCH($E417,customers!$A$1:$A$1001,),MATCH($H$1,customers!$A$1:$I$1,0))</f>
        <v>Grazia Oats</v>
      </c>
      <c r="I417" s="2" t="str">
        <f>IF(INDEX(customers!$A$1:$I$1001,MATCH($E417,customers!$A$1:$A$1001,0),3)=0,"",INDEX(customers!$A$1:$I$1001,MATCH($E417,customers!$A$1:$A$1001,0),3))</f>
        <v>goatsny@live.com</v>
      </c>
      <c r="J417" s="2" t="str">
        <f>_xlfn.XLOOKUP(E417,customers!$A$1:$A$1001,customers!$G$1:$G$1001)</f>
        <v>United States</v>
      </c>
      <c r="K417" t="str">
        <f>INDEX(products!$A$1:$G$49,MATCH($F417,products!$A$1:$A$49,0),MATCH(K$1,products!$A$1:$G$1,0))</f>
        <v>Rob</v>
      </c>
      <c r="L417" t="str">
        <f>INDEX(products!$A$1:$G$49,MATCH($F417,products!$A$1:$A$49,0),MATCH(L$1,products!$A$1:$G$1,0))</f>
        <v>M</v>
      </c>
      <c r="M417" s="5">
        <f>INDEX(products!$A$1:$G$49,MATCH($F417,products!$A$1:$A$49,0),MATCH(M$1,products!$A$1:$G$1,0))</f>
        <v>1</v>
      </c>
      <c r="N417" s="7">
        <f>INDEX(products!$A$1:$G$49,MATCH($F417,products!$A$1:$A$49,0),MATCH(N$1,products!$A$1:$G$1,0))</f>
        <v>9.9499999999999993</v>
      </c>
      <c r="O417" s="7">
        <f t="shared" si="6"/>
        <v>9.9499999999999993</v>
      </c>
      <c r="P417" t="str" cm="1">
        <f t="array" ref="P417">_xlfn.IFS(K417="Rob","Robusta",K417="Exc","Excelsa",K417="Ara","Arabica",K417="Lib","Liberica")</f>
        <v>Robusta</v>
      </c>
      <c r="Q417" t="str" cm="1">
        <f t="array" ref="Q417">_xlfn.IFS(L417="M","Medium",L417="L","Light",L417="D","Dark")</f>
        <v>Medium</v>
      </c>
      <c r="R417" t="str">
        <f>_xlfn.XLOOKUP(Orders[[#This Row],[Customer ID]],customers!$A$1:$A$1001,customers!$I$1:$I$1001)</f>
        <v>Yes</v>
      </c>
    </row>
    <row r="418" spans="1:18" x14ac:dyDescent="0.35">
      <c r="A418" s="2" t="s">
        <v>2829</v>
      </c>
      <c r="B418" s="4">
        <v>43683</v>
      </c>
      <c r="C418" s="23">
        <f>Orders[[#This Row],[Order Date]]</f>
        <v>43683</v>
      </c>
      <c r="D418" s="2">
        <f>YEAR(Orders[[#This Row],[Order Date]])</f>
        <v>2019</v>
      </c>
      <c r="E418" s="2" t="s">
        <v>2830</v>
      </c>
      <c r="F418" t="s">
        <v>6174</v>
      </c>
      <c r="G418" s="20">
        <v>3</v>
      </c>
      <c r="H418" s="2" t="str">
        <f>INDEX(customers!$A$1:$I$1001,MATCH($E418,customers!$A$1:$A$1001,),MATCH($H$1,customers!$A$1:$I$1,0))</f>
        <v>Gregg Hawkyens</v>
      </c>
      <c r="I418" s="2" t="str">
        <f>IF(INDEX(customers!$A$1:$I$1001,MATCH($E418,customers!$A$1:$A$1001,0),3)=0,"",INDEX(customers!$A$1:$I$1001,MATCH($E418,customers!$A$1:$A$1001,0),3))</f>
        <v>ghawkyensbj@census.gov</v>
      </c>
      <c r="J418" s="2" t="str">
        <f>_xlfn.XLOOKUP(E418,customers!$A$1:$A$1001,customers!$G$1:$G$1001)</f>
        <v>United States</v>
      </c>
      <c r="K418" t="str">
        <f>INDEX(products!$A$1:$G$49,MATCH($F418,products!$A$1:$A$49,0),MATCH(K$1,products!$A$1:$G$1,0))</f>
        <v>Rob</v>
      </c>
      <c r="L418" t="str">
        <f>INDEX(products!$A$1:$G$49,MATCH($F418,products!$A$1:$A$49,0),MATCH(L$1,products!$A$1:$G$1,0))</f>
        <v>M</v>
      </c>
      <c r="M418" s="5">
        <f>INDEX(products!$A$1:$G$49,MATCH($F418,products!$A$1:$A$49,0),MATCH(M$1,products!$A$1:$G$1,0))</f>
        <v>0.2</v>
      </c>
      <c r="N418" s="7">
        <f>INDEX(products!$A$1:$G$49,MATCH($F418,products!$A$1:$A$49,0),MATCH(N$1,products!$A$1:$G$1,0))</f>
        <v>2.9849999999999999</v>
      </c>
      <c r="O418" s="7">
        <f t="shared" si="6"/>
        <v>8.9550000000000001</v>
      </c>
      <c r="P418" t="str" cm="1">
        <f t="array" ref="P418">_xlfn.IFS(K418="Rob","Robusta",K418="Exc","Excelsa",K418="Ara","Arabica",K418="Lib","Liberica")</f>
        <v>Robusta</v>
      </c>
      <c r="Q418" t="str" cm="1">
        <f t="array" ref="Q418">_xlfn.IFS(L418="M","Medium",L418="L","Light",L418="D","Dark")</f>
        <v>Medium</v>
      </c>
      <c r="R418" t="str">
        <f>_xlfn.XLOOKUP(Orders[[#This Row],[Customer ID]],customers!$A$1:$A$1001,customers!$I$1:$I$1001)</f>
        <v>No</v>
      </c>
    </row>
    <row r="419" spans="1:18" x14ac:dyDescent="0.35">
      <c r="A419" s="2" t="s">
        <v>2716</v>
      </c>
      <c r="B419" s="4">
        <v>44465</v>
      </c>
      <c r="C419" s="23">
        <f>Orders[[#This Row],[Order Date]]</f>
        <v>44465</v>
      </c>
      <c r="D419" s="2">
        <f>YEAR(Orders[[#This Row],[Order Date]])</f>
        <v>2021</v>
      </c>
      <c r="E419" s="2" t="s">
        <v>2717</v>
      </c>
      <c r="F419" t="s">
        <v>6169</v>
      </c>
      <c r="G419" s="20">
        <v>6</v>
      </c>
      <c r="H419" s="2" t="str">
        <f>INDEX(customers!$A$1:$I$1001,MATCH($E419,customers!$A$1:$A$1001,),MATCH($H$1,customers!$A$1:$I$1,0))</f>
        <v>Gregorius Kislingbury</v>
      </c>
      <c r="I419" s="2" t="str">
        <f>IF(INDEX(customers!$A$1:$I$1001,MATCH($E419,customers!$A$1:$A$1001,0),3)=0,"",INDEX(customers!$A$1:$I$1001,MATCH($E419,customers!$A$1:$A$1001,0),3))</f>
        <v>gkislingburyaz@samsung.com</v>
      </c>
      <c r="J419" s="2" t="str">
        <f>_xlfn.XLOOKUP(E419,customers!$A$1:$A$1001,customers!$G$1:$G$1001)</f>
        <v>United States</v>
      </c>
      <c r="K419" t="str">
        <f>INDEX(products!$A$1:$G$49,MATCH($F419,products!$A$1:$A$49,0),MATCH(K$1,products!$A$1:$G$1,0))</f>
        <v>Lib</v>
      </c>
      <c r="L419" t="str">
        <f>INDEX(products!$A$1:$G$49,MATCH($F419,products!$A$1:$A$49,0),MATCH(L$1,products!$A$1:$G$1,0))</f>
        <v>D</v>
      </c>
      <c r="M419" s="5">
        <f>INDEX(products!$A$1:$G$49,MATCH($F419,products!$A$1:$A$49,0),MATCH(M$1,products!$A$1:$G$1,0))</f>
        <v>0.5</v>
      </c>
      <c r="N419" s="7">
        <f>INDEX(products!$A$1:$G$49,MATCH($F419,products!$A$1:$A$49,0),MATCH(N$1,products!$A$1:$G$1,0))</f>
        <v>7.77</v>
      </c>
      <c r="O419" s="7">
        <f t="shared" si="6"/>
        <v>46.62</v>
      </c>
      <c r="P419" t="str" cm="1">
        <f t="array" ref="P419">_xlfn.IFS(K419="Rob","Robusta",K419="Exc","Excelsa",K419="Ara","Arabica",K419="Lib","Liberica")</f>
        <v>Liberica</v>
      </c>
      <c r="Q419" t="str" cm="1">
        <f t="array" ref="Q419">_xlfn.IFS(L419="M","Medium",L419="L","Light",L419="D","Dark")</f>
        <v>Dark</v>
      </c>
      <c r="R419" t="str">
        <f>_xlfn.XLOOKUP(Orders[[#This Row],[Customer ID]],customers!$A$1:$A$1001,customers!$I$1:$I$1001)</f>
        <v>Yes</v>
      </c>
    </row>
    <row r="420" spans="1:18" x14ac:dyDescent="0.35">
      <c r="A420" s="2" t="s">
        <v>4979</v>
      </c>
      <c r="B420" s="4">
        <v>43987</v>
      </c>
      <c r="C420" s="23">
        <f>Orders[[#This Row],[Order Date]]</f>
        <v>43987</v>
      </c>
      <c r="D420" s="2">
        <f>YEAR(Orders[[#This Row],[Order Date]])</f>
        <v>2020</v>
      </c>
      <c r="E420" s="2" t="s">
        <v>4980</v>
      </c>
      <c r="F420" t="s">
        <v>6182</v>
      </c>
      <c r="G420" s="20">
        <v>5</v>
      </c>
      <c r="H420" s="2" t="str">
        <f>INDEX(customers!$A$1:$I$1001,MATCH($E420,customers!$A$1:$A$1001,),MATCH($H$1,customers!$A$1:$I$1,0))</f>
        <v>Gregorius Trengrove</v>
      </c>
      <c r="I420" s="2" t="str">
        <f>IF(INDEX(customers!$A$1:$I$1001,MATCH($E420,customers!$A$1:$A$1001,0),3)=0,"",INDEX(customers!$A$1:$I$1001,MATCH($E420,customers!$A$1:$A$1001,0),3))</f>
        <v>gtrengrovem2@elpais.com</v>
      </c>
      <c r="J420" s="2" t="str">
        <f>_xlfn.XLOOKUP(E420,customers!$A$1:$A$1001,customers!$G$1:$G$1001)</f>
        <v>United States</v>
      </c>
      <c r="K420" t="str">
        <f>INDEX(products!$A$1:$G$49,MATCH($F420,products!$A$1:$A$49,0),MATCH(K$1,products!$A$1:$G$1,0))</f>
        <v>Ara</v>
      </c>
      <c r="L420" t="str">
        <f>INDEX(products!$A$1:$G$49,MATCH($F420,products!$A$1:$A$49,0),MATCH(L$1,products!$A$1:$G$1,0))</f>
        <v>L</v>
      </c>
      <c r="M420" s="5">
        <f>INDEX(products!$A$1:$G$49,MATCH($F420,products!$A$1:$A$49,0),MATCH(M$1,products!$A$1:$G$1,0))</f>
        <v>2.5</v>
      </c>
      <c r="N420" s="7">
        <f>INDEX(products!$A$1:$G$49,MATCH($F420,products!$A$1:$A$49,0),MATCH(N$1,products!$A$1:$G$1,0))</f>
        <v>29.784999999999997</v>
      </c>
      <c r="O420" s="7">
        <f t="shared" si="6"/>
        <v>148.92499999999998</v>
      </c>
      <c r="P420" t="str" cm="1">
        <f t="array" ref="P420">_xlfn.IFS(K420="Rob","Robusta",K420="Exc","Excelsa",K420="Ara","Arabica",K420="Lib","Liberica")</f>
        <v>Arabica</v>
      </c>
      <c r="Q420" t="str" cm="1">
        <f t="array" ref="Q420">_xlfn.IFS(L420="M","Medium",L420="L","Light",L420="D","Dark")</f>
        <v>Light</v>
      </c>
      <c r="R420" t="str">
        <f>_xlfn.XLOOKUP(Orders[[#This Row],[Customer ID]],customers!$A$1:$A$1001,customers!$I$1:$I$1001)</f>
        <v>No</v>
      </c>
    </row>
    <row r="421" spans="1:18" x14ac:dyDescent="0.35">
      <c r="A421" s="2" t="s">
        <v>1361</v>
      </c>
      <c r="B421" s="4">
        <v>43640</v>
      </c>
      <c r="C421" s="23">
        <f>Orders[[#This Row],[Order Date]]</f>
        <v>43640</v>
      </c>
      <c r="D421" s="2">
        <f>YEAR(Orders[[#This Row],[Order Date]])</f>
        <v>2019</v>
      </c>
      <c r="E421" s="2" t="s">
        <v>1362</v>
      </c>
      <c r="F421" t="s">
        <v>6175</v>
      </c>
      <c r="G421" s="20">
        <v>6</v>
      </c>
      <c r="H421" s="2" t="str">
        <f>INDEX(customers!$A$1:$I$1001,MATCH($E421,customers!$A$1:$A$1001,),MATCH($H$1,customers!$A$1:$I$1,0))</f>
        <v>Grete Holborn</v>
      </c>
      <c r="I421" s="2" t="str">
        <f>IF(INDEX(customers!$A$1:$I$1001,MATCH($E421,customers!$A$1:$A$1001,0),3)=0,"",INDEX(customers!$A$1:$I$1001,MATCH($E421,customers!$A$1:$A$1001,0),3))</f>
        <v>gholborn4b@ow.ly</v>
      </c>
      <c r="J421" s="2" t="str">
        <f>_xlfn.XLOOKUP(E421,customers!$A$1:$A$1001,customers!$G$1:$G$1001)</f>
        <v>United States</v>
      </c>
      <c r="K421" t="str">
        <f>INDEX(products!$A$1:$G$49,MATCH($F421,products!$A$1:$A$49,0),MATCH(K$1,products!$A$1:$G$1,0))</f>
        <v>Ara</v>
      </c>
      <c r="L421" t="str">
        <f>INDEX(products!$A$1:$G$49,MATCH($F421,products!$A$1:$A$49,0),MATCH(L$1,products!$A$1:$G$1,0))</f>
        <v>M</v>
      </c>
      <c r="M421" s="5">
        <f>INDEX(products!$A$1:$G$49,MATCH($F421,products!$A$1:$A$49,0),MATCH(M$1,products!$A$1:$G$1,0))</f>
        <v>2.5</v>
      </c>
      <c r="N421" s="7">
        <f>INDEX(products!$A$1:$G$49,MATCH($F421,products!$A$1:$A$49,0),MATCH(N$1,products!$A$1:$G$1,0))</f>
        <v>25.874999999999996</v>
      </c>
      <c r="O421" s="7">
        <f t="shared" si="6"/>
        <v>155.24999999999997</v>
      </c>
      <c r="P421" t="str" cm="1">
        <f t="array" ref="P421">_xlfn.IFS(K421="Rob","Robusta",K421="Exc","Excelsa",K421="Ara","Arabica",K421="Lib","Liberica")</f>
        <v>Arabica</v>
      </c>
      <c r="Q421" t="str" cm="1">
        <f t="array" ref="Q421">_xlfn.IFS(L421="M","Medium",L421="L","Light",L421="D","Dark")</f>
        <v>Medium</v>
      </c>
      <c r="R421" t="str">
        <f>_xlfn.XLOOKUP(Orders[[#This Row],[Customer ID]],customers!$A$1:$A$1001,customers!$I$1:$I$1001)</f>
        <v>Yes</v>
      </c>
    </row>
    <row r="422" spans="1:18" x14ac:dyDescent="0.35">
      <c r="A422" s="2" t="s">
        <v>5002</v>
      </c>
      <c r="B422" s="4">
        <v>43950</v>
      </c>
      <c r="C422" s="23">
        <f>Orders[[#This Row],[Order Date]]</f>
        <v>43950</v>
      </c>
      <c r="D422" s="2">
        <f>YEAR(Orders[[#This Row],[Order Date]])</f>
        <v>2020</v>
      </c>
      <c r="E422" s="2" t="s">
        <v>5003</v>
      </c>
      <c r="F422" t="s">
        <v>6163</v>
      </c>
      <c r="G422" s="20">
        <v>3</v>
      </c>
      <c r="H422" s="2" t="str">
        <f>INDEX(customers!$A$1:$I$1001,MATCH($E422,customers!$A$1:$A$1001,),MATCH($H$1,customers!$A$1:$I$1,0))</f>
        <v>Guenevere Ruggen</v>
      </c>
      <c r="I422" s="2" t="str">
        <f>IF(INDEX(customers!$A$1:$I$1001,MATCH($E422,customers!$A$1:$A$1001,0),3)=0,"",INDEX(customers!$A$1:$I$1001,MATCH($E422,customers!$A$1:$A$1001,0),3))</f>
        <v>gruggenm6@nymag.com</v>
      </c>
      <c r="J422" s="2" t="str">
        <f>_xlfn.XLOOKUP(E422,customers!$A$1:$A$1001,customers!$G$1:$G$1001)</f>
        <v>United States</v>
      </c>
      <c r="K422" t="str">
        <f>INDEX(products!$A$1:$G$49,MATCH($F422,products!$A$1:$A$49,0),MATCH(K$1,products!$A$1:$G$1,0))</f>
        <v>Rob</v>
      </c>
      <c r="L422" t="str">
        <f>INDEX(products!$A$1:$G$49,MATCH($F422,products!$A$1:$A$49,0),MATCH(L$1,products!$A$1:$G$1,0))</f>
        <v>D</v>
      </c>
      <c r="M422" s="5">
        <f>INDEX(products!$A$1:$G$49,MATCH($F422,products!$A$1:$A$49,0),MATCH(M$1,products!$A$1:$G$1,0))</f>
        <v>0.2</v>
      </c>
      <c r="N422" s="7">
        <f>INDEX(products!$A$1:$G$49,MATCH($F422,products!$A$1:$A$49,0),MATCH(N$1,products!$A$1:$G$1,0))</f>
        <v>2.6849999999999996</v>
      </c>
      <c r="O422" s="7">
        <f t="shared" si="6"/>
        <v>8.0549999999999997</v>
      </c>
      <c r="P422" t="str" cm="1">
        <f t="array" ref="P422">_xlfn.IFS(K422="Rob","Robusta",K422="Exc","Excelsa",K422="Ara","Arabica",K422="Lib","Liberica")</f>
        <v>Robusta</v>
      </c>
      <c r="Q422" t="str" cm="1">
        <f t="array" ref="Q422">_xlfn.IFS(L422="M","Medium",L422="L","Light",L422="D","Dark")</f>
        <v>Dark</v>
      </c>
      <c r="R422" t="str">
        <f>_xlfn.XLOOKUP(Orders[[#This Row],[Customer ID]],customers!$A$1:$A$1001,customers!$I$1:$I$1001)</f>
        <v>Yes</v>
      </c>
    </row>
    <row r="423" spans="1:18" x14ac:dyDescent="0.35">
      <c r="A423" s="2" t="s">
        <v>3950</v>
      </c>
      <c r="B423" s="4">
        <v>43761</v>
      </c>
      <c r="C423" s="23">
        <f>Orders[[#This Row],[Order Date]]</f>
        <v>43761</v>
      </c>
      <c r="D423" s="2">
        <f>YEAR(Orders[[#This Row],[Order Date]])</f>
        <v>2019</v>
      </c>
      <c r="E423" s="2" t="s">
        <v>3951</v>
      </c>
      <c r="F423" t="s">
        <v>6146</v>
      </c>
      <c r="G423" s="20">
        <v>1</v>
      </c>
      <c r="H423" s="2" t="str">
        <f>INDEX(customers!$A$1:$I$1001,MATCH($E423,customers!$A$1:$A$1001,),MATCH($H$1,customers!$A$1:$I$1,0))</f>
        <v>Gunilla Lynch</v>
      </c>
      <c r="I423" s="2" t="str">
        <f>IF(INDEX(customers!$A$1:$I$1001,MATCH($E423,customers!$A$1:$A$1001,0),3)=0,"",INDEX(customers!$A$1:$I$1001,MATCH($E423,customers!$A$1:$A$1001,0),3))</f>
        <v/>
      </c>
      <c r="J423" s="2" t="str">
        <f>_xlfn.XLOOKUP(E423,customers!$A$1:$A$1001,customers!$G$1:$G$1001)</f>
        <v>United States</v>
      </c>
      <c r="K423" t="str">
        <f>INDEX(products!$A$1:$G$49,MATCH($F423,products!$A$1:$A$49,0),MATCH(K$1,products!$A$1:$G$1,0))</f>
        <v>Rob</v>
      </c>
      <c r="L423" t="str">
        <f>INDEX(products!$A$1:$G$49,MATCH($F423,products!$A$1:$A$49,0),MATCH(L$1,products!$A$1:$G$1,0))</f>
        <v>M</v>
      </c>
      <c r="M423" s="5">
        <f>INDEX(products!$A$1:$G$49,MATCH($F423,products!$A$1:$A$49,0),MATCH(M$1,products!$A$1:$G$1,0))</f>
        <v>0.5</v>
      </c>
      <c r="N423" s="7">
        <f>INDEX(products!$A$1:$G$49,MATCH($F423,products!$A$1:$A$49,0),MATCH(N$1,products!$A$1:$G$1,0))</f>
        <v>5.97</v>
      </c>
      <c r="O423" s="7">
        <f t="shared" si="6"/>
        <v>5.97</v>
      </c>
      <c r="P423" t="str" cm="1">
        <f t="array" ref="P423">_xlfn.IFS(K423="Rob","Robusta",K423="Exc","Excelsa",K423="Ara","Arabica",K423="Lib","Liberica")</f>
        <v>Robusta</v>
      </c>
      <c r="Q423" t="str" cm="1">
        <f t="array" ref="Q423">_xlfn.IFS(L423="M","Medium",L423="L","Light",L423="D","Dark")</f>
        <v>Medium</v>
      </c>
      <c r="R423" t="str">
        <f>_xlfn.XLOOKUP(Orders[[#This Row],[Customer ID]],customers!$A$1:$A$1001,customers!$I$1:$I$1001)</f>
        <v>No</v>
      </c>
    </row>
    <row r="424" spans="1:18" x14ac:dyDescent="0.35">
      <c r="A424" s="2" t="s">
        <v>2056</v>
      </c>
      <c r="B424" s="4">
        <v>44183</v>
      </c>
      <c r="C424" s="23">
        <f>Orders[[#This Row],[Order Date]]</f>
        <v>44183</v>
      </c>
      <c r="D424" s="2">
        <f>YEAR(Orders[[#This Row],[Order Date]])</f>
        <v>2020</v>
      </c>
      <c r="E424" s="2" t="s">
        <v>2057</v>
      </c>
      <c r="F424" t="s">
        <v>6171</v>
      </c>
      <c r="G424" s="20">
        <v>6</v>
      </c>
      <c r="H424" s="2" t="str">
        <f>INDEX(customers!$A$1:$I$1001,MATCH($E424,customers!$A$1:$A$1001,),MATCH($H$1,customers!$A$1:$I$1,0))</f>
        <v>Gussy Broadbear</v>
      </c>
      <c r="I424" s="2" t="str">
        <f>IF(INDEX(customers!$A$1:$I$1001,MATCH($E424,customers!$A$1:$A$1001,0),3)=0,"",INDEX(customers!$A$1:$I$1001,MATCH($E424,customers!$A$1:$A$1001,0),3))</f>
        <v>gbroadbear7p@omniture.com</v>
      </c>
      <c r="J424" s="2" t="str">
        <f>_xlfn.XLOOKUP(E424,customers!$A$1:$A$1001,customers!$G$1:$G$1001)</f>
        <v>United States</v>
      </c>
      <c r="K424" t="str">
        <f>INDEX(products!$A$1:$G$49,MATCH($F424,products!$A$1:$A$49,0),MATCH(K$1,products!$A$1:$G$1,0))</f>
        <v>Exc</v>
      </c>
      <c r="L424" t="str">
        <f>INDEX(products!$A$1:$G$49,MATCH($F424,products!$A$1:$A$49,0),MATCH(L$1,products!$A$1:$G$1,0))</f>
        <v>L</v>
      </c>
      <c r="M424" s="5">
        <f>INDEX(products!$A$1:$G$49,MATCH($F424,products!$A$1:$A$49,0),MATCH(M$1,products!$A$1:$G$1,0))</f>
        <v>1</v>
      </c>
      <c r="N424" s="7">
        <f>INDEX(products!$A$1:$G$49,MATCH($F424,products!$A$1:$A$49,0),MATCH(N$1,products!$A$1:$G$1,0))</f>
        <v>14.85</v>
      </c>
      <c r="O424" s="7">
        <f t="shared" si="6"/>
        <v>89.1</v>
      </c>
      <c r="P424" t="str" cm="1">
        <f t="array" ref="P424">_xlfn.IFS(K424="Rob","Robusta",K424="Exc","Excelsa",K424="Ara","Arabica",K424="Lib","Liberica")</f>
        <v>Excelsa</v>
      </c>
      <c r="Q424" t="str" cm="1">
        <f t="array" ref="Q424">_xlfn.IFS(L424="M","Medium",L424="L","Light",L424="D","Dark")</f>
        <v>Light</v>
      </c>
      <c r="R424" t="str">
        <f>_xlfn.XLOOKUP(Orders[[#This Row],[Customer ID]],customers!$A$1:$A$1001,customers!$I$1:$I$1001)</f>
        <v>No</v>
      </c>
    </row>
    <row r="425" spans="1:18" x14ac:dyDescent="0.35">
      <c r="A425" s="2" t="s">
        <v>5626</v>
      </c>
      <c r="B425" s="4">
        <v>43836</v>
      </c>
      <c r="C425" s="23">
        <f>Orders[[#This Row],[Order Date]]</f>
        <v>43836</v>
      </c>
      <c r="D425" s="2">
        <f>YEAR(Orders[[#This Row],[Order Date]])</f>
        <v>2020</v>
      </c>
      <c r="E425" s="2" t="s">
        <v>5627</v>
      </c>
      <c r="F425" t="s">
        <v>6179</v>
      </c>
      <c r="G425" s="20">
        <v>5</v>
      </c>
      <c r="H425" s="2" t="str">
        <f>INDEX(customers!$A$1:$I$1001,MATCH($E425,customers!$A$1:$A$1001,),MATCH($H$1,customers!$A$1:$I$1,0))</f>
        <v>Gustaf Ciccotti</v>
      </c>
      <c r="I425" s="2" t="str">
        <f>IF(INDEX(customers!$A$1:$I$1001,MATCH($E425,customers!$A$1:$A$1001,0),3)=0,"",INDEX(customers!$A$1:$I$1001,MATCH($E425,customers!$A$1:$A$1001,0),3))</f>
        <v>gciccottip8@so-net.ne.jp</v>
      </c>
      <c r="J425" s="2" t="str">
        <f>_xlfn.XLOOKUP(E425,customers!$A$1:$A$1001,customers!$G$1:$G$1001)</f>
        <v>United States</v>
      </c>
      <c r="K425" t="str">
        <f>INDEX(products!$A$1:$G$49,MATCH($F425,products!$A$1:$A$49,0),MATCH(K$1,products!$A$1:$G$1,0))</f>
        <v>Rob</v>
      </c>
      <c r="L425" t="str">
        <f>INDEX(products!$A$1:$G$49,MATCH($F425,products!$A$1:$A$49,0),MATCH(L$1,products!$A$1:$G$1,0))</f>
        <v>L</v>
      </c>
      <c r="M425" s="5">
        <f>INDEX(products!$A$1:$G$49,MATCH($F425,products!$A$1:$A$49,0),MATCH(M$1,products!$A$1:$G$1,0))</f>
        <v>1</v>
      </c>
      <c r="N425" s="7">
        <f>INDEX(products!$A$1:$G$49,MATCH($F425,products!$A$1:$A$49,0),MATCH(N$1,products!$A$1:$G$1,0))</f>
        <v>11.95</v>
      </c>
      <c r="O425" s="7">
        <f t="shared" si="6"/>
        <v>59.75</v>
      </c>
      <c r="P425" t="str" cm="1">
        <f t="array" ref="P425">_xlfn.IFS(K425="Rob","Robusta",K425="Exc","Excelsa",K425="Ara","Arabica",K425="Lib","Liberica")</f>
        <v>Robusta</v>
      </c>
      <c r="Q425" t="str" cm="1">
        <f t="array" ref="Q425">_xlfn.IFS(L425="M","Medium",L425="L","Light",L425="D","Dark")</f>
        <v>Light</v>
      </c>
      <c r="R425" t="str">
        <f>_xlfn.XLOOKUP(Orders[[#This Row],[Customer ID]],customers!$A$1:$A$1001,customers!$I$1:$I$1001)</f>
        <v>No</v>
      </c>
    </row>
    <row r="426" spans="1:18" x14ac:dyDescent="0.35">
      <c r="A426" s="2" t="s">
        <v>535</v>
      </c>
      <c r="B426" s="4">
        <v>43467</v>
      </c>
      <c r="C426" s="23">
        <f>Orders[[#This Row],[Order Date]]</f>
        <v>43467</v>
      </c>
      <c r="D426" s="2">
        <f>YEAR(Orders[[#This Row],[Order Date]])</f>
        <v>2019</v>
      </c>
      <c r="E426" s="2" t="s">
        <v>536</v>
      </c>
      <c r="F426" t="s">
        <v>6146</v>
      </c>
      <c r="G426" s="20">
        <v>3</v>
      </c>
      <c r="H426" s="2" t="str">
        <f>INDEX(customers!$A$1:$I$1001,MATCH($E426,customers!$A$1:$A$1001,),MATCH($H$1,customers!$A$1:$I$1,0))</f>
        <v>Guthrey Petracci</v>
      </c>
      <c r="I426" s="2" t="str">
        <f>IF(INDEX(customers!$A$1:$I$1001,MATCH($E426,customers!$A$1:$A$1001,0),3)=0,"",INDEX(customers!$A$1:$I$1001,MATCH($E426,customers!$A$1:$A$1001,0),3))</f>
        <v>gpetracci8@livejournal.com</v>
      </c>
      <c r="J426" s="2" t="str">
        <f>_xlfn.XLOOKUP(E426,customers!$A$1:$A$1001,customers!$G$1:$G$1001)</f>
        <v>United States</v>
      </c>
      <c r="K426" t="str">
        <f>INDEX(products!$A$1:$G$49,MATCH($F426,products!$A$1:$A$49,0),MATCH(K$1,products!$A$1:$G$1,0))</f>
        <v>Rob</v>
      </c>
      <c r="L426" t="str">
        <f>INDEX(products!$A$1:$G$49,MATCH($F426,products!$A$1:$A$49,0),MATCH(L$1,products!$A$1:$G$1,0))</f>
        <v>M</v>
      </c>
      <c r="M426" s="5">
        <f>INDEX(products!$A$1:$G$49,MATCH($F426,products!$A$1:$A$49,0),MATCH(M$1,products!$A$1:$G$1,0))</f>
        <v>0.5</v>
      </c>
      <c r="N426" s="7">
        <f>INDEX(products!$A$1:$G$49,MATCH($F426,products!$A$1:$A$49,0),MATCH(N$1,products!$A$1:$G$1,0))</f>
        <v>5.97</v>
      </c>
      <c r="O426" s="7">
        <f t="shared" si="6"/>
        <v>17.91</v>
      </c>
      <c r="P426" t="str" cm="1">
        <f t="array" ref="P426">_xlfn.IFS(K426="Rob","Robusta",K426="Exc","Excelsa",K426="Ara","Arabica",K426="Lib","Liberica")</f>
        <v>Robusta</v>
      </c>
      <c r="Q426" t="str" cm="1">
        <f t="array" ref="Q426">_xlfn.IFS(L426="M","Medium",L426="L","Light",L426="D","Dark")</f>
        <v>Medium</v>
      </c>
      <c r="R426" t="str">
        <f>_xlfn.XLOOKUP(Orders[[#This Row],[Customer ID]],customers!$A$1:$A$1001,customers!$I$1:$I$1001)</f>
        <v>No</v>
      </c>
    </row>
    <row r="427" spans="1:18" x14ac:dyDescent="0.35">
      <c r="A427" s="2" t="s">
        <v>5855</v>
      </c>
      <c r="B427" s="4">
        <v>44449</v>
      </c>
      <c r="C427" s="23">
        <f>Orders[[#This Row],[Order Date]]</f>
        <v>44449</v>
      </c>
      <c r="D427" s="2">
        <f>YEAR(Orders[[#This Row],[Order Date]])</f>
        <v>2021</v>
      </c>
      <c r="E427" s="2" t="s">
        <v>5856</v>
      </c>
      <c r="F427" t="s">
        <v>6142</v>
      </c>
      <c r="G427" s="20">
        <v>4</v>
      </c>
      <c r="H427" s="2" t="str">
        <f>INDEX(customers!$A$1:$I$1001,MATCH($E427,customers!$A$1:$A$1001,),MATCH($H$1,customers!$A$1:$I$1,0))</f>
        <v>Gwenni Ratt</v>
      </c>
      <c r="I427" s="2" t="str">
        <f>IF(INDEX(customers!$A$1:$I$1001,MATCH($E427,customers!$A$1:$A$1001,0),3)=0,"",INDEX(customers!$A$1:$I$1001,MATCH($E427,customers!$A$1:$A$1001,0),3))</f>
        <v>grattqd@phpbb.com</v>
      </c>
      <c r="J427" s="2" t="str">
        <f>_xlfn.XLOOKUP(E427,customers!$A$1:$A$1001,customers!$G$1:$G$1001)</f>
        <v>Ireland</v>
      </c>
      <c r="K427" t="str">
        <f>INDEX(products!$A$1:$G$49,MATCH($F427,products!$A$1:$A$49,0),MATCH(K$1,products!$A$1:$G$1,0))</f>
        <v>Rob</v>
      </c>
      <c r="L427" t="str">
        <f>INDEX(products!$A$1:$G$49,MATCH($F427,products!$A$1:$A$49,0),MATCH(L$1,products!$A$1:$G$1,0))</f>
        <v>L</v>
      </c>
      <c r="M427" s="5">
        <f>INDEX(products!$A$1:$G$49,MATCH($F427,products!$A$1:$A$49,0),MATCH(M$1,products!$A$1:$G$1,0))</f>
        <v>2.5</v>
      </c>
      <c r="N427" s="7">
        <f>INDEX(products!$A$1:$G$49,MATCH($F427,products!$A$1:$A$49,0),MATCH(N$1,products!$A$1:$G$1,0))</f>
        <v>27.484999999999996</v>
      </c>
      <c r="O427" s="7">
        <f t="shared" si="6"/>
        <v>109.93999999999998</v>
      </c>
      <c r="P427" t="str" cm="1">
        <f t="array" ref="P427">_xlfn.IFS(K427="Rob","Robusta",K427="Exc","Excelsa",K427="Ara","Arabica",K427="Lib","Liberica")</f>
        <v>Robusta</v>
      </c>
      <c r="Q427" t="str" cm="1">
        <f t="array" ref="Q427">_xlfn.IFS(L427="M","Medium",L427="L","Light",L427="D","Dark")</f>
        <v>Light</v>
      </c>
      <c r="R427" t="str">
        <f>_xlfn.XLOOKUP(Orders[[#This Row],[Customer ID]],customers!$A$1:$A$1001,customers!$I$1:$I$1001)</f>
        <v>No</v>
      </c>
    </row>
    <row r="428" spans="1:18" x14ac:dyDescent="0.35">
      <c r="A428" s="2" t="s">
        <v>5693</v>
      </c>
      <c r="B428" s="4">
        <v>44711</v>
      </c>
      <c r="C428" s="23">
        <f>Orders[[#This Row],[Order Date]]</f>
        <v>44711</v>
      </c>
      <c r="D428" s="2">
        <f>YEAR(Orders[[#This Row],[Order Date]])</f>
        <v>2022</v>
      </c>
      <c r="E428" s="2" t="s">
        <v>5694</v>
      </c>
      <c r="F428" t="s">
        <v>6149</v>
      </c>
      <c r="G428" s="20">
        <v>6</v>
      </c>
      <c r="H428" s="2" t="str">
        <f>INDEX(customers!$A$1:$I$1001,MATCH($E428,customers!$A$1:$A$1001,),MATCH($H$1,customers!$A$1:$I$1,0))</f>
        <v>Hadley Reuven</v>
      </c>
      <c r="I428" s="2" t="str">
        <f>IF(INDEX(customers!$A$1:$I$1001,MATCH($E428,customers!$A$1:$A$1001,0),3)=0,"",INDEX(customers!$A$1:$I$1001,MATCH($E428,customers!$A$1:$A$1001,0),3))</f>
        <v>hreuvenpk@whitehouse.gov</v>
      </c>
      <c r="J428" s="2" t="str">
        <f>_xlfn.XLOOKUP(E428,customers!$A$1:$A$1001,customers!$G$1:$G$1001)</f>
        <v>United States</v>
      </c>
      <c r="K428" t="str">
        <f>INDEX(products!$A$1:$G$49,MATCH($F428,products!$A$1:$A$49,0),MATCH(K$1,products!$A$1:$G$1,0))</f>
        <v>Rob</v>
      </c>
      <c r="L428" t="str">
        <f>INDEX(products!$A$1:$G$49,MATCH($F428,products!$A$1:$A$49,0),MATCH(L$1,products!$A$1:$G$1,0))</f>
        <v>D</v>
      </c>
      <c r="M428" s="5">
        <f>INDEX(products!$A$1:$G$49,MATCH($F428,products!$A$1:$A$49,0),MATCH(M$1,products!$A$1:$G$1,0))</f>
        <v>2.5</v>
      </c>
      <c r="N428" s="7">
        <f>INDEX(products!$A$1:$G$49,MATCH($F428,products!$A$1:$A$49,0),MATCH(N$1,products!$A$1:$G$1,0))</f>
        <v>20.584999999999997</v>
      </c>
      <c r="O428" s="7">
        <f t="shared" si="6"/>
        <v>123.50999999999999</v>
      </c>
      <c r="P428" t="str" cm="1">
        <f t="array" ref="P428">_xlfn.IFS(K428="Rob","Robusta",K428="Exc","Excelsa",K428="Ara","Arabica",K428="Lib","Liberica")</f>
        <v>Robusta</v>
      </c>
      <c r="Q428" t="str" cm="1">
        <f t="array" ref="Q428">_xlfn.IFS(L428="M","Medium",L428="L","Light",L428="D","Dark")</f>
        <v>Dark</v>
      </c>
      <c r="R428" t="str">
        <f>_xlfn.XLOOKUP(Orders[[#This Row],[Customer ID]],customers!$A$1:$A$1001,customers!$I$1:$I$1001)</f>
        <v>No</v>
      </c>
    </row>
    <row r="429" spans="1:18" x14ac:dyDescent="0.35">
      <c r="A429" s="2" t="s">
        <v>4017</v>
      </c>
      <c r="B429" s="4">
        <v>44017</v>
      </c>
      <c r="C429" s="23">
        <f>Orders[[#This Row],[Order Date]]</f>
        <v>44017</v>
      </c>
      <c r="D429" s="2">
        <f>YEAR(Orders[[#This Row],[Order Date]])</f>
        <v>2020</v>
      </c>
      <c r="E429" s="2" t="s">
        <v>4018</v>
      </c>
      <c r="F429" t="s">
        <v>6173</v>
      </c>
      <c r="G429" s="20">
        <v>5</v>
      </c>
      <c r="H429" s="2" t="str">
        <f>INDEX(customers!$A$1:$I$1001,MATCH($E429,customers!$A$1:$A$1001,),MATCH($H$1,customers!$A$1:$I$1,0))</f>
        <v>Hailee Radbone</v>
      </c>
      <c r="I429" s="2" t="str">
        <f>IF(INDEX(customers!$A$1:$I$1001,MATCH($E429,customers!$A$1:$A$1001,0),3)=0,"",INDEX(customers!$A$1:$I$1001,MATCH($E429,customers!$A$1:$A$1001,0),3))</f>
        <v>hradbonehd@newsvine.com</v>
      </c>
      <c r="J429" s="2" t="str">
        <f>_xlfn.XLOOKUP(E429,customers!$A$1:$A$1001,customers!$G$1:$G$1001)</f>
        <v>United States</v>
      </c>
      <c r="K429" t="str">
        <f>INDEX(products!$A$1:$G$49,MATCH($F429,products!$A$1:$A$49,0),MATCH(K$1,products!$A$1:$G$1,0))</f>
        <v>Rob</v>
      </c>
      <c r="L429" t="str">
        <f>INDEX(products!$A$1:$G$49,MATCH($F429,products!$A$1:$A$49,0),MATCH(L$1,products!$A$1:$G$1,0))</f>
        <v>L</v>
      </c>
      <c r="M429" s="5">
        <f>INDEX(products!$A$1:$G$49,MATCH($F429,products!$A$1:$A$49,0),MATCH(M$1,products!$A$1:$G$1,0))</f>
        <v>0.5</v>
      </c>
      <c r="N429" s="7">
        <f>INDEX(products!$A$1:$G$49,MATCH($F429,products!$A$1:$A$49,0),MATCH(N$1,products!$A$1:$G$1,0))</f>
        <v>7.169999999999999</v>
      </c>
      <c r="O429" s="7">
        <f t="shared" si="6"/>
        <v>35.849999999999994</v>
      </c>
      <c r="P429" t="str" cm="1">
        <f t="array" ref="P429">_xlfn.IFS(K429="Rob","Robusta",K429="Exc","Excelsa",K429="Ara","Arabica",K429="Lib","Liberica")</f>
        <v>Robusta</v>
      </c>
      <c r="Q429" t="str" cm="1">
        <f t="array" ref="Q429">_xlfn.IFS(L429="M","Medium",L429="L","Light",L429="D","Dark")</f>
        <v>Light</v>
      </c>
      <c r="R429" t="str">
        <f>_xlfn.XLOOKUP(Orders[[#This Row],[Customer ID]],customers!$A$1:$A$1001,customers!$I$1:$I$1001)</f>
        <v>No</v>
      </c>
    </row>
    <row r="430" spans="1:18" x14ac:dyDescent="0.35">
      <c r="A430" s="2" t="s">
        <v>5591</v>
      </c>
      <c r="B430" s="4">
        <v>43640</v>
      </c>
      <c r="C430" s="23">
        <f>Orders[[#This Row],[Order Date]]</f>
        <v>43640</v>
      </c>
      <c r="D430" s="2">
        <f>YEAR(Orders[[#This Row],[Order Date]])</f>
        <v>2019</v>
      </c>
      <c r="E430" s="2" t="s">
        <v>5592</v>
      </c>
      <c r="F430" t="s">
        <v>6166</v>
      </c>
      <c r="G430" s="20">
        <v>5</v>
      </c>
      <c r="H430" s="2" t="str">
        <f>INDEX(customers!$A$1:$I$1001,MATCH($E430,customers!$A$1:$A$1001,),MATCH($H$1,customers!$A$1:$I$1,0))</f>
        <v>Hall Ranner</v>
      </c>
      <c r="I430" s="2" t="str">
        <f>IF(INDEX(customers!$A$1:$I$1001,MATCH($E430,customers!$A$1:$A$1001,0),3)=0,"",INDEX(customers!$A$1:$I$1001,MATCH($E430,customers!$A$1:$A$1001,0),3))</f>
        <v>hrannerp2@omniture.com</v>
      </c>
      <c r="J430" s="2" t="str">
        <f>_xlfn.XLOOKUP(E430,customers!$A$1:$A$1001,customers!$G$1:$G$1001)</f>
        <v>United States</v>
      </c>
      <c r="K430" t="str">
        <f>INDEX(products!$A$1:$G$49,MATCH($F430,products!$A$1:$A$49,0),MATCH(K$1,products!$A$1:$G$1,0))</f>
        <v>Exc</v>
      </c>
      <c r="L430" t="str">
        <f>INDEX(products!$A$1:$G$49,MATCH($F430,products!$A$1:$A$49,0),MATCH(L$1,products!$A$1:$G$1,0))</f>
        <v>M</v>
      </c>
      <c r="M430" s="5">
        <f>INDEX(products!$A$1:$G$49,MATCH($F430,products!$A$1:$A$49,0),MATCH(M$1,products!$A$1:$G$1,0))</f>
        <v>2.5</v>
      </c>
      <c r="N430" s="7">
        <f>INDEX(products!$A$1:$G$49,MATCH($F430,products!$A$1:$A$49,0),MATCH(N$1,products!$A$1:$G$1,0))</f>
        <v>31.624999999999996</v>
      </c>
      <c r="O430" s="7">
        <f t="shared" si="6"/>
        <v>158.12499999999997</v>
      </c>
      <c r="P430" t="str" cm="1">
        <f t="array" ref="P430">_xlfn.IFS(K430="Rob","Robusta",K430="Exc","Excelsa",K430="Ara","Arabica",K430="Lib","Liberica")</f>
        <v>Excelsa</v>
      </c>
      <c r="Q430" t="str" cm="1">
        <f t="array" ref="Q430">_xlfn.IFS(L430="M","Medium",L430="L","Light",L430="D","Dark")</f>
        <v>Medium</v>
      </c>
      <c r="R430" t="str">
        <f>_xlfn.XLOOKUP(Orders[[#This Row],[Customer ID]],customers!$A$1:$A$1001,customers!$I$1:$I$1001)</f>
        <v>No</v>
      </c>
    </row>
    <row r="431" spans="1:18" x14ac:dyDescent="0.35">
      <c r="A431" s="2" t="s">
        <v>960</v>
      </c>
      <c r="B431" s="4">
        <v>43933</v>
      </c>
      <c r="C431" s="23">
        <f>Orders[[#This Row],[Order Date]]</f>
        <v>43933</v>
      </c>
      <c r="D431" s="2">
        <f>YEAR(Orders[[#This Row],[Order Date]])</f>
        <v>2020</v>
      </c>
      <c r="E431" s="2" t="s">
        <v>961</v>
      </c>
      <c r="F431" t="s">
        <v>6149</v>
      </c>
      <c r="G431" s="20">
        <v>4</v>
      </c>
      <c r="H431" s="2" t="str">
        <f>INDEX(customers!$A$1:$I$1001,MATCH($E431,customers!$A$1:$A$1001,),MATCH($H$1,customers!$A$1:$I$1,0))</f>
        <v>Hally Lorait</v>
      </c>
      <c r="I431" s="2" t="str">
        <f>IF(INDEX(customers!$A$1:$I$1001,MATCH($E431,customers!$A$1:$A$1001,0),3)=0,"",INDEX(customers!$A$1:$I$1001,MATCH($E431,customers!$A$1:$A$1001,0),3))</f>
        <v/>
      </c>
      <c r="J431" s="2" t="str">
        <f>_xlfn.XLOOKUP(E431,customers!$A$1:$A$1001,customers!$G$1:$G$1001)</f>
        <v>United States</v>
      </c>
      <c r="K431" t="str">
        <f>INDEX(products!$A$1:$G$49,MATCH($F431,products!$A$1:$A$49,0),MATCH(K$1,products!$A$1:$G$1,0))</f>
        <v>Rob</v>
      </c>
      <c r="L431" t="str">
        <f>INDEX(products!$A$1:$G$49,MATCH($F431,products!$A$1:$A$49,0),MATCH(L$1,products!$A$1:$G$1,0))</f>
        <v>D</v>
      </c>
      <c r="M431" s="5">
        <f>INDEX(products!$A$1:$G$49,MATCH($F431,products!$A$1:$A$49,0),MATCH(M$1,products!$A$1:$G$1,0))</f>
        <v>2.5</v>
      </c>
      <c r="N431" s="7">
        <f>INDEX(products!$A$1:$G$49,MATCH($F431,products!$A$1:$A$49,0),MATCH(N$1,products!$A$1:$G$1,0))</f>
        <v>20.584999999999997</v>
      </c>
      <c r="O431" s="7">
        <f t="shared" si="6"/>
        <v>82.339999999999989</v>
      </c>
      <c r="P431" t="str" cm="1">
        <f t="array" ref="P431">_xlfn.IFS(K431="Rob","Robusta",K431="Exc","Excelsa",K431="Ara","Arabica",K431="Lib","Liberica")</f>
        <v>Robusta</v>
      </c>
      <c r="Q431" t="str" cm="1">
        <f t="array" ref="Q431">_xlfn.IFS(L431="M","Medium",L431="L","Light",L431="D","Dark")</f>
        <v>Dark</v>
      </c>
      <c r="R431" t="str">
        <f>_xlfn.XLOOKUP(Orders[[#This Row],[Customer ID]],customers!$A$1:$A$1001,customers!$I$1:$I$1001)</f>
        <v>Yes</v>
      </c>
    </row>
    <row r="432" spans="1:18" x14ac:dyDescent="0.35">
      <c r="A432" s="2" t="s">
        <v>1007</v>
      </c>
      <c r="B432" s="4">
        <v>44037</v>
      </c>
      <c r="C432" s="23">
        <f>Orders[[#This Row],[Order Date]]</f>
        <v>44037</v>
      </c>
      <c r="D432" s="2">
        <f>YEAR(Orders[[#This Row],[Order Date]])</f>
        <v>2020</v>
      </c>
      <c r="E432" s="2" t="s">
        <v>1008</v>
      </c>
      <c r="F432" t="s">
        <v>6171</v>
      </c>
      <c r="G432" s="20">
        <v>3</v>
      </c>
      <c r="H432" s="2" t="str">
        <f>INDEX(customers!$A$1:$I$1001,MATCH($E432,customers!$A$1:$A$1001,),MATCH($H$1,customers!$A$1:$I$1,0))</f>
        <v>Hamish MacSherry</v>
      </c>
      <c r="I432" s="2" t="str">
        <f>IF(INDEX(customers!$A$1:$I$1001,MATCH($E432,customers!$A$1:$A$1001,0),3)=0,"",INDEX(customers!$A$1:$I$1001,MATCH($E432,customers!$A$1:$A$1001,0),3))</f>
        <v/>
      </c>
      <c r="J432" s="2" t="str">
        <f>_xlfn.XLOOKUP(E432,customers!$A$1:$A$1001,customers!$G$1:$G$1001)</f>
        <v>United States</v>
      </c>
      <c r="K432" t="str">
        <f>INDEX(products!$A$1:$G$49,MATCH($F432,products!$A$1:$A$49,0),MATCH(K$1,products!$A$1:$G$1,0))</f>
        <v>Exc</v>
      </c>
      <c r="L432" t="str">
        <f>INDEX(products!$A$1:$G$49,MATCH($F432,products!$A$1:$A$49,0),MATCH(L$1,products!$A$1:$G$1,0))</f>
        <v>L</v>
      </c>
      <c r="M432" s="5">
        <f>INDEX(products!$A$1:$G$49,MATCH($F432,products!$A$1:$A$49,0),MATCH(M$1,products!$A$1:$G$1,0))</f>
        <v>1</v>
      </c>
      <c r="N432" s="7">
        <f>INDEX(products!$A$1:$G$49,MATCH($F432,products!$A$1:$A$49,0),MATCH(N$1,products!$A$1:$G$1,0))</f>
        <v>14.85</v>
      </c>
      <c r="O432" s="7">
        <f t="shared" si="6"/>
        <v>44.55</v>
      </c>
      <c r="P432" t="str" cm="1">
        <f t="array" ref="P432">_xlfn.IFS(K432="Rob","Robusta",K432="Exc","Excelsa",K432="Ara","Arabica",K432="Lib","Liberica")</f>
        <v>Excelsa</v>
      </c>
      <c r="Q432" t="str" cm="1">
        <f t="array" ref="Q432">_xlfn.IFS(L432="M","Medium",L432="L","Light",L432="D","Dark")</f>
        <v>Light</v>
      </c>
      <c r="R432" t="str">
        <f>_xlfn.XLOOKUP(Orders[[#This Row],[Customer ID]],customers!$A$1:$A$1001,customers!$I$1:$I$1001)</f>
        <v>Yes</v>
      </c>
    </row>
    <row r="433" spans="1:18" x14ac:dyDescent="0.35">
      <c r="A433" s="2" t="s">
        <v>2798</v>
      </c>
      <c r="B433" s="4">
        <v>44203</v>
      </c>
      <c r="C433" s="23">
        <f>Orders[[#This Row],[Order Date]]</f>
        <v>44203</v>
      </c>
      <c r="D433" s="2">
        <f>YEAR(Orders[[#This Row],[Order Date]])</f>
        <v>2021</v>
      </c>
      <c r="E433" s="2" t="s">
        <v>2799</v>
      </c>
      <c r="F433" t="s">
        <v>6170</v>
      </c>
      <c r="G433" s="20">
        <v>3</v>
      </c>
      <c r="H433" s="2" t="str">
        <f>INDEX(customers!$A$1:$I$1001,MATCH($E433,customers!$A$1:$A$1001,),MATCH($H$1,customers!$A$1:$I$1,0))</f>
        <v>Hamish Skeech</v>
      </c>
      <c r="I433" s="2" t="str">
        <f>IF(INDEX(customers!$A$1:$I$1001,MATCH($E433,customers!$A$1:$A$1001,0),3)=0,"",INDEX(customers!$A$1:$I$1001,MATCH($E433,customers!$A$1:$A$1001,0),3))</f>
        <v/>
      </c>
      <c r="J433" s="2" t="str">
        <f>_xlfn.XLOOKUP(E433,customers!$A$1:$A$1001,customers!$G$1:$G$1001)</f>
        <v>Ireland</v>
      </c>
      <c r="K433" t="str">
        <f>INDEX(products!$A$1:$G$49,MATCH($F433,products!$A$1:$A$49,0),MATCH(K$1,products!$A$1:$G$1,0))</f>
        <v>Lib</v>
      </c>
      <c r="L433" t="str">
        <f>INDEX(products!$A$1:$G$49,MATCH($F433,products!$A$1:$A$49,0),MATCH(L$1,products!$A$1:$G$1,0))</f>
        <v>L</v>
      </c>
      <c r="M433" s="5">
        <f>INDEX(products!$A$1:$G$49,MATCH($F433,products!$A$1:$A$49,0),MATCH(M$1,products!$A$1:$G$1,0))</f>
        <v>1</v>
      </c>
      <c r="N433" s="7">
        <f>INDEX(products!$A$1:$G$49,MATCH($F433,products!$A$1:$A$49,0),MATCH(N$1,products!$A$1:$G$1,0))</f>
        <v>15.85</v>
      </c>
      <c r="O433" s="7">
        <f t="shared" si="6"/>
        <v>47.55</v>
      </c>
      <c r="P433" t="str" cm="1">
        <f t="array" ref="P433">_xlfn.IFS(K433="Rob","Robusta",K433="Exc","Excelsa",K433="Ara","Arabica",K433="Lib","Liberica")</f>
        <v>Liberica</v>
      </c>
      <c r="Q433" t="str" cm="1">
        <f t="array" ref="Q433">_xlfn.IFS(L433="M","Medium",L433="L","Light",L433="D","Dark")</f>
        <v>Light</v>
      </c>
      <c r="R433" t="str">
        <f>_xlfn.XLOOKUP(Orders[[#This Row],[Customer ID]],customers!$A$1:$A$1001,customers!$I$1:$I$1001)</f>
        <v>Yes</v>
      </c>
    </row>
    <row r="434" spans="1:18" x14ac:dyDescent="0.35">
      <c r="A434" s="2" t="s">
        <v>3294</v>
      </c>
      <c r="B434" s="4">
        <v>44438</v>
      </c>
      <c r="C434" s="23">
        <f>Orders[[#This Row],[Order Date]]</f>
        <v>44438</v>
      </c>
      <c r="D434" s="2">
        <f>YEAR(Orders[[#This Row],[Order Date]])</f>
        <v>2021</v>
      </c>
      <c r="E434" s="2" t="s">
        <v>3295</v>
      </c>
      <c r="F434" t="s">
        <v>6153</v>
      </c>
      <c r="G434" s="20">
        <v>3</v>
      </c>
      <c r="H434" s="2" t="str">
        <f>INDEX(customers!$A$1:$I$1001,MATCH($E434,customers!$A$1:$A$1001,),MATCH($H$1,customers!$A$1:$I$1,0))</f>
        <v>Hamlen Pallister</v>
      </c>
      <c r="I434" s="2" t="str">
        <f>IF(INDEX(customers!$A$1:$I$1001,MATCH($E434,customers!$A$1:$A$1001,0),3)=0,"",INDEX(customers!$A$1:$I$1001,MATCH($E434,customers!$A$1:$A$1001,0),3))</f>
        <v>hpallisterds@ning.com</v>
      </c>
      <c r="J434" s="2" t="str">
        <f>_xlfn.XLOOKUP(E434,customers!$A$1:$A$1001,customers!$G$1:$G$1001)</f>
        <v>United States</v>
      </c>
      <c r="K434" t="str">
        <f>INDEX(products!$A$1:$G$49,MATCH($F434,products!$A$1:$A$49,0),MATCH(K$1,products!$A$1:$G$1,0))</f>
        <v>Exc</v>
      </c>
      <c r="L434" t="str">
        <f>INDEX(products!$A$1:$G$49,MATCH($F434,products!$A$1:$A$49,0),MATCH(L$1,products!$A$1:$G$1,0))</f>
        <v>D</v>
      </c>
      <c r="M434" s="5">
        <f>INDEX(products!$A$1:$G$49,MATCH($F434,products!$A$1:$A$49,0),MATCH(M$1,products!$A$1:$G$1,0))</f>
        <v>0.2</v>
      </c>
      <c r="N434" s="7">
        <f>INDEX(products!$A$1:$G$49,MATCH($F434,products!$A$1:$A$49,0),MATCH(N$1,products!$A$1:$G$1,0))</f>
        <v>3.645</v>
      </c>
      <c r="O434" s="7">
        <f t="shared" si="6"/>
        <v>10.935</v>
      </c>
      <c r="P434" t="str" cm="1">
        <f t="array" ref="P434">_xlfn.IFS(K434="Rob","Robusta",K434="Exc","Excelsa",K434="Ara","Arabica",K434="Lib","Liberica")</f>
        <v>Excelsa</v>
      </c>
      <c r="Q434" t="str" cm="1">
        <f t="array" ref="Q434">_xlfn.IFS(L434="M","Medium",L434="L","Light",L434="D","Dark")</f>
        <v>Dark</v>
      </c>
      <c r="R434" t="str">
        <f>_xlfn.XLOOKUP(Orders[[#This Row],[Customer ID]],customers!$A$1:$A$1001,customers!$I$1:$I$1001)</f>
        <v>No</v>
      </c>
    </row>
    <row r="435" spans="1:18" x14ac:dyDescent="0.35">
      <c r="A435" s="2" t="s">
        <v>5672</v>
      </c>
      <c r="B435" s="4">
        <v>44291</v>
      </c>
      <c r="C435" s="23">
        <f>Orders[[#This Row],[Order Date]]</f>
        <v>44291</v>
      </c>
      <c r="D435" s="2">
        <f>YEAR(Orders[[#This Row],[Order Date]])</f>
        <v>2021</v>
      </c>
      <c r="E435" s="2" t="s">
        <v>5673</v>
      </c>
      <c r="F435" t="s">
        <v>6153</v>
      </c>
      <c r="G435" s="20">
        <v>1</v>
      </c>
      <c r="H435" s="2" t="str">
        <f>INDEX(customers!$A$1:$I$1001,MATCH($E435,customers!$A$1:$A$1001,),MATCH($H$1,customers!$A$1:$I$1,0))</f>
        <v>Harland Trematick</v>
      </c>
      <c r="I435" s="2" t="str">
        <f>IF(INDEX(customers!$A$1:$I$1001,MATCH($E435,customers!$A$1:$A$1001,0),3)=0,"",INDEX(customers!$A$1:$I$1001,MATCH($E435,customers!$A$1:$A$1001,0),3))</f>
        <v/>
      </c>
      <c r="J435" s="2" t="str">
        <f>_xlfn.XLOOKUP(E435,customers!$A$1:$A$1001,customers!$G$1:$G$1001)</f>
        <v>Ireland</v>
      </c>
      <c r="K435" t="str">
        <f>INDEX(products!$A$1:$G$49,MATCH($F435,products!$A$1:$A$49,0),MATCH(K$1,products!$A$1:$G$1,0))</f>
        <v>Exc</v>
      </c>
      <c r="L435" t="str">
        <f>INDEX(products!$A$1:$G$49,MATCH($F435,products!$A$1:$A$49,0),MATCH(L$1,products!$A$1:$G$1,0))</f>
        <v>D</v>
      </c>
      <c r="M435" s="5">
        <f>INDEX(products!$A$1:$G$49,MATCH($F435,products!$A$1:$A$49,0),MATCH(M$1,products!$A$1:$G$1,0))</f>
        <v>0.2</v>
      </c>
      <c r="N435" s="7">
        <f>INDEX(products!$A$1:$G$49,MATCH($F435,products!$A$1:$A$49,0),MATCH(N$1,products!$A$1:$G$1,0))</f>
        <v>3.645</v>
      </c>
      <c r="O435" s="7">
        <f t="shared" si="6"/>
        <v>3.645</v>
      </c>
      <c r="P435" t="str" cm="1">
        <f t="array" ref="P435">_xlfn.IFS(K435="Rob","Robusta",K435="Exc","Excelsa",K435="Ara","Arabica",K435="Lib","Liberica")</f>
        <v>Excelsa</v>
      </c>
      <c r="Q435" t="str" cm="1">
        <f t="array" ref="Q435">_xlfn.IFS(L435="M","Medium",L435="L","Light",L435="D","Dark")</f>
        <v>Dark</v>
      </c>
      <c r="R435" t="str">
        <f>_xlfn.XLOOKUP(Orders[[#This Row],[Customer ID]],customers!$A$1:$A$1001,customers!$I$1:$I$1001)</f>
        <v>Yes</v>
      </c>
    </row>
    <row r="436" spans="1:18" x14ac:dyDescent="0.35">
      <c r="A436" s="2" t="s">
        <v>784</v>
      </c>
      <c r="B436" s="4">
        <v>43719</v>
      </c>
      <c r="C436" s="23">
        <f>Orders[[#This Row],[Order Date]]</f>
        <v>43719</v>
      </c>
      <c r="D436" s="2">
        <f>YEAR(Orders[[#This Row],[Order Date]])</f>
        <v>2019</v>
      </c>
      <c r="E436" s="2" t="s">
        <v>785</v>
      </c>
      <c r="F436" t="s">
        <v>6146</v>
      </c>
      <c r="G436" s="20">
        <v>5</v>
      </c>
      <c r="H436" s="2" t="str">
        <f>INDEX(customers!$A$1:$I$1001,MATCH($E436,customers!$A$1:$A$1001,),MATCH($H$1,customers!$A$1:$I$1,0))</f>
        <v>Hartley Mattioli</v>
      </c>
      <c r="I436" s="2" t="str">
        <f>IF(INDEX(customers!$A$1:$I$1001,MATCH($E436,customers!$A$1:$A$1001,0),3)=0,"",INDEX(customers!$A$1:$I$1001,MATCH($E436,customers!$A$1:$A$1001,0),3))</f>
        <v>hmattioli1g@webmd.com</v>
      </c>
      <c r="J436" s="2" t="str">
        <f>_xlfn.XLOOKUP(E436,customers!$A$1:$A$1001,customers!$G$1:$G$1001)</f>
        <v>United Kingdom</v>
      </c>
      <c r="K436" t="str">
        <f>INDEX(products!$A$1:$G$49,MATCH($F436,products!$A$1:$A$49,0),MATCH(K$1,products!$A$1:$G$1,0))</f>
        <v>Rob</v>
      </c>
      <c r="L436" t="str">
        <f>INDEX(products!$A$1:$G$49,MATCH($F436,products!$A$1:$A$49,0),MATCH(L$1,products!$A$1:$G$1,0))</f>
        <v>M</v>
      </c>
      <c r="M436" s="5">
        <f>INDEX(products!$A$1:$G$49,MATCH($F436,products!$A$1:$A$49,0),MATCH(M$1,products!$A$1:$G$1,0))</f>
        <v>0.5</v>
      </c>
      <c r="N436" s="7">
        <f>INDEX(products!$A$1:$G$49,MATCH($F436,products!$A$1:$A$49,0),MATCH(N$1,products!$A$1:$G$1,0))</f>
        <v>5.97</v>
      </c>
      <c r="O436" s="7">
        <f t="shared" si="6"/>
        <v>29.849999999999998</v>
      </c>
      <c r="P436" t="str" cm="1">
        <f t="array" ref="P436">_xlfn.IFS(K436="Rob","Robusta",K436="Exc","Excelsa",K436="Ara","Arabica",K436="Lib","Liberica")</f>
        <v>Robusta</v>
      </c>
      <c r="Q436" t="str" cm="1">
        <f t="array" ref="Q436">_xlfn.IFS(L436="M","Medium",L436="L","Light",L436="D","Dark")</f>
        <v>Medium</v>
      </c>
      <c r="R436" t="str">
        <f>_xlfn.XLOOKUP(Orders[[#This Row],[Customer ID]],customers!$A$1:$A$1001,customers!$I$1:$I$1001)</f>
        <v>No</v>
      </c>
    </row>
    <row r="437" spans="1:18" x14ac:dyDescent="0.35">
      <c r="A437" s="2" t="s">
        <v>784</v>
      </c>
      <c r="B437" s="4">
        <v>43719</v>
      </c>
      <c r="C437" s="23">
        <f>Orders[[#This Row],[Order Date]]</f>
        <v>43719</v>
      </c>
      <c r="D437" s="2">
        <f>YEAR(Orders[[#This Row],[Order Date]])</f>
        <v>2019</v>
      </c>
      <c r="E437" s="2" t="s">
        <v>785</v>
      </c>
      <c r="F437" t="s">
        <v>6164</v>
      </c>
      <c r="G437" s="20">
        <v>2</v>
      </c>
      <c r="H437" s="2" t="str">
        <f>INDEX(customers!$A$1:$I$1001,MATCH($E437,customers!$A$1:$A$1001,),MATCH($H$1,customers!$A$1:$I$1,0))</f>
        <v>Hartley Mattioli</v>
      </c>
      <c r="I437" s="2" t="str">
        <f>IF(INDEX(customers!$A$1:$I$1001,MATCH($E437,customers!$A$1:$A$1001,0),3)=0,"",INDEX(customers!$A$1:$I$1001,MATCH($E437,customers!$A$1:$A$1001,0),3))</f>
        <v>hmattioli1g@webmd.com</v>
      </c>
      <c r="J437" s="2" t="str">
        <f>_xlfn.XLOOKUP(E437,customers!$A$1:$A$1001,customers!$G$1:$G$1001)</f>
        <v>United Kingdom</v>
      </c>
      <c r="K437" t="str">
        <f>INDEX(products!$A$1:$G$49,MATCH($F437,products!$A$1:$A$49,0),MATCH(K$1,products!$A$1:$G$1,0))</f>
        <v>Lib</v>
      </c>
      <c r="L437" t="str">
        <f>INDEX(products!$A$1:$G$49,MATCH($F437,products!$A$1:$A$49,0),MATCH(L$1,products!$A$1:$G$1,0))</f>
        <v>L</v>
      </c>
      <c r="M437" s="5">
        <f>INDEX(products!$A$1:$G$49,MATCH($F437,products!$A$1:$A$49,0),MATCH(M$1,products!$A$1:$G$1,0))</f>
        <v>2.5</v>
      </c>
      <c r="N437" s="7">
        <f>INDEX(products!$A$1:$G$49,MATCH($F437,products!$A$1:$A$49,0),MATCH(N$1,products!$A$1:$G$1,0))</f>
        <v>36.454999999999998</v>
      </c>
      <c r="O437" s="7">
        <f t="shared" si="6"/>
        <v>72.91</v>
      </c>
      <c r="P437" t="str" cm="1">
        <f t="array" ref="P437">_xlfn.IFS(K437="Rob","Robusta",K437="Exc","Excelsa",K437="Ara","Arabica",K437="Lib","Liberica")</f>
        <v>Liberica</v>
      </c>
      <c r="Q437" t="str" cm="1">
        <f t="array" ref="Q437">_xlfn.IFS(L437="M","Medium",L437="L","Light",L437="D","Dark")</f>
        <v>Light</v>
      </c>
      <c r="R437" t="str">
        <f>_xlfn.XLOOKUP(Orders[[#This Row],[Customer ID]],customers!$A$1:$A$1001,customers!$I$1:$I$1001)</f>
        <v>No</v>
      </c>
    </row>
    <row r="438" spans="1:18" x14ac:dyDescent="0.35">
      <c r="A438" s="2" t="s">
        <v>2808</v>
      </c>
      <c r="B438" s="4">
        <v>44504</v>
      </c>
      <c r="C438" s="23">
        <f>Orders[[#This Row],[Order Date]]</f>
        <v>44504</v>
      </c>
      <c r="D438" s="2">
        <f>YEAR(Orders[[#This Row],[Order Date]])</f>
        <v>2021</v>
      </c>
      <c r="E438" s="2" t="s">
        <v>2809</v>
      </c>
      <c r="F438" t="s">
        <v>6162</v>
      </c>
      <c r="G438" s="20">
        <v>6</v>
      </c>
      <c r="H438" s="2" t="str">
        <f>INDEX(customers!$A$1:$I$1001,MATCH($E438,customers!$A$1:$A$1001,),MATCH($H$1,customers!$A$1:$I$1,0))</f>
        <v>Harwilll Bishell</v>
      </c>
      <c r="I438" s="2" t="str">
        <f>IF(INDEX(customers!$A$1:$I$1001,MATCH($E438,customers!$A$1:$A$1001,0),3)=0,"",INDEX(customers!$A$1:$I$1001,MATCH($E438,customers!$A$1:$A$1001,0),3))</f>
        <v/>
      </c>
      <c r="J438" s="2" t="str">
        <f>_xlfn.XLOOKUP(E438,customers!$A$1:$A$1001,customers!$G$1:$G$1001)</f>
        <v>United States</v>
      </c>
      <c r="K438" t="str">
        <f>INDEX(products!$A$1:$G$49,MATCH($F438,products!$A$1:$A$49,0),MATCH(K$1,products!$A$1:$G$1,0))</f>
        <v>Lib</v>
      </c>
      <c r="L438" t="str">
        <f>INDEX(products!$A$1:$G$49,MATCH($F438,products!$A$1:$A$49,0),MATCH(L$1,products!$A$1:$G$1,0))</f>
        <v>M</v>
      </c>
      <c r="M438" s="5">
        <f>INDEX(products!$A$1:$G$49,MATCH($F438,products!$A$1:$A$49,0),MATCH(M$1,products!$A$1:$G$1,0))</f>
        <v>1</v>
      </c>
      <c r="N438" s="7">
        <f>INDEX(products!$A$1:$G$49,MATCH($F438,products!$A$1:$A$49,0),MATCH(N$1,products!$A$1:$G$1,0))</f>
        <v>14.55</v>
      </c>
      <c r="O438" s="7">
        <f t="shared" si="6"/>
        <v>87.300000000000011</v>
      </c>
      <c r="P438" t="str" cm="1">
        <f t="array" ref="P438">_xlfn.IFS(K438="Rob","Robusta",K438="Exc","Excelsa",K438="Ara","Arabica",K438="Lib","Liberica")</f>
        <v>Liberica</v>
      </c>
      <c r="Q438" t="str" cm="1">
        <f t="array" ref="Q438">_xlfn.IFS(L438="M","Medium",L438="L","Light",L438="D","Dark")</f>
        <v>Medium</v>
      </c>
      <c r="R438" t="str">
        <f>_xlfn.XLOOKUP(Orders[[#This Row],[Customer ID]],customers!$A$1:$A$1001,customers!$I$1:$I$1001)</f>
        <v>Yes</v>
      </c>
    </row>
    <row r="439" spans="1:18" x14ac:dyDescent="0.35">
      <c r="A439" s="2" t="s">
        <v>4926</v>
      </c>
      <c r="B439" s="4">
        <v>44362</v>
      </c>
      <c r="C439" s="23">
        <f>Orders[[#This Row],[Order Date]]</f>
        <v>44362</v>
      </c>
      <c r="D439" s="2">
        <f>YEAR(Orders[[#This Row],[Order Date]])</f>
        <v>2021</v>
      </c>
      <c r="E439" s="2" t="s">
        <v>4927</v>
      </c>
      <c r="F439" t="s">
        <v>6168</v>
      </c>
      <c r="G439" s="20">
        <v>1</v>
      </c>
      <c r="H439" s="2" t="str">
        <f>INDEX(customers!$A$1:$I$1001,MATCH($E439,customers!$A$1:$A$1001,),MATCH($H$1,customers!$A$1:$I$1,0))</f>
        <v>Haslett Jodrelle</v>
      </c>
      <c r="I439" s="2" t="str">
        <f>IF(INDEX(customers!$A$1:$I$1001,MATCH($E439,customers!$A$1:$A$1001,0),3)=0,"",INDEX(customers!$A$1:$I$1001,MATCH($E439,customers!$A$1:$A$1001,0),3))</f>
        <v>hjodrellelt@samsung.com</v>
      </c>
      <c r="J439" s="2" t="str">
        <f>_xlfn.XLOOKUP(E439,customers!$A$1:$A$1001,customers!$G$1:$G$1001)</f>
        <v>United States</v>
      </c>
      <c r="K439" t="str">
        <f>INDEX(products!$A$1:$G$49,MATCH($F439,products!$A$1:$A$49,0),MATCH(K$1,products!$A$1:$G$1,0))</f>
        <v>Ara</v>
      </c>
      <c r="L439" t="str">
        <f>INDEX(products!$A$1:$G$49,MATCH($F439,products!$A$1:$A$49,0),MATCH(L$1,products!$A$1:$G$1,0))</f>
        <v>D</v>
      </c>
      <c r="M439" s="5">
        <f>INDEX(products!$A$1:$G$49,MATCH($F439,products!$A$1:$A$49,0),MATCH(M$1,products!$A$1:$G$1,0))</f>
        <v>2.5</v>
      </c>
      <c r="N439" s="7">
        <f>INDEX(products!$A$1:$G$49,MATCH($F439,products!$A$1:$A$49,0),MATCH(N$1,products!$A$1:$G$1,0))</f>
        <v>22.884999999999998</v>
      </c>
      <c r="O439" s="7">
        <f t="shared" si="6"/>
        <v>22.884999999999998</v>
      </c>
      <c r="P439" t="str" cm="1">
        <f t="array" ref="P439">_xlfn.IFS(K439="Rob","Robusta",K439="Exc","Excelsa",K439="Ara","Arabica",K439="Lib","Liberica")</f>
        <v>Arabica</v>
      </c>
      <c r="Q439" t="str" cm="1">
        <f t="array" ref="Q439">_xlfn.IFS(L439="M","Medium",L439="L","Light",L439="D","Dark")</f>
        <v>Dark</v>
      </c>
      <c r="R439" t="str">
        <f>_xlfn.XLOOKUP(Orders[[#This Row],[Customer ID]],customers!$A$1:$A$1001,customers!$I$1:$I$1001)</f>
        <v>No</v>
      </c>
    </row>
    <row r="440" spans="1:18" x14ac:dyDescent="0.35">
      <c r="A440" s="2" t="s">
        <v>3654</v>
      </c>
      <c r="B440" s="4">
        <v>44401</v>
      </c>
      <c r="C440" s="23">
        <f>Orders[[#This Row],[Order Date]]</f>
        <v>44401</v>
      </c>
      <c r="D440" s="2">
        <f>YEAR(Orders[[#This Row],[Order Date]])</f>
        <v>2021</v>
      </c>
      <c r="E440" s="2" t="s">
        <v>3655</v>
      </c>
      <c r="F440" t="s">
        <v>6166</v>
      </c>
      <c r="G440" s="20">
        <v>6</v>
      </c>
      <c r="H440" s="2" t="str">
        <f>INDEX(customers!$A$1:$I$1001,MATCH($E440,customers!$A$1:$A$1001,),MATCH($H$1,customers!$A$1:$I$1,0))</f>
        <v>Hatty Dovydenas</v>
      </c>
      <c r="I440" s="2" t="str">
        <f>IF(INDEX(customers!$A$1:$I$1001,MATCH($E440,customers!$A$1:$A$1001,0),3)=0,"",INDEX(customers!$A$1:$I$1001,MATCH($E440,customers!$A$1:$A$1001,0),3))</f>
        <v/>
      </c>
      <c r="J440" s="2" t="str">
        <f>_xlfn.XLOOKUP(E440,customers!$A$1:$A$1001,customers!$G$1:$G$1001)</f>
        <v>United States</v>
      </c>
      <c r="K440" t="str">
        <f>INDEX(products!$A$1:$G$49,MATCH($F440,products!$A$1:$A$49,0),MATCH(K$1,products!$A$1:$G$1,0))</f>
        <v>Exc</v>
      </c>
      <c r="L440" t="str">
        <f>INDEX(products!$A$1:$G$49,MATCH($F440,products!$A$1:$A$49,0),MATCH(L$1,products!$A$1:$G$1,0))</f>
        <v>M</v>
      </c>
      <c r="M440" s="5">
        <f>INDEX(products!$A$1:$G$49,MATCH($F440,products!$A$1:$A$49,0),MATCH(M$1,products!$A$1:$G$1,0))</f>
        <v>2.5</v>
      </c>
      <c r="N440" s="7">
        <f>INDEX(products!$A$1:$G$49,MATCH($F440,products!$A$1:$A$49,0),MATCH(N$1,products!$A$1:$G$1,0))</f>
        <v>31.624999999999996</v>
      </c>
      <c r="O440" s="7">
        <f t="shared" si="6"/>
        <v>189.74999999999997</v>
      </c>
      <c r="P440" t="str" cm="1">
        <f t="array" ref="P440">_xlfn.IFS(K440="Rob","Robusta",K440="Exc","Excelsa",K440="Ara","Arabica",K440="Lib","Liberica")</f>
        <v>Excelsa</v>
      </c>
      <c r="Q440" t="str" cm="1">
        <f t="array" ref="Q440">_xlfn.IFS(L440="M","Medium",L440="L","Light",L440="D","Dark")</f>
        <v>Medium</v>
      </c>
      <c r="R440" t="str">
        <f>_xlfn.XLOOKUP(Orders[[#This Row],[Customer ID]],customers!$A$1:$A$1001,customers!$I$1:$I$1001)</f>
        <v>Yes</v>
      </c>
    </row>
    <row r="441" spans="1:18" x14ac:dyDescent="0.35">
      <c r="A441" s="2" t="s">
        <v>872</v>
      </c>
      <c r="B441" s="4">
        <v>43754</v>
      </c>
      <c r="C441" s="23">
        <f>Orders[[#This Row],[Order Date]]</f>
        <v>43754</v>
      </c>
      <c r="D441" s="2">
        <f>YEAR(Orders[[#This Row],[Order Date]])</f>
        <v>2019</v>
      </c>
      <c r="E441" s="2" t="s">
        <v>873</v>
      </c>
      <c r="F441" t="s">
        <v>6174</v>
      </c>
      <c r="G441" s="20">
        <v>1</v>
      </c>
      <c r="H441" s="2" t="str">
        <f>INDEX(customers!$A$1:$I$1001,MATCH($E441,customers!$A$1:$A$1001,),MATCH($H$1,customers!$A$1:$I$1,0))</f>
        <v>Hayward Goulter</v>
      </c>
      <c r="I441" s="2" t="str">
        <f>IF(INDEX(customers!$A$1:$I$1001,MATCH($E441,customers!$A$1:$A$1001,0),3)=0,"",INDEX(customers!$A$1:$I$1001,MATCH($E441,customers!$A$1:$A$1001,0),3))</f>
        <v>hgoulter1w@abc.net.au</v>
      </c>
      <c r="J441" s="2" t="str">
        <f>_xlfn.XLOOKUP(E441,customers!$A$1:$A$1001,customers!$G$1:$G$1001)</f>
        <v>United States</v>
      </c>
      <c r="K441" t="str">
        <f>INDEX(products!$A$1:$G$49,MATCH($F441,products!$A$1:$A$49,0),MATCH(K$1,products!$A$1:$G$1,0))</f>
        <v>Rob</v>
      </c>
      <c r="L441" t="str">
        <f>INDEX(products!$A$1:$G$49,MATCH($F441,products!$A$1:$A$49,0),MATCH(L$1,products!$A$1:$G$1,0))</f>
        <v>M</v>
      </c>
      <c r="M441" s="5">
        <f>INDEX(products!$A$1:$G$49,MATCH($F441,products!$A$1:$A$49,0),MATCH(M$1,products!$A$1:$G$1,0))</f>
        <v>0.2</v>
      </c>
      <c r="N441" s="7">
        <f>INDEX(products!$A$1:$G$49,MATCH($F441,products!$A$1:$A$49,0),MATCH(N$1,products!$A$1:$G$1,0))</f>
        <v>2.9849999999999999</v>
      </c>
      <c r="O441" s="7">
        <f t="shared" si="6"/>
        <v>2.9849999999999999</v>
      </c>
      <c r="P441" t="str" cm="1">
        <f t="array" ref="P441">_xlfn.IFS(K441="Rob","Robusta",K441="Exc","Excelsa",K441="Ara","Arabica",K441="Lib","Liberica")</f>
        <v>Robusta</v>
      </c>
      <c r="Q441" t="str" cm="1">
        <f t="array" ref="Q441">_xlfn.IFS(L441="M","Medium",L441="L","Light",L441="D","Dark")</f>
        <v>Medium</v>
      </c>
      <c r="R441" t="str">
        <f>_xlfn.XLOOKUP(Orders[[#This Row],[Customer ID]],customers!$A$1:$A$1001,customers!$I$1:$I$1001)</f>
        <v>No</v>
      </c>
    </row>
    <row r="442" spans="1:18" x14ac:dyDescent="0.35">
      <c r="A442" s="2" t="s">
        <v>4730</v>
      </c>
      <c r="B442" s="4">
        <v>44277</v>
      </c>
      <c r="C442" s="23">
        <f>Orders[[#This Row],[Order Date]]</f>
        <v>44277</v>
      </c>
      <c r="D442" s="2">
        <f>YEAR(Orders[[#This Row],[Order Date]])</f>
        <v>2021</v>
      </c>
      <c r="E442" s="2" t="s">
        <v>4731</v>
      </c>
      <c r="F442" t="s">
        <v>6146</v>
      </c>
      <c r="G442" s="20">
        <v>1</v>
      </c>
      <c r="H442" s="2" t="str">
        <f>INDEX(customers!$A$1:$I$1001,MATCH($E442,customers!$A$1:$A$1001,),MATCH($H$1,customers!$A$1:$I$1,0))</f>
        <v>Hazel Iacopini</v>
      </c>
      <c r="I442" s="2" t="str">
        <f>IF(INDEX(customers!$A$1:$I$1001,MATCH($E442,customers!$A$1:$A$1001,0),3)=0,"",INDEX(customers!$A$1:$I$1001,MATCH($E442,customers!$A$1:$A$1001,0),3))</f>
        <v/>
      </c>
      <c r="J442" s="2" t="str">
        <f>_xlfn.XLOOKUP(E442,customers!$A$1:$A$1001,customers!$G$1:$G$1001)</f>
        <v>United States</v>
      </c>
      <c r="K442" t="str">
        <f>INDEX(products!$A$1:$G$49,MATCH($F442,products!$A$1:$A$49,0),MATCH(K$1,products!$A$1:$G$1,0))</f>
        <v>Rob</v>
      </c>
      <c r="L442" t="str">
        <f>INDEX(products!$A$1:$G$49,MATCH($F442,products!$A$1:$A$49,0),MATCH(L$1,products!$A$1:$G$1,0))</f>
        <v>M</v>
      </c>
      <c r="M442" s="5">
        <f>INDEX(products!$A$1:$G$49,MATCH($F442,products!$A$1:$A$49,0),MATCH(M$1,products!$A$1:$G$1,0))</f>
        <v>0.5</v>
      </c>
      <c r="N442" s="7">
        <f>INDEX(products!$A$1:$G$49,MATCH($F442,products!$A$1:$A$49,0),MATCH(N$1,products!$A$1:$G$1,0))</f>
        <v>5.97</v>
      </c>
      <c r="O442" s="7">
        <f t="shared" si="6"/>
        <v>5.97</v>
      </c>
      <c r="P442" t="str" cm="1">
        <f t="array" ref="P442">_xlfn.IFS(K442="Rob","Robusta",K442="Exc","Excelsa",K442="Ara","Arabica",K442="Lib","Liberica")</f>
        <v>Robusta</v>
      </c>
      <c r="Q442" t="str" cm="1">
        <f t="array" ref="Q442">_xlfn.IFS(L442="M","Medium",L442="L","Light",L442="D","Dark")</f>
        <v>Medium</v>
      </c>
      <c r="R442" t="str">
        <f>_xlfn.XLOOKUP(Orders[[#This Row],[Customer ID]],customers!$A$1:$A$1001,customers!$I$1:$I$1001)</f>
        <v>Yes</v>
      </c>
    </row>
    <row r="443" spans="1:18" x14ac:dyDescent="0.35">
      <c r="A443" s="2" t="s">
        <v>4291</v>
      </c>
      <c r="B443" s="4">
        <v>44118</v>
      </c>
      <c r="C443" s="23">
        <f>Orders[[#This Row],[Order Date]]</f>
        <v>44118</v>
      </c>
      <c r="D443" s="2">
        <f>YEAR(Orders[[#This Row],[Order Date]])</f>
        <v>2020</v>
      </c>
      <c r="E443" s="2" t="s">
        <v>4292</v>
      </c>
      <c r="F443" t="s">
        <v>6141</v>
      </c>
      <c r="G443" s="20">
        <v>6</v>
      </c>
      <c r="H443" s="2" t="str">
        <f>INDEX(customers!$A$1:$I$1001,MATCH($E443,customers!$A$1:$A$1001,),MATCH($H$1,customers!$A$1:$I$1,0))</f>
        <v>Hazel Saill</v>
      </c>
      <c r="I443" s="2" t="str">
        <f>IF(INDEX(customers!$A$1:$I$1001,MATCH($E443,customers!$A$1:$A$1001,0),3)=0,"",INDEX(customers!$A$1:$I$1001,MATCH($E443,customers!$A$1:$A$1001,0),3))</f>
        <v>hsaillip@odnoklassniki.ru</v>
      </c>
      <c r="J443" s="2" t="str">
        <f>_xlfn.XLOOKUP(E443,customers!$A$1:$A$1001,customers!$G$1:$G$1001)</f>
        <v>United States</v>
      </c>
      <c r="K443" t="str">
        <f>INDEX(products!$A$1:$G$49,MATCH($F443,products!$A$1:$A$49,0),MATCH(K$1,products!$A$1:$G$1,0))</f>
        <v>Exc</v>
      </c>
      <c r="L443" t="str">
        <f>INDEX(products!$A$1:$G$49,MATCH($F443,products!$A$1:$A$49,0),MATCH(L$1,products!$A$1:$G$1,0))</f>
        <v>M</v>
      </c>
      <c r="M443" s="5">
        <f>INDEX(products!$A$1:$G$49,MATCH($F443,products!$A$1:$A$49,0),MATCH(M$1,products!$A$1:$G$1,0))</f>
        <v>1</v>
      </c>
      <c r="N443" s="7">
        <f>INDEX(products!$A$1:$G$49,MATCH($F443,products!$A$1:$A$49,0),MATCH(N$1,products!$A$1:$G$1,0))</f>
        <v>13.75</v>
      </c>
      <c r="O443" s="7">
        <f t="shared" si="6"/>
        <v>82.5</v>
      </c>
      <c r="P443" t="str" cm="1">
        <f t="array" ref="P443">_xlfn.IFS(K443="Rob","Robusta",K443="Exc","Excelsa",K443="Ara","Arabica",K443="Lib","Liberica")</f>
        <v>Excelsa</v>
      </c>
      <c r="Q443" t="str" cm="1">
        <f t="array" ref="Q443">_xlfn.IFS(L443="M","Medium",L443="L","Light",L443="D","Dark")</f>
        <v>Medium</v>
      </c>
      <c r="R443" t="str">
        <f>_xlfn.XLOOKUP(Orders[[#This Row],[Customer ID]],customers!$A$1:$A$1001,customers!$I$1:$I$1001)</f>
        <v>Yes</v>
      </c>
    </row>
    <row r="444" spans="1:18" x14ac:dyDescent="0.35">
      <c r="A444" s="2" t="s">
        <v>3361</v>
      </c>
      <c r="B444" s="4">
        <v>44210</v>
      </c>
      <c r="C444" s="23">
        <f>Orders[[#This Row],[Order Date]]</f>
        <v>44210</v>
      </c>
      <c r="D444" s="2">
        <f>YEAR(Orders[[#This Row],[Order Date]])</f>
        <v>2021</v>
      </c>
      <c r="E444" s="2" t="s">
        <v>3362</v>
      </c>
      <c r="F444" t="s">
        <v>6169</v>
      </c>
      <c r="G444" s="20">
        <v>6</v>
      </c>
      <c r="H444" s="2" t="str">
        <f>INDEX(customers!$A$1:$I$1001,MATCH($E444,customers!$A$1:$A$1001,),MATCH($H$1,customers!$A$1:$I$1,0))</f>
        <v>Heall Perris</v>
      </c>
      <c r="I444" s="2" t="str">
        <f>IF(INDEX(customers!$A$1:$I$1001,MATCH($E444,customers!$A$1:$A$1001,0),3)=0,"",INDEX(customers!$A$1:$I$1001,MATCH($E444,customers!$A$1:$A$1001,0),3))</f>
        <v>hperrise4@studiopress.com</v>
      </c>
      <c r="J444" s="2" t="str">
        <f>_xlfn.XLOOKUP(E444,customers!$A$1:$A$1001,customers!$G$1:$G$1001)</f>
        <v>Ireland</v>
      </c>
      <c r="K444" t="str">
        <f>INDEX(products!$A$1:$G$49,MATCH($F444,products!$A$1:$A$49,0),MATCH(K$1,products!$A$1:$G$1,0))</f>
        <v>Lib</v>
      </c>
      <c r="L444" t="str">
        <f>INDEX(products!$A$1:$G$49,MATCH($F444,products!$A$1:$A$49,0),MATCH(L$1,products!$A$1:$G$1,0))</f>
        <v>D</v>
      </c>
      <c r="M444" s="5">
        <f>INDEX(products!$A$1:$G$49,MATCH($F444,products!$A$1:$A$49,0),MATCH(M$1,products!$A$1:$G$1,0))</f>
        <v>0.5</v>
      </c>
      <c r="N444" s="7">
        <f>INDEX(products!$A$1:$G$49,MATCH($F444,products!$A$1:$A$49,0),MATCH(N$1,products!$A$1:$G$1,0))</f>
        <v>7.77</v>
      </c>
      <c r="O444" s="7">
        <f t="shared" si="6"/>
        <v>46.62</v>
      </c>
      <c r="P444" t="str" cm="1">
        <f t="array" ref="P444">_xlfn.IFS(K444="Rob","Robusta",K444="Exc","Excelsa",K444="Ara","Arabica",K444="Lib","Liberica")</f>
        <v>Liberica</v>
      </c>
      <c r="Q444" t="str" cm="1">
        <f t="array" ref="Q444">_xlfn.IFS(L444="M","Medium",L444="L","Light",L444="D","Dark")</f>
        <v>Dark</v>
      </c>
      <c r="R444" t="str">
        <f>_xlfn.XLOOKUP(Orders[[#This Row],[Customer ID]],customers!$A$1:$A$1001,customers!$I$1:$I$1001)</f>
        <v>No</v>
      </c>
    </row>
    <row r="445" spans="1:18" x14ac:dyDescent="0.35">
      <c r="A445" s="2" t="s">
        <v>3565</v>
      </c>
      <c r="B445" s="4">
        <v>43869</v>
      </c>
      <c r="C445" s="23">
        <f>Orders[[#This Row],[Order Date]]</f>
        <v>43869</v>
      </c>
      <c r="D445" s="2">
        <f>YEAR(Orders[[#This Row],[Order Date]])</f>
        <v>2020</v>
      </c>
      <c r="E445" s="2" t="s">
        <v>3566</v>
      </c>
      <c r="F445" t="s">
        <v>6180</v>
      </c>
      <c r="G445" s="20">
        <v>2</v>
      </c>
      <c r="H445" s="2" t="str">
        <f>INDEX(customers!$A$1:$I$1001,MATCH($E445,customers!$A$1:$A$1001,),MATCH($H$1,customers!$A$1:$I$1,0))</f>
        <v>Heda Fromant</v>
      </c>
      <c r="I445" s="2" t="str">
        <f>IF(INDEX(customers!$A$1:$I$1001,MATCH($E445,customers!$A$1:$A$1001,0),3)=0,"",INDEX(customers!$A$1:$I$1001,MATCH($E445,customers!$A$1:$A$1001,0),3))</f>
        <v>hfromantf4@ucsd.edu</v>
      </c>
      <c r="J445" s="2" t="str">
        <f>_xlfn.XLOOKUP(E445,customers!$A$1:$A$1001,customers!$G$1:$G$1001)</f>
        <v>United States</v>
      </c>
      <c r="K445" t="str">
        <f>INDEX(products!$A$1:$G$49,MATCH($F445,products!$A$1:$A$49,0),MATCH(K$1,products!$A$1:$G$1,0))</f>
        <v>Ara</v>
      </c>
      <c r="L445" t="str">
        <f>INDEX(products!$A$1:$G$49,MATCH($F445,products!$A$1:$A$49,0),MATCH(L$1,products!$A$1:$G$1,0))</f>
        <v>L</v>
      </c>
      <c r="M445" s="5">
        <f>INDEX(products!$A$1:$G$49,MATCH($F445,products!$A$1:$A$49,0),MATCH(M$1,products!$A$1:$G$1,0))</f>
        <v>0.5</v>
      </c>
      <c r="N445" s="7">
        <f>INDEX(products!$A$1:$G$49,MATCH($F445,products!$A$1:$A$49,0),MATCH(N$1,products!$A$1:$G$1,0))</f>
        <v>7.77</v>
      </c>
      <c r="O445" s="7">
        <f t="shared" si="6"/>
        <v>15.54</v>
      </c>
      <c r="P445" t="str" cm="1">
        <f t="array" ref="P445">_xlfn.IFS(K445="Rob","Robusta",K445="Exc","Excelsa",K445="Ara","Arabica",K445="Lib","Liberica")</f>
        <v>Arabica</v>
      </c>
      <c r="Q445" t="str" cm="1">
        <f t="array" ref="Q445">_xlfn.IFS(L445="M","Medium",L445="L","Light",L445="D","Dark")</f>
        <v>Light</v>
      </c>
      <c r="R445" t="str">
        <f>_xlfn.XLOOKUP(Orders[[#This Row],[Customer ID]],customers!$A$1:$A$1001,customers!$I$1:$I$1001)</f>
        <v>No</v>
      </c>
    </row>
    <row r="446" spans="1:18" x14ac:dyDescent="0.35">
      <c r="A446" s="2" t="s">
        <v>5182</v>
      </c>
      <c r="B446" s="4">
        <v>44414</v>
      </c>
      <c r="C446" s="23">
        <f>Orders[[#This Row],[Order Date]]</f>
        <v>44414</v>
      </c>
      <c r="D446" s="2">
        <f>YEAR(Orders[[#This Row],[Order Date]])</f>
        <v>2021</v>
      </c>
      <c r="E446" s="2" t="s">
        <v>5183</v>
      </c>
      <c r="F446" t="s">
        <v>6141</v>
      </c>
      <c r="G446" s="20">
        <v>2</v>
      </c>
      <c r="H446" s="2" t="str">
        <f>INDEX(customers!$A$1:$I$1001,MATCH($E446,customers!$A$1:$A$1001,),MATCH($H$1,customers!$A$1:$I$1,0))</f>
        <v>Helaina Rainforth</v>
      </c>
      <c r="I446" s="2" t="str">
        <f>IF(INDEX(customers!$A$1:$I$1001,MATCH($E446,customers!$A$1:$A$1001,0),3)=0,"",INDEX(customers!$A$1:$I$1001,MATCH($E446,customers!$A$1:$A$1001,0),3))</f>
        <v>hrainforthn2@blog.com</v>
      </c>
      <c r="J446" s="2" t="str">
        <f>_xlfn.XLOOKUP(E446,customers!$A$1:$A$1001,customers!$G$1:$G$1001)</f>
        <v>United States</v>
      </c>
      <c r="K446" t="str">
        <f>INDEX(products!$A$1:$G$49,MATCH($F446,products!$A$1:$A$49,0),MATCH(K$1,products!$A$1:$G$1,0))</f>
        <v>Exc</v>
      </c>
      <c r="L446" t="str">
        <f>INDEX(products!$A$1:$G$49,MATCH($F446,products!$A$1:$A$49,0),MATCH(L$1,products!$A$1:$G$1,0))</f>
        <v>M</v>
      </c>
      <c r="M446" s="5">
        <f>INDEX(products!$A$1:$G$49,MATCH($F446,products!$A$1:$A$49,0),MATCH(M$1,products!$A$1:$G$1,0))</f>
        <v>1</v>
      </c>
      <c r="N446" s="7">
        <f>INDEX(products!$A$1:$G$49,MATCH($F446,products!$A$1:$A$49,0),MATCH(N$1,products!$A$1:$G$1,0))</f>
        <v>13.75</v>
      </c>
      <c r="O446" s="7">
        <f t="shared" si="6"/>
        <v>27.5</v>
      </c>
      <c r="P446" t="str" cm="1">
        <f t="array" ref="P446">_xlfn.IFS(K446="Rob","Robusta",K446="Exc","Excelsa",K446="Ara","Arabica",K446="Lib","Liberica")</f>
        <v>Excelsa</v>
      </c>
      <c r="Q446" t="str" cm="1">
        <f t="array" ref="Q446">_xlfn.IFS(L446="M","Medium",L446="L","Light",L446="D","Dark")</f>
        <v>Medium</v>
      </c>
      <c r="R446" t="str">
        <f>_xlfn.XLOOKUP(Orders[[#This Row],[Customer ID]],customers!$A$1:$A$1001,customers!$I$1:$I$1001)</f>
        <v>No</v>
      </c>
    </row>
    <row r="447" spans="1:18" x14ac:dyDescent="0.35">
      <c r="A447" s="2" t="s">
        <v>5182</v>
      </c>
      <c r="B447" s="4">
        <v>44414</v>
      </c>
      <c r="C447" s="23">
        <f>Orders[[#This Row],[Order Date]]</f>
        <v>44414</v>
      </c>
      <c r="D447" s="2">
        <f>YEAR(Orders[[#This Row],[Order Date]])</f>
        <v>2021</v>
      </c>
      <c r="E447" s="2" t="s">
        <v>5183</v>
      </c>
      <c r="F447" t="s">
        <v>6154</v>
      </c>
      <c r="G447" s="20">
        <v>2</v>
      </c>
      <c r="H447" s="2" t="str">
        <f>INDEX(customers!$A$1:$I$1001,MATCH($E447,customers!$A$1:$A$1001,),MATCH($H$1,customers!$A$1:$I$1,0))</f>
        <v>Helaina Rainforth</v>
      </c>
      <c r="I447" s="2" t="str">
        <f>IF(INDEX(customers!$A$1:$I$1001,MATCH($E447,customers!$A$1:$A$1001,0),3)=0,"",INDEX(customers!$A$1:$I$1001,MATCH($E447,customers!$A$1:$A$1001,0),3))</f>
        <v>hrainforthn2@blog.com</v>
      </c>
      <c r="J447" s="2" t="str">
        <f>_xlfn.XLOOKUP(E447,customers!$A$1:$A$1001,customers!$G$1:$G$1001)</f>
        <v>United States</v>
      </c>
      <c r="K447" t="str">
        <f>INDEX(products!$A$1:$G$49,MATCH($F447,products!$A$1:$A$49,0),MATCH(K$1,products!$A$1:$G$1,0))</f>
        <v>Ara</v>
      </c>
      <c r="L447" t="str">
        <f>INDEX(products!$A$1:$G$49,MATCH($F447,products!$A$1:$A$49,0),MATCH(L$1,products!$A$1:$G$1,0))</f>
        <v>D</v>
      </c>
      <c r="M447" s="5">
        <f>INDEX(products!$A$1:$G$49,MATCH($F447,products!$A$1:$A$49,0),MATCH(M$1,products!$A$1:$G$1,0))</f>
        <v>0.2</v>
      </c>
      <c r="N447" s="7">
        <f>INDEX(products!$A$1:$G$49,MATCH($F447,products!$A$1:$A$49,0),MATCH(N$1,products!$A$1:$G$1,0))</f>
        <v>2.9849999999999999</v>
      </c>
      <c r="O447" s="7">
        <f t="shared" si="6"/>
        <v>5.97</v>
      </c>
      <c r="P447" t="str" cm="1">
        <f t="array" ref="P447">_xlfn.IFS(K447="Rob","Robusta",K447="Exc","Excelsa",K447="Ara","Arabica",K447="Lib","Liberica")</f>
        <v>Arabica</v>
      </c>
      <c r="Q447" t="str" cm="1">
        <f t="array" ref="Q447">_xlfn.IFS(L447="M","Medium",L447="L","Light",L447="D","Dark")</f>
        <v>Dark</v>
      </c>
      <c r="R447" t="str">
        <f>_xlfn.XLOOKUP(Orders[[#This Row],[Customer ID]],customers!$A$1:$A$1001,customers!$I$1:$I$1001)</f>
        <v>No</v>
      </c>
    </row>
    <row r="448" spans="1:18" x14ac:dyDescent="0.35">
      <c r="A448" s="2" t="s">
        <v>5495</v>
      </c>
      <c r="B448" s="4">
        <v>43664</v>
      </c>
      <c r="C448" s="23">
        <f>Orders[[#This Row],[Order Date]]</f>
        <v>43664</v>
      </c>
      <c r="D448" s="2">
        <f>YEAR(Orders[[#This Row],[Order Date]])</f>
        <v>2019</v>
      </c>
      <c r="E448" s="2" t="s">
        <v>5496</v>
      </c>
      <c r="F448" t="s">
        <v>6149</v>
      </c>
      <c r="G448" s="20">
        <v>6</v>
      </c>
      <c r="H448" s="2" t="str">
        <f>INDEX(customers!$A$1:$I$1001,MATCH($E448,customers!$A$1:$A$1001,),MATCH($H$1,customers!$A$1:$I$1,0))</f>
        <v>Helli Petroulis</v>
      </c>
      <c r="I448" s="2" t="str">
        <f>IF(INDEX(customers!$A$1:$I$1001,MATCH($E448,customers!$A$1:$A$1001,0),3)=0,"",INDEX(customers!$A$1:$I$1001,MATCH($E448,customers!$A$1:$A$1001,0),3))</f>
        <v>hpetroulisol@state.tx.us</v>
      </c>
      <c r="J448" s="2" t="str">
        <f>_xlfn.XLOOKUP(E448,customers!$A$1:$A$1001,customers!$G$1:$G$1001)</f>
        <v>Ireland</v>
      </c>
      <c r="K448" t="str">
        <f>INDEX(products!$A$1:$G$49,MATCH($F448,products!$A$1:$A$49,0),MATCH(K$1,products!$A$1:$G$1,0))</f>
        <v>Rob</v>
      </c>
      <c r="L448" t="str">
        <f>INDEX(products!$A$1:$G$49,MATCH($F448,products!$A$1:$A$49,0),MATCH(L$1,products!$A$1:$G$1,0))</f>
        <v>D</v>
      </c>
      <c r="M448" s="5">
        <f>INDEX(products!$A$1:$G$49,MATCH($F448,products!$A$1:$A$49,0),MATCH(M$1,products!$A$1:$G$1,0))</f>
        <v>2.5</v>
      </c>
      <c r="N448" s="7">
        <f>INDEX(products!$A$1:$G$49,MATCH($F448,products!$A$1:$A$49,0),MATCH(N$1,products!$A$1:$G$1,0))</f>
        <v>20.584999999999997</v>
      </c>
      <c r="O448" s="7">
        <f t="shared" si="6"/>
        <v>123.50999999999999</v>
      </c>
      <c r="P448" t="str" cm="1">
        <f t="array" ref="P448">_xlfn.IFS(K448="Rob","Robusta",K448="Exc","Excelsa",K448="Ara","Arabica",K448="Lib","Liberica")</f>
        <v>Robusta</v>
      </c>
      <c r="Q448" t="str" cm="1">
        <f t="array" ref="Q448">_xlfn.IFS(L448="M","Medium",L448="L","Light",L448="D","Dark")</f>
        <v>Dark</v>
      </c>
      <c r="R448" t="str">
        <f>_xlfn.XLOOKUP(Orders[[#This Row],[Customer ID]],customers!$A$1:$A$1001,customers!$I$1:$I$1001)</f>
        <v>No</v>
      </c>
    </row>
    <row r="449" spans="1:18" x14ac:dyDescent="0.35">
      <c r="A449" s="2" t="s">
        <v>3164</v>
      </c>
      <c r="B449" s="4">
        <v>44603</v>
      </c>
      <c r="C449" s="23">
        <f>Orders[[#This Row],[Order Date]]</f>
        <v>44603</v>
      </c>
      <c r="D449" s="2">
        <f>YEAR(Orders[[#This Row],[Order Date]])</f>
        <v>2022</v>
      </c>
      <c r="E449" s="2" t="s">
        <v>3165</v>
      </c>
      <c r="F449" t="s">
        <v>6140</v>
      </c>
      <c r="G449" s="20">
        <v>2</v>
      </c>
      <c r="H449" s="2" t="str">
        <f>INDEX(customers!$A$1:$I$1001,MATCH($E449,customers!$A$1:$A$1001,),MATCH($H$1,customers!$A$1:$I$1,0))</f>
        <v>Heloise Zeal</v>
      </c>
      <c r="I449" s="2" t="str">
        <f>IF(INDEX(customers!$A$1:$I$1001,MATCH($E449,customers!$A$1:$A$1001,0),3)=0,"",INDEX(customers!$A$1:$I$1001,MATCH($E449,customers!$A$1:$A$1001,0),3))</f>
        <v>hzeald5@google.de</v>
      </c>
      <c r="J449" s="2" t="str">
        <f>_xlfn.XLOOKUP(E449,customers!$A$1:$A$1001,customers!$G$1:$G$1001)</f>
        <v>United States</v>
      </c>
      <c r="K449" t="str">
        <f>INDEX(products!$A$1:$G$49,MATCH($F449,products!$A$1:$A$49,0),MATCH(K$1,products!$A$1:$G$1,0))</f>
        <v>Ara</v>
      </c>
      <c r="L449" t="str">
        <f>INDEX(products!$A$1:$G$49,MATCH($F449,products!$A$1:$A$49,0),MATCH(L$1,products!$A$1:$G$1,0))</f>
        <v>L</v>
      </c>
      <c r="M449" s="5">
        <f>INDEX(products!$A$1:$G$49,MATCH($F449,products!$A$1:$A$49,0),MATCH(M$1,products!$A$1:$G$1,0))</f>
        <v>1</v>
      </c>
      <c r="N449" s="7">
        <f>INDEX(products!$A$1:$G$49,MATCH($F449,products!$A$1:$A$49,0),MATCH(N$1,products!$A$1:$G$1,0))</f>
        <v>12.95</v>
      </c>
      <c r="O449" s="7">
        <f t="shared" si="6"/>
        <v>25.9</v>
      </c>
      <c r="P449" t="str" cm="1">
        <f t="array" ref="P449">_xlfn.IFS(K449="Rob","Robusta",K449="Exc","Excelsa",K449="Ara","Arabica",K449="Lib","Liberica")</f>
        <v>Arabica</v>
      </c>
      <c r="Q449" t="str" cm="1">
        <f t="array" ref="Q449">_xlfn.IFS(L449="M","Medium",L449="L","Light",L449="D","Dark")</f>
        <v>Light</v>
      </c>
      <c r="R449" t="str">
        <f>_xlfn.XLOOKUP(Orders[[#This Row],[Customer ID]],customers!$A$1:$A$1001,customers!$I$1:$I$1001)</f>
        <v>No</v>
      </c>
    </row>
    <row r="450" spans="1:18" x14ac:dyDescent="0.35">
      <c r="A450" s="2" t="s">
        <v>5809</v>
      </c>
      <c r="B450" s="4">
        <v>44674</v>
      </c>
      <c r="C450" s="23">
        <f>Orders[[#This Row],[Order Date]]</f>
        <v>44674</v>
      </c>
      <c r="D450" s="2">
        <f>YEAR(Orders[[#This Row],[Order Date]])</f>
        <v>2022</v>
      </c>
      <c r="E450" s="2" t="s">
        <v>5810</v>
      </c>
      <c r="F450" t="s">
        <v>6180</v>
      </c>
      <c r="G450" s="20">
        <v>2</v>
      </c>
      <c r="H450" s="2" t="str">
        <f>INDEX(customers!$A$1:$I$1001,MATCH($E450,customers!$A$1:$A$1001,),MATCH($H$1,customers!$A$1:$I$1,0))</f>
        <v>Henderson Crowne</v>
      </c>
      <c r="I450" s="2" t="str">
        <f>IF(INDEX(customers!$A$1:$I$1001,MATCH($E450,customers!$A$1:$A$1001,0),3)=0,"",INDEX(customers!$A$1:$I$1001,MATCH($E450,customers!$A$1:$A$1001,0),3))</f>
        <v>hcrowneq5@wufoo.com</v>
      </c>
      <c r="J450" s="2" t="str">
        <f>_xlfn.XLOOKUP(E450,customers!$A$1:$A$1001,customers!$G$1:$G$1001)</f>
        <v>Ireland</v>
      </c>
      <c r="K450" t="str">
        <f>INDEX(products!$A$1:$G$49,MATCH($F450,products!$A$1:$A$49,0),MATCH(K$1,products!$A$1:$G$1,0))</f>
        <v>Ara</v>
      </c>
      <c r="L450" t="str">
        <f>INDEX(products!$A$1:$G$49,MATCH($F450,products!$A$1:$A$49,0),MATCH(L$1,products!$A$1:$G$1,0))</f>
        <v>L</v>
      </c>
      <c r="M450" s="5">
        <f>INDEX(products!$A$1:$G$49,MATCH($F450,products!$A$1:$A$49,0),MATCH(M$1,products!$A$1:$G$1,0))</f>
        <v>0.5</v>
      </c>
      <c r="N450" s="7">
        <f>INDEX(products!$A$1:$G$49,MATCH($F450,products!$A$1:$A$49,0),MATCH(N$1,products!$A$1:$G$1,0))</f>
        <v>7.77</v>
      </c>
      <c r="O450" s="7">
        <f t="shared" ref="O450:O513" si="7">N450*G450</f>
        <v>15.54</v>
      </c>
      <c r="P450" t="str" cm="1">
        <f t="array" ref="P450">_xlfn.IFS(K450="Rob","Robusta",K450="Exc","Excelsa",K450="Ara","Arabica",K450="Lib","Liberica")</f>
        <v>Arabica</v>
      </c>
      <c r="Q450" t="str" cm="1">
        <f t="array" ref="Q450">_xlfn.IFS(L450="M","Medium",L450="L","Light",L450="D","Dark")</f>
        <v>Light</v>
      </c>
      <c r="R450" t="str">
        <f>_xlfn.XLOOKUP(Orders[[#This Row],[Customer ID]],customers!$A$1:$A$1001,customers!$I$1:$I$1001)</f>
        <v>Yes</v>
      </c>
    </row>
    <row r="451" spans="1:18" x14ac:dyDescent="0.35">
      <c r="A451" s="2" t="s">
        <v>3724</v>
      </c>
      <c r="B451" s="4">
        <v>43515</v>
      </c>
      <c r="C451" s="23">
        <f>Orders[[#This Row],[Order Date]]</f>
        <v>43515</v>
      </c>
      <c r="D451" s="2">
        <f>YEAR(Orders[[#This Row],[Order Date]])</f>
        <v>2019</v>
      </c>
      <c r="E451" s="2" t="s">
        <v>3725</v>
      </c>
      <c r="F451" t="s">
        <v>6154</v>
      </c>
      <c r="G451" s="20">
        <v>2</v>
      </c>
      <c r="H451" s="2" t="str">
        <f>INDEX(customers!$A$1:$I$1001,MATCH($E451,customers!$A$1:$A$1001,),MATCH($H$1,customers!$A$1:$I$1,0))</f>
        <v>Herbie Peppard</v>
      </c>
      <c r="I451" s="2" t="str">
        <f>IF(INDEX(customers!$A$1:$I$1001,MATCH($E451,customers!$A$1:$A$1001,0),3)=0,"",INDEX(customers!$A$1:$I$1001,MATCH($E451,customers!$A$1:$A$1001,0),3))</f>
        <v/>
      </c>
      <c r="J451" s="2" t="str">
        <f>_xlfn.XLOOKUP(E451,customers!$A$1:$A$1001,customers!$G$1:$G$1001)</f>
        <v>United States</v>
      </c>
      <c r="K451" t="str">
        <f>INDEX(products!$A$1:$G$49,MATCH($F451,products!$A$1:$A$49,0),MATCH(K$1,products!$A$1:$G$1,0))</f>
        <v>Ara</v>
      </c>
      <c r="L451" t="str">
        <f>INDEX(products!$A$1:$G$49,MATCH($F451,products!$A$1:$A$49,0),MATCH(L$1,products!$A$1:$G$1,0))</f>
        <v>D</v>
      </c>
      <c r="M451" s="5">
        <f>INDEX(products!$A$1:$G$49,MATCH($F451,products!$A$1:$A$49,0),MATCH(M$1,products!$A$1:$G$1,0))</f>
        <v>0.2</v>
      </c>
      <c r="N451" s="7">
        <f>INDEX(products!$A$1:$G$49,MATCH($F451,products!$A$1:$A$49,0),MATCH(N$1,products!$A$1:$G$1,0))</f>
        <v>2.9849999999999999</v>
      </c>
      <c r="O451" s="7">
        <f t="shared" si="7"/>
        <v>5.97</v>
      </c>
      <c r="P451" t="str" cm="1">
        <f t="array" ref="P451">_xlfn.IFS(K451="Rob","Robusta",K451="Exc","Excelsa",K451="Ara","Arabica",K451="Lib","Liberica")</f>
        <v>Arabica</v>
      </c>
      <c r="Q451" t="str" cm="1">
        <f t="array" ref="Q451">_xlfn.IFS(L451="M","Medium",L451="L","Light",L451="D","Dark")</f>
        <v>Dark</v>
      </c>
      <c r="R451" t="str">
        <f>_xlfn.XLOOKUP(Orders[[#This Row],[Customer ID]],customers!$A$1:$A$1001,customers!$I$1:$I$1001)</f>
        <v>Yes</v>
      </c>
    </row>
    <row r="452" spans="1:18" x14ac:dyDescent="0.35">
      <c r="A452" s="2" t="s">
        <v>4297</v>
      </c>
      <c r="B452" s="4">
        <v>44543</v>
      </c>
      <c r="C452" s="23">
        <f>Orders[[#This Row],[Order Date]]</f>
        <v>44543</v>
      </c>
      <c r="D452" s="2">
        <f>YEAR(Orders[[#This Row],[Order Date]])</f>
        <v>2021</v>
      </c>
      <c r="E452" s="2" t="s">
        <v>4298</v>
      </c>
      <c r="F452" t="s">
        <v>6182</v>
      </c>
      <c r="G452" s="20">
        <v>6</v>
      </c>
      <c r="H452" s="2" t="str">
        <f>INDEX(customers!$A$1:$I$1001,MATCH($E452,customers!$A$1:$A$1001,),MATCH($H$1,customers!$A$1:$I$1,0))</f>
        <v>Hermann Larvor</v>
      </c>
      <c r="I452" s="2" t="str">
        <f>IF(INDEX(customers!$A$1:$I$1001,MATCH($E452,customers!$A$1:$A$1001,0),3)=0,"",INDEX(customers!$A$1:$I$1001,MATCH($E452,customers!$A$1:$A$1001,0),3))</f>
        <v>hlarvoriq@last.fm</v>
      </c>
      <c r="J452" s="2" t="str">
        <f>_xlfn.XLOOKUP(E452,customers!$A$1:$A$1001,customers!$G$1:$G$1001)</f>
        <v>United States</v>
      </c>
      <c r="K452" t="str">
        <f>INDEX(products!$A$1:$G$49,MATCH($F452,products!$A$1:$A$49,0),MATCH(K$1,products!$A$1:$G$1,0))</f>
        <v>Ara</v>
      </c>
      <c r="L452" t="str">
        <f>INDEX(products!$A$1:$G$49,MATCH($F452,products!$A$1:$A$49,0),MATCH(L$1,products!$A$1:$G$1,0))</f>
        <v>L</v>
      </c>
      <c r="M452" s="5">
        <f>INDEX(products!$A$1:$G$49,MATCH($F452,products!$A$1:$A$49,0),MATCH(M$1,products!$A$1:$G$1,0))</f>
        <v>2.5</v>
      </c>
      <c r="N452" s="7">
        <f>INDEX(products!$A$1:$G$49,MATCH($F452,products!$A$1:$A$49,0),MATCH(N$1,products!$A$1:$G$1,0))</f>
        <v>29.784999999999997</v>
      </c>
      <c r="O452" s="7">
        <f t="shared" si="7"/>
        <v>178.70999999999998</v>
      </c>
      <c r="P452" t="str" cm="1">
        <f t="array" ref="P452">_xlfn.IFS(K452="Rob","Robusta",K452="Exc","Excelsa",K452="Ara","Arabica",K452="Lib","Liberica")</f>
        <v>Arabica</v>
      </c>
      <c r="Q452" t="str" cm="1">
        <f t="array" ref="Q452">_xlfn.IFS(L452="M","Medium",L452="L","Light",L452="D","Dark")</f>
        <v>Light</v>
      </c>
      <c r="R452" t="str">
        <f>_xlfn.XLOOKUP(Orders[[#This Row],[Customer ID]],customers!$A$1:$A$1001,customers!$I$1:$I$1001)</f>
        <v>Yes</v>
      </c>
    </row>
    <row r="453" spans="1:18" x14ac:dyDescent="0.35">
      <c r="A453" s="2" t="s">
        <v>6081</v>
      </c>
      <c r="B453" s="4">
        <v>43560</v>
      </c>
      <c r="C453" s="23">
        <f>Orders[[#This Row],[Order Date]]</f>
        <v>43560</v>
      </c>
      <c r="D453" s="2">
        <f>YEAR(Orders[[#This Row],[Order Date]])</f>
        <v>2019</v>
      </c>
      <c r="E453" s="2" t="s">
        <v>6082</v>
      </c>
      <c r="F453" t="s">
        <v>6175</v>
      </c>
      <c r="G453" s="20">
        <v>6</v>
      </c>
      <c r="H453" s="2" t="str">
        <f>INDEX(customers!$A$1:$I$1001,MATCH($E453,customers!$A$1:$A$1001,),MATCH($H$1,customers!$A$1:$I$1,0))</f>
        <v>Herta Layne</v>
      </c>
      <c r="I453" s="2" t="str">
        <f>IF(INDEX(customers!$A$1:$I$1001,MATCH($E453,customers!$A$1:$A$1001,0),3)=0,"",INDEX(customers!$A$1:$I$1001,MATCH($E453,customers!$A$1:$A$1001,0),3))</f>
        <v/>
      </c>
      <c r="J453" s="2" t="str">
        <f>_xlfn.XLOOKUP(E453,customers!$A$1:$A$1001,customers!$G$1:$G$1001)</f>
        <v>United States</v>
      </c>
      <c r="K453" t="str">
        <f>INDEX(products!$A$1:$G$49,MATCH($F453,products!$A$1:$A$49,0),MATCH(K$1,products!$A$1:$G$1,0))</f>
        <v>Ara</v>
      </c>
      <c r="L453" t="str">
        <f>INDEX(products!$A$1:$G$49,MATCH($F453,products!$A$1:$A$49,0),MATCH(L$1,products!$A$1:$G$1,0))</f>
        <v>M</v>
      </c>
      <c r="M453" s="5">
        <f>INDEX(products!$A$1:$G$49,MATCH($F453,products!$A$1:$A$49,0),MATCH(M$1,products!$A$1:$G$1,0))</f>
        <v>2.5</v>
      </c>
      <c r="N453" s="7">
        <f>INDEX(products!$A$1:$G$49,MATCH($F453,products!$A$1:$A$49,0),MATCH(N$1,products!$A$1:$G$1,0))</f>
        <v>25.874999999999996</v>
      </c>
      <c r="O453" s="7">
        <f t="shared" si="7"/>
        <v>155.24999999999997</v>
      </c>
      <c r="P453" t="str" cm="1">
        <f t="array" ref="P453">_xlfn.IFS(K453="Rob","Robusta",K453="Exc","Excelsa",K453="Ara","Arabica",K453="Lib","Liberica")</f>
        <v>Arabica</v>
      </c>
      <c r="Q453" t="str" cm="1">
        <f t="array" ref="Q453">_xlfn.IFS(L453="M","Medium",L453="L","Light",L453="D","Dark")</f>
        <v>Medium</v>
      </c>
      <c r="R453" t="str">
        <f>_xlfn.XLOOKUP(Orders[[#This Row],[Customer ID]],customers!$A$1:$A$1001,customers!$I$1:$I$1001)</f>
        <v>Yes</v>
      </c>
    </row>
    <row r="454" spans="1:18" x14ac:dyDescent="0.35">
      <c r="A454" s="2" t="s">
        <v>4569</v>
      </c>
      <c r="B454" s="4">
        <v>44620</v>
      </c>
      <c r="C454" s="23">
        <f>Orders[[#This Row],[Order Date]]</f>
        <v>44620</v>
      </c>
      <c r="D454" s="2">
        <f>YEAR(Orders[[#This Row],[Order Date]])</f>
        <v>2022</v>
      </c>
      <c r="E454" s="2" t="s">
        <v>4570</v>
      </c>
      <c r="F454" t="s">
        <v>6183</v>
      </c>
      <c r="G454" s="20">
        <v>2</v>
      </c>
      <c r="H454" s="2" t="str">
        <f>INDEX(customers!$A$1:$I$1001,MATCH($E454,customers!$A$1:$A$1001,),MATCH($H$1,customers!$A$1:$I$1,0))</f>
        <v>Hetti Measures</v>
      </c>
      <c r="I454" s="2" t="str">
        <f>IF(INDEX(customers!$A$1:$I$1001,MATCH($E454,customers!$A$1:$A$1001,0),3)=0,"",INDEX(customers!$A$1:$I$1001,MATCH($E454,customers!$A$1:$A$1001,0),3))</f>
        <v/>
      </c>
      <c r="J454" s="2" t="str">
        <f>_xlfn.XLOOKUP(E454,customers!$A$1:$A$1001,customers!$G$1:$G$1001)</f>
        <v>United States</v>
      </c>
      <c r="K454" t="str">
        <f>INDEX(products!$A$1:$G$49,MATCH($F454,products!$A$1:$A$49,0),MATCH(K$1,products!$A$1:$G$1,0))</f>
        <v>Exc</v>
      </c>
      <c r="L454" t="str">
        <f>INDEX(products!$A$1:$G$49,MATCH($F454,products!$A$1:$A$49,0),MATCH(L$1,products!$A$1:$G$1,0))</f>
        <v>D</v>
      </c>
      <c r="M454" s="5">
        <f>INDEX(products!$A$1:$G$49,MATCH($F454,products!$A$1:$A$49,0),MATCH(M$1,products!$A$1:$G$1,0))</f>
        <v>1</v>
      </c>
      <c r="N454" s="7">
        <f>INDEX(products!$A$1:$G$49,MATCH($F454,products!$A$1:$A$49,0),MATCH(N$1,products!$A$1:$G$1,0))</f>
        <v>12.15</v>
      </c>
      <c r="O454" s="7">
        <f t="shared" si="7"/>
        <v>24.3</v>
      </c>
      <c r="P454" t="str" cm="1">
        <f t="array" ref="P454">_xlfn.IFS(K454="Rob","Robusta",K454="Exc","Excelsa",K454="Ara","Arabica",K454="Lib","Liberica")</f>
        <v>Excelsa</v>
      </c>
      <c r="Q454" t="str" cm="1">
        <f t="array" ref="Q454">_xlfn.IFS(L454="M","Medium",L454="L","Light",L454="D","Dark")</f>
        <v>Dark</v>
      </c>
      <c r="R454" t="str">
        <f>_xlfn.XLOOKUP(Orders[[#This Row],[Customer ID]],customers!$A$1:$A$1001,customers!$I$1:$I$1001)</f>
        <v>No</v>
      </c>
    </row>
    <row r="455" spans="1:18" x14ac:dyDescent="0.35">
      <c r="A455" s="2" t="s">
        <v>1350</v>
      </c>
      <c r="B455" s="4">
        <v>44367</v>
      </c>
      <c r="C455" s="23">
        <f>Orders[[#This Row],[Order Date]]</f>
        <v>44367</v>
      </c>
      <c r="D455" s="2">
        <f>YEAR(Orders[[#This Row],[Order Date]])</f>
        <v>2021</v>
      </c>
      <c r="E455" s="2" t="s">
        <v>1351</v>
      </c>
      <c r="F455" t="s">
        <v>6163</v>
      </c>
      <c r="G455" s="20">
        <v>1</v>
      </c>
      <c r="H455" s="2" t="str">
        <f>INDEX(customers!$A$1:$I$1001,MATCH($E455,customers!$A$1:$A$1001,),MATCH($H$1,customers!$A$1:$I$1,0))</f>
        <v>Hetti Penson</v>
      </c>
      <c r="I455" s="2" t="str">
        <f>IF(INDEX(customers!$A$1:$I$1001,MATCH($E455,customers!$A$1:$A$1001,0),3)=0,"",INDEX(customers!$A$1:$I$1001,MATCH($E455,customers!$A$1:$A$1001,0),3))</f>
        <v/>
      </c>
      <c r="J455" s="2" t="str">
        <f>_xlfn.XLOOKUP(E455,customers!$A$1:$A$1001,customers!$G$1:$G$1001)</f>
        <v>United States</v>
      </c>
      <c r="K455" t="str">
        <f>INDEX(products!$A$1:$G$49,MATCH($F455,products!$A$1:$A$49,0),MATCH(K$1,products!$A$1:$G$1,0))</f>
        <v>Rob</v>
      </c>
      <c r="L455" t="str">
        <f>INDEX(products!$A$1:$G$49,MATCH($F455,products!$A$1:$A$49,0),MATCH(L$1,products!$A$1:$G$1,0))</f>
        <v>D</v>
      </c>
      <c r="M455" s="5">
        <f>INDEX(products!$A$1:$G$49,MATCH($F455,products!$A$1:$A$49,0),MATCH(M$1,products!$A$1:$G$1,0))</f>
        <v>0.2</v>
      </c>
      <c r="N455" s="7">
        <f>INDEX(products!$A$1:$G$49,MATCH($F455,products!$A$1:$A$49,0),MATCH(N$1,products!$A$1:$G$1,0))</f>
        <v>2.6849999999999996</v>
      </c>
      <c r="O455" s="7">
        <f t="shared" si="7"/>
        <v>2.6849999999999996</v>
      </c>
      <c r="P455" t="str" cm="1">
        <f t="array" ref="P455">_xlfn.IFS(K455="Rob","Robusta",K455="Exc","Excelsa",K455="Ara","Arabica",K455="Lib","Liberica")</f>
        <v>Robusta</v>
      </c>
      <c r="Q455" t="str" cm="1">
        <f t="array" ref="Q455">_xlfn.IFS(L455="M","Medium",L455="L","Light",L455="D","Dark")</f>
        <v>Dark</v>
      </c>
      <c r="R455" t="str">
        <f>_xlfn.XLOOKUP(Orders[[#This Row],[Customer ID]],customers!$A$1:$A$1001,customers!$I$1:$I$1001)</f>
        <v>No</v>
      </c>
    </row>
    <row r="456" spans="1:18" x14ac:dyDescent="0.35">
      <c r="A456" s="2" t="s">
        <v>1198</v>
      </c>
      <c r="B456" s="4">
        <v>44026</v>
      </c>
      <c r="C456" s="23">
        <f>Orders[[#This Row],[Order Date]]</f>
        <v>44026</v>
      </c>
      <c r="D456" s="2">
        <f>YEAR(Orders[[#This Row],[Order Date]])</f>
        <v>2020</v>
      </c>
      <c r="E456" s="2" t="s">
        <v>1199</v>
      </c>
      <c r="F456" t="s">
        <v>6155</v>
      </c>
      <c r="G456" s="20">
        <v>1</v>
      </c>
      <c r="H456" s="2" t="str">
        <f>INDEX(customers!$A$1:$I$1001,MATCH($E456,customers!$A$1:$A$1001,),MATCH($H$1,customers!$A$1:$I$1,0))</f>
        <v>Hewet Synnot</v>
      </c>
      <c r="I456" s="2" t="str">
        <f>IF(INDEX(customers!$A$1:$I$1001,MATCH($E456,customers!$A$1:$A$1001,0),3)=0,"",INDEX(customers!$A$1:$I$1001,MATCH($E456,customers!$A$1:$A$1001,0),3))</f>
        <v>hsynnot3i@about.com</v>
      </c>
      <c r="J456" s="2" t="str">
        <f>_xlfn.XLOOKUP(E456,customers!$A$1:$A$1001,customers!$G$1:$G$1001)</f>
        <v>United States</v>
      </c>
      <c r="K456" t="str">
        <f>INDEX(products!$A$1:$G$49,MATCH($F456,products!$A$1:$A$49,0),MATCH(K$1,products!$A$1:$G$1,0))</f>
        <v>Ara</v>
      </c>
      <c r="L456" t="str">
        <f>INDEX(products!$A$1:$G$49,MATCH($F456,products!$A$1:$A$49,0),MATCH(L$1,products!$A$1:$G$1,0))</f>
        <v>M</v>
      </c>
      <c r="M456" s="5">
        <f>INDEX(products!$A$1:$G$49,MATCH($F456,products!$A$1:$A$49,0),MATCH(M$1,products!$A$1:$G$1,0))</f>
        <v>1</v>
      </c>
      <c r="N456" s="7">
        <f>INDEX(products!$A$1:$G$49,MATCH($F456,products!$A$1:$A$49,0),MATCH(N$1,products!$A$1:$G$1,0))</f>
        <v>11.25</v>
      </c>
      <c r="O456" s="7">
        <f t="shared" si="7"/>
        <v>11.25</v>
      </c>
      <c r="P456" t="str" cm="1">
        <f t="array" ref="P456">_xlfn.IFS(K456="Rob","Robusta",K456="Exc","Excelsa",K456="Ara","Arabica",K456="Lib","Liberica")</f>
        <v>Arabica</v>
      </c>
      <c r="Q456" t="str" cm="1">
        <f t="array" ref="Q456">_xlfn.IFS(L456="M","Medium",L456="L","Light",L456="D","Dark")</f>
        <v>Medium</v>
      </c>
      <c r="R456" t="str">
        <f>_xlfn.XLOOKUP(Orders[[#This Row],[Customer ID]],customers!$A$1:$A$1001,customers!$I$1:$I$1001)</f>
        <v>No</v>
      </c>
    </row>
    <row r="457" spans="1:18" x14ac:dyDescent="0.35">
      <c r="A457" s="2" t="s">
        <v>3527</v>
      </c>
      <c r="B457" s="4">
        <v>44156</v>
      </c>
      <c r="C457" s="23">
        <f>Orders[[#This Row],[Order Date]]</f>
        <v>44156</v>
      </c>
      <c r="D457" s="2">
        <f>YEAR(Orders[[#This Row],[Order Date]])</f>
        <v>2020</v>
      </c>
      <c r="E457" s="2" t="s">
        <v>3528</v>
      </c>
      <c r="F457" t="s">
        <v>6185</v>
      </c>
      <c r="G457" s="20">
        <v>4</v>
      </c>
      <c r="H457" s="2" t="str">
        <f>INDEX(customers!$A$1:$I$1001,MATCH($E457,customers!$A$1:$A$1001,),MATCH($H$1,customers!$A$1:$I$1,0))</f>
        <v>Hildegarde Brangan</v>
      </c>
      <c r="I457" s="2" t="str">
        <f>IF(INDEX(customers!$A$1:$I$1001,MATCH($E457,customers!$A$1:$A$1001,0),3)=0,"",INDEX(customers!$A$1:$I$1001,MATCH($E457,customers!$A$1:$A$1001,0),3))</f>
        <v>hbranganex@woothemes.com</v>
      </c>
      <c r="J457" s="2" t="str">
        <f>_xlfn.XLOOKUP(E457,customers!$A$1:$A$1001,customers!$G$1:$G$1001)</f>
        <v>United States</v>
      </c>
      <c r="K457" t="str">
        <f>INDEX(products!$A$1:$G$49,MATCH($F457,products!$A$1:$A$49,0),MATCH(K$1,products!$A$1:$G$1,0))</f>
        <v>Exc</v>
      </c>
      <c r="L457" t="str">
        <f>INDEX(products!$A$1:$G$49,MATCH($F457,products!$A$1:$A$49,0),MATCH(L$1,products!$A$1:$G$1,0))</f>
        <v>D</v>
      </c>
      <c r="M457" s="5">
        <f>INDEX(products!$A$1:$G$49,MATCH($F457,products!$A$1:$A$49,0),MATCH(M$1,products!$A$1:$G$1,0))</f>
        <v>2.5</v>
      </c>
      <c r="N457" s="7">
        <f>INDEX(products!$A$1:$G$49,MATCH($F457,products!$A$1:$A$49,0),MATCH(N$1,products!$A$1:$G$1,0))</f>
        <v>27.945</v>
      </c>
      <c r="O457" s="7">
        <f t="shared" si="7"/>
        <v>111.78</v>
      </c>
      <c r="P457" t="str" cm="1">
        <f t="array" ref="P457">_xlfn.IFS(K457="Rob","Robusta",K457="Exc","Excelsa",K457="Ara","Arabica",K457="Lib","Liberica")</f>
        <v>Excelsa</v>
      </c>
      <c r="Q457" t="str" cm="1">
        <f t="array" ref="Q457">_xlfn.IFS(L457="M","Medium",L457="L","Light",L457="D","Dark")</f>
        <v>Dark</v>
      </c>
      <c r="R457" t="str">
        <f>_xlfn.XLOOKUP(Orders[[#This Row],[Customer ID]],customers!$A$1:$A$1001,customers!$I$1:$I$1001)</f>
        <v>Yes</v>
      </c>
    </row>
    <row r="458" spans="1:18" x14ac:dyDescent="0.35">
      <c r="A458" s="2" t="s">
        <v>5176</v>
      </c>
      <c r="B458" s="4">
        <v>43890</v>
      </c>
      <c r="C458" s="23">
        <f>Orders[[#This Row],[Order Date]]</f>
        <v>43890</v>
      </c>
      <c r="D458" s="2">
        <f>YEAR(Orders[[#This Row],[Order Date]])</f>
        <v>2020</v>
      </c>
      <c r="E458" s="2" t="s">
        <v>5177</v>
      </c>
      <c r="F458" t="s">
        <v>6154</v>
      </c>
      <c r="G458" s="20">
        <v>1</v>
      </c>
      <c r="H458" s="2" t="str">
        <f>INDEX(customers!$A$1:$I$1001,MATCH($E458,customers!$A$1:$A$1001,),MATCH($H$1,customers!$A$1:$I$1,0))</f>
        <v>Hillel Mairs</v>
      </c>
      <c r="I458" s="2" t="str">
        <f>IF(INDEX(customers!$A$1:$I$1001,MATCH($E458,customers!$A$1:$A$1001,0),3)=0,"",INDEX(customers!$A$1:$I$1001,MATCH($E458,customers!$A$1:$A$1001,0),3))</f>
        <v>hmairsn1@so-net.ne.jp</v>
      </c>
      <c r="J458" s="2" t="str">
        <f>_xlfn.XLOOKUP(E458,customers!$A$1:$A$1001,customers!$G$1:$G$1001)</f>
        <v>United States</v>
      </c>
      <c r="K458" t="str">
        <f>INDEX(products!$A$1:$G$49,MATCH($F458,products!$A$1:$A$49,0),MATCH(K$1,products!$A$1:$G$1,0))</f>
        <v>Ara</v>
      </c>
      <c r="L458" t="str">
        <f>INDEX(products!$A$1:$G$49,MATCH($F458,products!$A$1:$A$49,0),MATCH(L$1,products!$A$1:$G$1,0))</f>
        <v>D</v>
      </c>
      <c r="M458" s="5">
        <f>INDEX(products!$A$1:$G$49,MATCH($F458,products!$A$1:$A$49,0),MATCH(M$1,products!$A$1:$G$1,0))</f>
        <v>0.2</v>
      </c>
      <c r="N458" s="7">
        <f>INDEX(products!$A$1:$G$49,MATCH($F458,products!$A$1:$A$49,0),MATCH(N$1,products!$A$1:$G$1,0))</f>
        <v>2.9849999999999999</v>
      </c>
      <c r="O458" s="7">
        <f t="shared" si="7"/>
        <v>2.9849999999999999</v>
      </c>
      <c r="P458" t="str" cm="1">
        <f t="array" ref="P458">_xlfn.IFS(K458="Rob","Robusta",K458="Exc","Excelsa",K458="Ara","Arabica",K458="Lib","Liberica")</f>
        <v>Arabica</v>
      </c>
      <c r="Q458" t="str" cm="1">
        <f t="array" ref="Q458">_xlfn.IFS(L458="M","Medium",L458="L","Light",L458="D","Dark")</f>
        <v>Dark</v>
      </c>
      <c r="R458" t="str">
        <f>_xlfn.XLOOKUP(Orders[[#This Row],[Customer ID]],customers!$A$1:$A$1001,customers!$I$1:$I$1001)</f>
        <v>No</v>
      </c>
    </row>
    <row r="459" spans="1:18" x14ac:dyDescent="0.35">
      <c r="A459" s="2" t="s">
        <v>2341</v>
      </c>
      <c r="B459" s="4">
        <v>43620</v>
      </c>
      <c r="C459" s="23">
        <f>Orders[[#This Row],[Order Date]]</f>
        <v>43620</v>
      </c>
      <c r="D459" s="2">
        <f>YEAR(Orders[[#This Row],[Order Date]])</f>
        <v>2019</v>
      </c>
      <c r="E459" s="2" t="s">
        <v>2342</v>
      </c>
      <c r="F459" t="s">
        <v>6161</v>
      </c>
      <c r="G459" s="20">
        <v>4</v>
      </c>
      <c r="H459" s="2" t="str">
        <f>INDEX(customers!$A$1:$I$1001,MATCH($E459,customers!$A$1:$A$1001,),MATCH($H$1,customers!$A$1:$I$1,0))</f>
        <v>Homer Dulany</v>
      </c>
      <c r="I459" s="2" t="str">
        <f>IF(INDEX(customers!$A$1:$I$1001,MATCH($E459,customers!$A$1:$A$1001,0),3)=0,"",INDEX(customers!$A$1:$I$1001,MATCH($E459,customers!$A$1:$A$1001,0),3))</f>
        <v/>
      </c>
      <c r="J459" s="2" t="str">
        <f>_xlfn.XLOOKUP(E459,customers!$A$1:$A$1001,customers!$G$1:$G$1001)</f>
        <v>United States</v>
      </c>
      <c r="K459" t="str">
        <f>INDEX(products!$A$1:$G$49,MATCH($F459,products!$A$1:$A$49,0),MATCH(K$1,products!$A$1:$G$1,0))</f>
        <v>Lib</v>
      </c>
      <c r="L459" t="str">
        <f>INDEX(products!$A$1:$G$49,MATCH($F459,products!$A$1:$A$49,0),MATCH(L$1,products!$A$1:$G$1,0))</f>
        <v>L</v>
      </c>
      <c r="M459" s="5">
        <f>INDEX(products!$A$1:$G$49,MATCH($F459,products!$A$1:$A$49,0),MATCH(M$1,products!$A$1:$G$1,0))</f>
        <v>0.5</v>
      </c>
      <c r="N459" s="7">
        <f>INDEX(products!$A$1:$G$49,MATCH($F459,products!$A$1:$A$49,0),MATCH(N$1,products!$A$1:$G$1,0))</f>
        <v>9.51</v>
      </c>
      <c r="O459" s="7">
        <f t="shared" si="7"/>
        <v>38.04</v>
      </c>
      <c r="P459" t="str" cm="1">
        <f t="array" ref="P459">_xlfn.IFS(K459="Rob","Robusta",K459="Exc","Excelsa",K459="Ara","Arabica",K459="Lib","Liberica")</f>
        <v>Liberica</v>
      </c>
      <c r="Q459" t="str" cm="1">
        <f t="array" ref="Q459">_xlfn.IFS(L459="M","Medium",L459="L","Light",L459="D","Dark")</f>
        <v>Light</v>
      </c>
      <c r="R459" t="str">
        <f>_xlfn.XLOOKUP(Orders[[#This Row],[Customer ID]],customers!$A$1:$A$1001,customers!$I$1:$I$1001)</f>
        <v>Yes</v>
      </c>
    </row>
    <row r="460" spans="1:18" x14ac:dyDescent="0.35">
      <c r="A460" s="2" t="s">
        <v>4705</v>
      </c>
      <c r="B460" s="4">
        <v>43741</v>
      </c>
      <c r="C460" s="23">
        <f>Orders[[#This Row],[Order Date]]</f>
        <v>43741</v>
      </c>
      <c r="D460" s="2">
        <f>YEAR(Orders[[#This Row],[Order Date]])</f>
        <v>2019</v>
      </c>
      <c r="E460" s="2" t="s">
        <v>4706</v>
      </c>
      <c r="F460" t="s">
        <v>6155</v>
      </c>
      <c r="G460" s="20">
        <v>3</v>
      </c>
      <c r="H460" s="2" t="str">
        <f>INDEX(customers!$A$1:$I$1001,MATCH($E460,customers!$A$1:$A$1001,),MATCH($H$1,customers!$A$1:$I$1,0))</f>
        <v>Hussein Olliff</v>
      </c>
      <c r="I460" s="2" t="str">
        <f>IF(INDEX(customers!$A$1:$I$1001,MATCH($E460,customers!$A$1:$A$1001,0),3)=0,"",INDEX(customers!$A$1:$I$1001,MATCH($E460,customers!$A$1:$A$1001,0),3))</f>
        <v>holliffkq@sciencedirect.com</v>
      </c>
      <c r="J460" s="2" t="str">
        <f>_xlfn.XLOOKUP(E460,customers!$A$1:$A$1001,customers!$G$1:$G$1001)</f>
        <v>Ireland</v>
      </c>
      <c r="K460" t="str">
        <f>INDEX(products!$A$1:$G$49,MATCH($F460,products!$A$1:$A$49,0),MATCH(K$1,products!$A$1:$G$1,0))</f>
        <v>Ara</v>
      </c>
      <c r="L460" t="str">
        <f>INDEX(products!$A$1:$G$49,MATCH($F460,products!$A$1:$A$49,0),MATCH(L$1,products!$A$1:$G$1,0))</f>
        <v>M</v>
      </c>
      <c r="M460" s="5">
        <f>INDEX(products!$A$1:$G$49,MATCH($F460,products!$A$1:$A$49,0),MATCH(M$1,products!$A$1:$G$1,0))</f>
        <v>1</v>
      </c>
      <c r="N460" s="7">
        <f>INDEX(products!$A$1:$G$49,MATCH($F460,products!$A$1:$A$49,0),MATCH(N$1,products!$A$1:$G$1,0))</f>
        <v>11.25</v>
      </c>
      <c r="O460" s="7">
        <f t="shared" si="7"/>
        <v>33.75</v>
      </c>
      <c r="P460" t="str" cm="1">
        <f t="array" ref="P460">_xlfn.IFS(K460="Rob","Robusta",K460="Exc","Excelsa",K460="Ara","Arabica",K460="Lib","Liberica")</f>
        <v>Arabica</v>
      </c>
      <c r="Q460" t="str" cm="1">
        <f t="array" ref="Q460">_xlfn.IFS(L460="M","Medium",L460="L","Light",L460="D","Dark")</f>
        <v>Medium</v>
      </c>
      <c r="R460" t="str">
        <f>_xlfn.XLOOKUP(Orders[[#This Row],[Customer ID]],customers!$A$1:$A$1001,customers!$I$1:$I$1001)</f>
        <v>No</v>
      </c>
    </row>
    <row r="461" spans="1:18" x14ac:dyDescent="0.35">
      <c r="A461" s="2" t="s">
        <v>711</v>
      </c>
      <c r="B461" s="4">
        <v>44524</v>
      </c>
      <c r="C461" s="23">
        <f>Orders[[#This Row],[Order Date]]</f>
        <v>44524</v>
      </c>
      <c r="D461" s="2">
        <f>YEAR(Orders[[#This Row],[Order Date]])</f>
        <v>2021</v>
      </c>
      <c r="E461" s="2" t="s">
        <v>712</v>
      </c>
      <c r="F461" t="s">
        <v>6138</v>
      </c>
      <c r="G461" s="20">
        <v>6</v>
      </c>
      <c r="H461" s="2" t="str">
        <f>INDEX(customers!$A$1:$I$1001,MATCH($E461,customers!$A$1:$A$1001,),MATCH($H$1,customers!$A$1:$I$1,0))</f>
        <v>Hy Zanetto</v>
      </c>
      <c r="I461" s="2" t="str">
        <f>IF(INDEX(customers!$A$1:$I$1001,MATCH($E461,customers!$A$1:$A$1001,0),3)=0,"",INDEX(customers!$A$1:$I$1001,MATCH($E461,customers!$A$1:$A$1001,0),3))</f>
        <v/>
      </c>
      <c r="J461" s="2" t="str">
        <f>_xlfn.XLOOKUP(E461,customers!$A$1:$A$1001,customers!$G$1:$G$1001)</f>
        <v>United States</v>
      </c>
      <c r="K461" t="str">
        <f>INDEX(products!$A$1:$G$49,MATCH($F461,products!$A$1:$A$49,0),MATCH(K$1,products!$A$1:$G$1,0))</f>
        <v>Rob</v>
      </c>
      <c r="L461" t="str">
        <f>INDEX(products!$A$1:$G$49,MATCH($F461,products!$A$1:$A$49,0),MATCH(L$1,products!$A$1:$G$1,0))</f>
        <v>M</v>
      </c>
      <c r="M461" s="5">
        <f>INDEX(products!$A$1:$G$49,MATCH($F461,products!$A$1:$A$49,0),MATCH(M$1,products!$A$1:$G$1,0))</f>
        <v>1</v>
      </c>
      <c r="N461" s="7">
        <f>INDEX(products!$A$1:$G$49,MATCH($F461,products!$A$1:$A$49,0),MATCH(N$1,products!$A$1:$G$1,0))</f>
        <v>9.9499999999999993</v>
      </c>
      <c r="O461" s="7">
        <f t="shared" si="7"/>
        <v>59.699999999999996</v>
      </c>
      <c r="P461" t="str" cm="1">
        <f t="array" ref="P461">_xlfn.IFS(K461="Rob","Robusta",K461="Exc","Excelsa",K461="Ara","Arabica",K461="Lib","Liberica")</f>
        <v>Robusta</v>
      </c>
      <c r="Q461" t="str" cm="1">
        <f t="array" ref="Q461">_xlfn.IFS(L461="M","Medium",L461="L","Light",L461="D","Dark")</f>
        <v>Medium</v>
      </c>
      <c r="R461" t="str">
        <f>_xlfn.XLOOKUP(Orders[[#This Row],[Customer ID]],customers!$A$1:$A$1001,customers!$I$1:$I$1001)</f>
        <v>Yes</v>
      </c>
    </row>
    <row r="462" spans="1:18" x14ac:dyDescent="0.35">
      <c r="A462" s="2" t="s">
        <v>5164</v>
      </c>
      <c r="B462" s="4">
        <v>44540</v>
      </c>
      <c r="C462" s="23">
        <f>Orders[[#This Row],[Order Date]]</f>
        <v>44540</v>
      </c>
      <c r="D462" s="2">
        <f>YEAR(Orders[[#This Row],[Order Date]])</f>
        <v>2021</v>
      </c>
      <c r="E462" s="2" t="s">
        <v>5165</v>
      </c>
      <c r="F462" t="s">
        <v>6156</v>
      </c>
      <c r="G462" s="20">
        <v>5</v>
      </c>
      <c r="H462" s="2" t="str">
        <f>INDEX(customers!$A$1:$I$1001,MATCH($E462,customers!$A$1:$A$1001,),MATCH($H$1,customers!$A$1:$I$1,0))</f>
        <v>Ibby Charters</v>
      </c>
      <c r="I462" s="2" t="str">
        <f>IF(INDEX(customers!$A$1:$I$1001,MATCH($E462,customers!$A$1:$A$1001,0),3)=0,"",INDEX(customers!$A$1:$I$1001,MATCH($E462,customers!$A$1:$A$1001,0),3))</f>
        <v>ichartersmz@abc.net.au</v>
      </c>
      <c r="J462" s="2" t="str">
        <f>_xlfn.XLOOKUP(E462,customers!$A$1:$A$1001,customers!$G$1:$G$1001)</f>
        <v>United States</v>
      </c>
      <c r="K462" t="str">
        <f>INDEX(products!$A$1:$G$49,MATCH($F462,products!$A$1:$A$49,0),MATCH(K$1,products!$A$1:$G$1,0))</f>
        <v>Exc</v>
      </c>
      <c r="L462" t="str">
        <f>INDEX(products!$A$1:$G$49,MATCH($F462,products!$A$1:$A$49,0),MATCH(L$1,products!$A$1:$G$1,0))</f>
        <v>M</v>
      </c>
      <c r="M462" s="5">
        <f>INDEX(products!$A$1:$G$49,MATCH($F462,products!$A$1:$A$49,0),MATCH(M$1,products!$A$1:$G$1,0))</f>
        <v>0.2</v>
      </c>
      <c r="N462" s="7">
        <f>INDEX(products!$A$1:$G$49,MATCH($F462,products!$A$1:$A$49,0),MATCH(N$1,products!$A$1:$G$1,0))</f>
        <v>4.125</v>
      </c>
      <c r="O462" s="7">
        <f t="shared" si="7"/>
        <v>20.625</v>
      </c>
      <c r="P462" t="str" cm="1">
        <f t="array" ref="P462">_xlfn.IFS(K462="Rob","Robusta",K462="Exc","Excelsa",K462="Ara","Arabica",K462="Lib","Liberica")</f>
        <v>Excelsa</v>
      </c>
      <c r="Q462" t="str" cm="1">
        <f t="array" ref="Q462">_xlfn.IFS(L462="M","Medium",L462="L","Light",L462="D","Dark")</f>
        <v>Medium</v>
      </c>
      <c r="R462" t="str">
        <f>_xlfn.XLOOKUP(Orders[[#This Row],[Customer ID]],customers!$A$1:$A$1001,customers!$I$1:$I$1001)</f>
        <v>No</v>
      </c>
    </row>
    <row r="463" spans="1:18" x14ac:dyDescent="0.35">
      <c r="A463" s="2" t="s">
        <v>3559</v>
      </c>
      <c r="B463" s="4">
        <v>44380</v>
      </c>
      <c r="C463" s="23">
        <f>Orders[[#This Row],[Order Date]]</f>
        <v>44380</v>
      </c>
      <c r="D463" s="2">
        <f>YEAR(Orders[[#This Row],[Order Date]])</f>
        <v>2021</v>
      </c>
      <c r="E463" s="2" t="s">
        <v>3560</v>
      </c>
      <c r="F463" t="s">
        <v>6142</v>
      </c>
      <c r="G463" s="20">
        <v>2</v>
      </c>
      <c r="H463" s="2" t="str">
        <f>INDEX(customers!$A$1:$I$1001,MATCH($E463,customers!$A$1:$A$1001,),MATCH($H$1,customers!$A$1:$I$1,0))</f>
        <v>Ilaire Sprakes</v>
      </c>
      <c r="I463" s="2" t="str">
        <f>IF(INDEX(customers!$A$1:$I$1001,MATCH($E463,customers!$A$1:$A$1001,0),3)=0,"",INDEX(customers!$A$1:$I$1001,MATCH($E463,customers!$A$1:$A$1001,0),3))</f>
        <v>isprakesf3@spiegel.de</v>
      </c>
      <c r="J463" s="2" t="str">
        <f>_xlfn.XLOOKUP(E463,customers!$A$1:$A$1001,customers!$G$1:$G$1001)</f>
        <v>United States</v>
      </c>
      <c r="K463" t="str">
        <f>INDEX(products!$A$1:$G$49,MATCH($F463,products!$A$1:$A$49,0),MATCH(K$1,products!$A$1:$G$1,0))</f>
        <v>Rob</v>
      </c>
      <c r="L463" t="str">
        <f>INDEX(products!$A$1:$G$49,MATCH($F463,products!$A$1:$A$49,0),MATCH(L$1,products!$A$1:$G$1,0))</f>
        <v>L</v>
      </c>
      <c r="M463" s="5">
        <f>INDEX(products!$A$1:$G$49,MATCH($F463,products!$A$1:$A$49,0),MATCH(M$1,products!$A$1:$G$1,0))</f>
        <v>2.5</v>
      </c>
      <c r="N463" s="7">
        <f>INDEX(products!$A$1:$G$49,MATCH($F463,products!$A$1:$A$49,0),MATCH(N$1,products!$A$1:$G$1,0))</f>
        <v>27.484999999999996</v>
      </c>
      <c r="O463" s="7">
        <f t="shared" si="7"/>
        <v>54.969999999999992</v>
      </c>
      <c r="P463" t="str" cm="1">
        <f t="array" ref="P463">_xlfn.IFS(K463="Rob","Robusta",K463="Exc","Excelsa",K463="Ara","Arabica",K463="Lib","Liberica")</f>
        <v>Robusta</v>
      </c>
      <c r="Q463" t="str" cm="1">
        <f t="array" ref="Q463">_xlfn.IFS(L463="M","Medium",L463="L","Light",L463="D","Dark")</f>
        <v>Light</v>
      </c>
      <c r="R463" t="str">
        <f>_xlfn.XLOOKUP(Orders[[#This Row],[Customer ID]],customers!$A$1:$A$1001,customers!$I$1:$I$1001)</f>
        <v>No</v>
      </c>
    </row>
    <row r="464" spans="1:18" x14ac:dyDescent="0.35">
      <c r="A464" s="2" t="s">
        <v>1701</v>
      </c>
      <c r="B464" s="4">
        <v>43829</v>
      </c>
      <c r="C464" s="23">
        <f>Orders[[#This Row],[Order Date]]</f>
        <v>43829</v>
      </c>
      <c r="D464" s="2">
        <f>YEAR(Orders[[#This Row],[Order Date]])</f>
        <v>2019</v>
      </c>
      <c r="E464" s="2" t="s">
        <v>1702</v>
      </c>
      <c r="F464" t="s">
        <v>6150</v>
      </c>
      <c r="G464" s="20">
        <v>6</v>
      </c>
      <c r="H464" s="2" t="str">
        <f>INDEX(customers!$A$1:$I$1001,MATCH($E464,customers!$A$1:$A$1001,),MATCH($H$1,customers!$A$1:$I$1,0))</f>
        <v>Ilka Gurnee</v>
      </c>
      <c r="I464" s="2" t="str">
        <f>IF(INDEX(customers!$A$1:$I$1001,MATCH($E464,customers!$A$1:$A$1001,0),3)=0,"",INDEX(customers!$A$1:$I$1001,MATCH($E464,customers!$A$1:$A$1001,0),3))</f>
        <v>igurnee5z@usnews.com</v>
      </c>
      <c r="J464" s="2" t="str">
        <f>_xlfn.XLOOKUP(E464,customers!$A$1:$A$1001,customers!$G$1:$G$1001)</f>
        <v>United States</v>
      </c>
      <c r="K464" t="str">
        <f>INDEX(products!$A$1:$G$49,MATCH($F464,products!$A$1:$A$49,0),MATCH(K$1,products!$A$1:$G$1,0))</f>
        <v>Lib</v>
      </c>
      <c r="L464" t="str">
        <f>INDEX(products!$A$1:$G$49,MATCH($F464,products!$A$1:$A$49,0),MATCH(L$1,products!$A$1:$G$1,0))</f>
        <v>D</v>
      </c>
      <c r="M464" s="5">
        <f>INDEX(products!$A$1:$G$49,MATCH($F464,products!$A$1:$A$49,0),MATCH(M$1,products!$A$1:$G$1,0))</f>
        <v>0.2</v>
      </c>
      <c r="N464" s="7">
        <f>INDEX(products!$A$1:$G$49,MATCH($F464,products!$A$1:$A$49,0),MATCH(N$1,products!$A$1:$G$1,0))</f>
        <v>3.8849999999999998</v>
      </c>
      <c r="O464" s="7">
        <f t="shared" si="7"/>
        <v>23.31</v>
      </c>
      <c r="P464" t="str" cm="1">
        <f t="array" ref="P464">_xlfn.IFS(K464="Rob","Robusta",K464="Exc","Excelsa",K464="Ara","Arabica",K464="Lib","Liberica")</f>
        <v>Liberica</v>
      </c>
      <c r="Q464" t="str" cm="1">
        <f t="array" ref="Q464">_xlfn.IFS(L464="M","Medium",L464="L","Light",L464="D","Dark")</f>
        <v>Dark</v>
      </c>
      <c r="R464" t="str">
        <f>_xlfn.XLOOKUP(Orders[[#This Row],[Customer ID]],customers!$A$1:$A$1001,customers!$I$1:$I$1001)</f>
        <v>No</v>
      </c>
    </row>
    <row r="465" spans="1:18" x14ac:dyDescent="0.35">
      <c r="A465" s="2" t="s">
        <v>1032</v>
      </c>
      <c r="B465" s="4">
        <v>44259</v>
      </c>
      <c r="C465" s="23">
        <f>Orders[[#This Row],[Order Date]]</f>
        <v>44259</v>
      </c>
      <c r="D465" s="2">
        <f>YEAR(Orders[[#This Row],[Order Date]])</f>
        <v>2021</v>
      </c>
      <c r="E465" s="2" t="s">
        <v>1033</v>
      </c>
      <c r="F465" t="s">
        <v>6157</v>
      </c>
      <c r="G465" s="20">
        <v>2</v>
      </c>
      <c r="H465" s="2" t="str">
        <f>INDEX(customers!$A$1:$I$1001,MATCH($E465,customers!$A$1:$A$1001,),MATCH($H$1,customers!$A$1:$I$1,0))</f>
        <v>Ilysa Whapple</v>
      </c>
      <c r="I465" s="2" t="str">
        <f>IF(INDEX(customers!$A$1:$I$1001,MATCH($E465,customers!$A$1:$A$1001,0),3)=0,"",INDEX(customers!$A$1:$I$1001,MATCH($E465,customers!$A$1:$A$1001,0),3))</f>
        <v>iwhapple2p@com.com</v>
      </c>
      <c r="J465" s="2" t="str">
        <f>_xlfn.XLOOKUP(E465,customers!$A$1:$A$1001,customers!$G$1:$G$1001)</f>
        <v>United States</v>
      </c>
      <c r="K465" t="str">
        <f>INDEX(products!$A$1:$G$49,MATCH($F465,products!$A$1:$A$49,0),MATCH(K$1,products!$A$1:$G$1,0))</f>
        <v>Ara</v>
      </c>
      <c r="L465" t="str">
        <f>INDEX(products!$A$1:$G$49,MATCH($F465,products!$A$1:$A$49,0),MATCH(L$1,products!$A$1:$G$1,0))</f>
        <v>M</v>
      </c>
      <c r="M465" s="5">
        <f>INDEX(products!$A$1:$G$49,MATCH($F465,products!$A$1:$A$49,0),MATCH(M$1,products!$A$1:$G$1,0))</f>
        <v>0.5</v>
      </c>
      <c r="N465" s="7">
        <f>INDEX(products!$A$1:$G$49,MATCH($F465,products!$A$1:$A$49,0),MATCH(N$1,products!$A$1:$G$1,0))</f>
        <v>6.75</v>
      </c>
      <c r="O465" s="7">
        <f t="shared" si="7"/>
        <v>13.5</v>
      </c>
      <c r="P465" t="str" cm="1">
        <f t="array" ref="P465">_xlfn.IFS(K465="Rob","Robusta",K465="Exc","Excelsa",K465="Ara","Arabica",K465="Lib","Liberica")</f>
        <v>Arabica</v>
      </c>
      <c r="Q465" t="str" cm="1">
        <f t="array" ref="Q465">_xlfn.IFS(L465="M","Medium",L465="L","Light",L465="D","Dark")</f>
        <v>Medium</v>
      </c>
      <c r="R465" t="str">
        <f>_xlfn.XLOOKUP(Orders[[#This Row],[Customer ID]],customers!$A$1:$A$1001,customers!$I$1:$I$1001)</f>
        <v>No</v>
      </c>
    </row>
    <row r="466" spans="1:18" x14ac:dyDescent="0.35">
      <c r="A466" s="2" t="s">
        <v>5866</v>
      </c>
      <c r="B466" s="4">
        <v>44092</v>
      </c>
      <c r="C466" s="23">
        <f>Orders[[#This Row],[Order Date]]</f>
        <v>44092</v>
      </c>
      <c r="D466" s="2">
        <f>YEAR(Orders[[#This Row],[Order Date]])</f>
        <v>2020</v>
      </c>
      <c r="E466" s="2" t="s">
        <v>5867</v>
      </c>
      <c r="F466" t="s">
        <v>6178</v>
      </c>
      <c r="G466" s="20">
        <v>6</v>
      </c>
      <c r="H466" s="2" t="str">
        <f>INDEX(customers!$A$1:$I$1001,MATCH($E466,customers!$A$1:$A$1001,),MATCH($H$1,customers!$A$1:$I$1,0))</f>
        <v>Ingamar Eberlein</v>
      </c>
      <c r="I466" s="2" t="str">
        <f>IF(INDEX(customers!$A$1:$I$1001,MATCH($E466,customers!$A$1:$A$1001,0),3)=0,"",INDEX(customers!$A$1:$I$1001,MATCH($E466,customers!$A$1:$A$1001,0),3))</f>
        <v>ieberleinqf@hc360.com</v>
      </c>
      <c r="J466" s="2" t="str">
        <f>_xlfn.XLOOKUP(E466,customers!$A$1:$A$1001,customers!$G$1:$G$1001)</f>
        <v>United States</v>
      </c>
      <c r="K466" t="str">
        <f>INDEX(products!$A$1:$G$49,MATCH($F466,products!$A$1:$A$49,0),MATCH(K$1,products!$A$1:$G$1,0))</f>
        <v>Rob</v>
      </c>
      <c r="L466" t="str">
        <f>INDEX(products!$A$1:$G$49,MATCH($F466,products!$A$1:$A$49,0),MATCH(L$1,products!$A$1:$G$1,0))</f>
        <v>L</v>
      </c>
      <c r="M466" s="5">
        <f>INDEX(products!$A$1:$G$49,MATCH($F466,products!$A$1:$A$49,0),MATCH(M$1,products!$A$1:$G$1,0))</f>
        <v>0.2</v>
      </c>
      <c r="N466" s="7">
        <f>INDEX(products!$A$1:$G$49,MATCH($F466,products!$A$1:$A$49,0),MATCH(N$1,products!$A$1:$G$1,0))</f>
        <v>3.5849999999999995</v>
      </c>
      <c r="O466" s="7">
        <f t="shared" si="7"/>
        <v>21.509999999999998</v>
      </c>
      <c r="P466" t="str" cm="1">
        <f t="array" ref="P466">_xlfn.IFS(K466="Rob","Robusta",K466="Exc","Excelsa",K466="Ara","Arabica",K466="Lib","Liberica")</f>
        <v>Robusta</v>
      </c>
      <c r="Q466" t="str" cm="1">
        <f t="array" ref="Q466">_xlfn.IFS(L466="M","Medium",L466="L","Light",L466="D","Dark")</f>
        <v>Light</v>
      </c>
      <c r="R466" t="str">
        <f>_xlfn.XLOOKUP(Orders[[#This Row],[Customer ID]],customers!$A$1:$A$1001,customers!$I$1:$I$1001)</f>
        <v>No</v>
      </c>
    </row>
    <row r="467" spans="1:18" x14ac:dyDescent="0.35">
      <c r="A467" s="2" t="s">
        <v>1134</v>
      </c>
      <c r="B467" s="4">
        <v>43693</v>
      </c>
      <c r="C467" s="23">
        <f>Orders[[#This Row],[Order Date]]</f>
        <v>43693</v>
      </c>
      <c r="D467" s="2">
        <f>YEAR(Orders[[#This Row],[Order Date]])</f>
        <v>2019</v>
      </c>
      <c r="E467" s="2" t="s">
        <v>1135</v>
      </c>
      <c r="F467" t="s">
        <v>6170</v>
      </c>
      <c r="G467" s="20">
        <v>1</v>
      </c>
      <c r="H467" s="2" t="str">
        <f>INDEX(customers!$A$1:$I$1001,MATCH($E467,customers!$A$1:$A$1001,),MATCH($H$1,customers!$A$1:$I$1,0))</f>
        <v>Ingeberg Mulliner</v>
      </c>
      <c r="I467" s="2" t="str">
        <f>IF(INDEX(customers!$A$1:$I$1001,MATCH($E467,customers!$A$1:$A$1001,0),3)=0,"",INDEX(customers!$A$1:$I$1001,MATCH($E467,customers!$A$1:$A$1001,0),3))</f>
        <v>imulliner37@pinterest.com</v>
      </c>
      <c r="J467" s="2" t="str">
        <f>_xlfn.XLOOKUP(E467,customers!$A$1:$A$1001,customers!$G$1:$G$1001)</f>
        <v>United Kingdom</v>
      </c>
      <c r="K467" t="str">
        <f>INDEX(products!$A$1:$G$49,MATCH($F467,products!$A$1:$A$49,0),MATCH(K$1,products!$A$1:$G$1,0))</f>
        <v>Lib</v>
      </c>
      <c r="L467" t="str">
        <f>INDEX(products!$A$1:$G$49,MATCH($F467,products!$A$1:$A$49,0),MATCH(L$1,products!$A$1:$G$1,0))</f>
        <v>L</v>
      </c>
      <c r="M467" s="5">
        <f>INDEX(products!$A$1:$G$49,MATCH($F467,products!$A$1:$A$49,0),MATCH(M$1,products!$A$1:$G$1,0))</f>
        <v>1</v>
      </c>
      <c r="N467" s="7">
        <f>INDEX(products!$A$1:$G$49,MATCH($F467,products!$A$1:$A$49,0),MATCH(N$1,products!$A$1:$G$1,0))</f>
        <v>15.85</v>
      </c>
      <c r="O467" s="7">
        <f t="shared" si="7"/>
        <v>15.85</v>
      </c>
      <c r="P467" t="str" cm="1">
        <f t="array" ref="P467">_xlfn.IFS(K467="Rob","Robusta",K467="Exc","Excelsa",K467="Ara","Arabica",K467="Lib","Liberica")</f>
        <v>Liberica</v>
      </c>
      <c r="Q467" t="str" cm="1">
        <f t="array" ref="Q467">_xlfn.IFS(L467="M","Medium",L467="L","Light",L467="D","Dark")</f>
        <v>Light</v>
      </c>
      <c r="R467" t="str">
        <f>_xlfn.XLOOKUP(Orders[[#This Row],[Customer ID]],customers!$A$1:$A$1001,customers!$I$1:$I$1001)</f>
        <v>No</v>
      </c>
    </row>
    <row r="468" spans="1:18" x14ac:dyDescent="0.35">
      <c r="A468" s="2" t="s">
        <v>2739</v>
      </c>
      <c r="B468" s="4">
        <v>43539</v>
      </c>
      <c r="C468" s="23">
        <f>Orders[[#This Row],[Order Date]]</f>
        <v>43539</v>
      </c>
      <c r="D468" s="2">
        <f>YEAR(Orders[[#This Row],[Order Date]])</f>
        <v>2019</v>
      </c>
      <c r="E468" s="2" t="s">
        <v>2740</v>
      </c>
      <c r="F468" t="s">
        <v>6185</v>
      </c>
      <c r="G468" s="20">
        <v>6</v>
      </c>
      <c r="H468" s="2" t="str">
        <f>INDEX(customers!$A$1:$I$1001,MATCH($E468,customers!$A$1:$A$1001,),MATCH($H$1,customers!$A$1:$I$1,0))</f>
        <v>Ingelbert Hotchkin</v>
      </c>
      <c r="I468" s="2" t="str">
        <f>IF(INDEX(customers!$A$1:$I$1001,MATCH($E468,customers!$A$1:$A$1001,0),3)=0,"",INDEX(customers!$A$1:$I$1001,MATCH($E468,customers!$A$1:$A$1001,0),3))</f>
        <v>ihotchkinb3@mit.edu</v>
      </c>
      <c r="J468" s="2" t="str">
        <f>_xlfn.XLOOKUP(E468,customers!$A$1:$A$1001,customers!$G$1:$G$1001)</f>
        <v>United Kingdom</v>
      </c>
      <c r="K468" t="str">
        <f>INDEX(products!$A$1:$G$49,MATCH($F468,products!$A$1:$A$49,0),MATCH(K$1,products!$A$1:$G$1,0))</f>
        <v>Exc</v>
      </c>
      <c r="L468" t="str">
        <f>INDEX(products!$A$1:$G$49,MATCH($F468,products!$A$1:$A$49,0),MATCH(L$1,products!$A$1:$G$1,0))</f>
        <v>D</v>
      </c>
      <c r="M468" s="5">
        <f>INDEX(products!$A$1:$G$49,MATCH($F468,products!$A$1:$A$49,0),MATCH(M$1,products!$A$1:$G$1,0))</f>
        <v>2.5</v>
      </c>
      <c r="N468" s="7">
        <f>INDEX(products!$A$1:$G$49,MATCH($F468,products!$A$1:$A$49,0),MATCH(N$1,products!$A$1:$G$1,0))</f>
        <v>27.945</v>
      </c>
      <c r="O468" s="7">
        <f t="shared" si="7"/>
        <v>167.67000000000002</v>
      </c>
      <c r="P468" t="str" cm="1">
        <f t="array" ref="P468">_xlfn.IFS(K468="Rob","Robusta",K468="Exc","Excelsa",K468="Ara","Arabica",K468="Lib","Liberica")</f>
        <v>Excelsa</v>
      </c>
      <c r="Q468" t="str" cm="1">
        <f t="array" ref="Q468">_xlfn.IFS(L468="M","Medium",L468="L","Light",L468="D","Dark")</f>
        <v>Dark</v>
      </c>
      <c r="R468" t="str">
        <f>_xlfn.XLOOKUP(Orders[[#This Row],[Customer ID]],customers!$A$1:$A$1001,customers!$I$1:$I$1001)</f>
        <v>No</v>
      </c>
    </row>
    <row r="469" spans="1:18" x14ac:dyDescent="0.35">
      <c r="A469" s="2" t="s">
        <v>772</v>
      </c>
      <c r="B469" s="4">
        <v>44792</v>
      </c>
      <c r="C469" s="23">
        <f>Orders[[#This Row],[Order Date]]</f>
        <v>44792</v>
      </c>
      <c r="D469" s="2">
        <f>YEAR(Orders[[#This Row],[Order Date]])</f>
        <v>2022</v>
      </c>
      <c r="E469" s="2" t="s">
        <v>773</v>
      </c>
      <c r="F469" t="s">
        <v>6169</v>
      </c>
      <c r="G469" s="20">
        <v>2</v>
      </c>
      <c r="H469" s="2" t="str">
        <f>INDEX(customers!$A$1:$I$1001,MATCH($E469,customers!$A$1:$A$1001,),MATCH($H$1,customers!$A$1:$I$1,0))</f>
        <v>Inger Bouldon</v>
      </c>
      <c r="I469" s="2" t="str">
        <f>IF(INDEX(customers!$A$1:$I$1001,MATCH($E469,customers!$A$1:$A$1001,0),3)=0,"",INDEX(customers!$A$1:$I$1001,MATCH($E469,customers!$A$1:$A$1001,0),3))</f>
        <v>ibouldon1e@gizmodo.com</v>
      </c>
      <c r="J469" s="2" t="str">
        <f>_xlfn.XLOOKUP(E469,customers!$A$1:$A$1001,customers!$G$1:$G$1001)</f>
        <v>United States</v>
      </c>
      <c r="K469" t="str">
        <f>INDEX(products!$A$1:$G$49,MATCH($F469,products!$A$1:$A$49,0),MATCH(K$1,products!$A$1:$G$1,0))</f>
        <v>Lib</v>
      </c>
      <c r="L469" t="str">
        <f>INDEX(products!$A$1:$G$49,MATCH($F469,products!$A$1:$A$49,0),MATCH(L$1,products!$A$1:$G$1,0))</f>
        <v>D</v>
      </c>
      <c r="M469" s="5">
        <f>INDEX(products!$A$1:$G$49,MATCH($F469,products!$A$1:$A$49,0),MATCH(M$1,products!$A$1:$G$1,0))</f>
        <v>0.5</v>
      </c>
      <c r="N469" s="7">
        <f>INDEX(products!$A$1:$G$49,MATCH($F469,products!$A$1:$A$49,0),MATCH(N$1,products!$A$1:$G$1,0))</f>
        <v>7.77</v>
      </c>
      <c r="O469" s="7">
        <f t="shared" si="7"/>
        <v>15.54</v>
      </c>
      <c r="P469" t="str" cm="1">
        <f t="array" ref="P469">_xlfn.IFS(K469="Rob","Robusta",K469="Exc","Excelsa",K469="Ara","Arabica",K469="Lib","Liberica")</f>
        <v>Liberica</v>
      </c>
      <c r="Q469" t="str" cm="1">
        <f t="array" ref="Q469">_xlfn.IFS(L469="M","Medium",L469="L","Light",L469="D","Dark")</f>
        <v>Dark</v>
      </c>
      <c r="R469" t="str">
        <f>_xlfn.XLOOKUP(Orders[[#This Row],[Customer ID]],customers!$A$1:$A$1001,customers!$I$1:$I$1001)</f>
        <v>No</v>
      </c>
    </row>
    <row r="470" spans="1:18" x14ac:dyDescent="0.35">
      <c r="A470" s="2" t="s">
        <v>3978</v>
      </c>
      <c r="B470" s="4">
        <v>44469</v>
      </c>
      <c r="C470" s="23">
        <f>Orders[[#This Row],[Order Date]]</f>
        <v>44469</v>
      </c>
      <c r="D470" s="2">
        <f>YEAR(Orders[[#This Row],[Order Date]])</f>
        <v>2021</v>
      </c>
      <c r="E470" s="2" t="s">
        <v>3979</v>
      </c>
      <c r="F470" t="s">
        <v>6183</v>
      </c>
      <c r="G470" s="20">
        <v>6</v>
      </c>
      <c r="H470" s="2" t="str">
        <f>INDEX(customers!$A$1:$I$1001,MATCH($E470,customers!$A$1:$A$1001,),MATCH($H$1,customers!$A$1:$I$1,0))</f>
        <v>Innis Renhard</v>
      </c>
      <c r="I470" s="2" t="str">
        <f>IF(INDEX(customers!$A$1:$I$1001,MATCH($E470,customers!$A$1:$A$1001,0),3)=0,"",INDEX(customers!$A$1:$I$1001,MATCH($E470,customers!$A$1:$A$1001,0),3))</f>
        <v>irenhardh6@i2i.jp</v>
      </c>
      <c r="J470" s="2" t="str">
        <f>_xlfn.XLOOKUP(E470,customers!$A$1:$A$1001,customers!$G$1:$G$1001)</f>
        <v>United States</v>
      </c>
      <c r="K470" t="str">
        <f>INDEX(products!$A$1:$G$49,MATCH($F470,products!$A$1:$A$49,0),MATCH(K$1,products!$A$1:$G$1,0))</f>
        <v>Exc</v>
      </c>
      <c r="L470" t="str">
        <f>INDEX(products!$A$1:$G$49,MATCH($F470,products!$A$1:$A$49,0),MATCH(L$1,products!$A$1:$G$1,0))</f>
        <v>D</v>
      </c>
      <c r="M470" s="5">
        <f>INDEX(products!$A$1:$G$49,MATCH($F470,products!$A$1:$A$49,0),MATCH(M$1,products!$A$1:$G$1,0))</f>
        <v>1</v>
      </c>
      <c r="N470" s="7">
        <f>INDEX(products!$A$1:$G$49,MATCH($F470,products!$A$1:$A$49,0),MATCH(N$1,products!$A$1:$G$1,0))</f>
        <v>12.15</v>
      </c>
      <c r="O470" s="7">
        <f t="shared" si="7"/>
        <v>72.900000000000006</v>
      </c>
      <c r="P470" t="str" cm="1">
        <f t="array" ref="P470">_xlfn.IFS(K470="Rob","Robusta",K470="Exc","Excelsa",K470="Ara","Arabica",K470="Lib","Liberica")</f>
        <v>Excelsa</v>
      </c>
      <c r="Q470" t="str" cm="1">
        <f t="array" ref="Q470">_xlfn.IFS(L470="M","Medium",L470="L","Light",L470="D","Dark")</f>
        <v>Dark</v>
      </c>
      <c r="R470" t="str">
        <f>_xlfn.XLOOKUP(Orders[[#This Row],[Customer ID]],customers!$A$1:$A$1001,customers!$I$1:$I$1001)</f>
        <v>Yes</v>
      </c>
    </row>
    <row r="471" spans="1:18" x14ac:dyDescent="0.35">
      <c r="A471" s="2" t="s">
        <v>620</v>
      </c>
      <c r="B471" s="4">
        <v>44603</v>
      </c>
      <c r="C471" s="23">
        <f>Orders[[#This Row],[Order Date]]</f>
        <v>44603</v>
      </c>
      <c r="D471" s="2">
        <f>YEAR(Orders[[#This Row],[Order Date]])</f>
        <v>2022</v>
      </c>
      <c r="E471" s="2" t="s">
        <v>621</v>
      </c>
      <c r="F471" t="s">
        <v>6154</v>
      </c>
      <c r="G471" s="20">
        <v>4</v>
      </c>
      <c r="H471" s="2" t="str">
        <f>INDEX(customers!$A$1:$I$1001,MATCH($E471,customers!$A$1:$A$1001,),MATCH($H$1,customers!$A$1:$I$1,0))</f>
        <v>Iorgo Kleinert</v>
      </c>
      <c r="I471" s="2" t="str">
        <f>IF(INDEX(customers!$A$1:$I$1001,MATCH($E471,customers!$A$1:$A$1001,0),3)=0,"",INDEX(customers!$A$1:$I$1001,MATCH($E471,customers!$A$1:$A$1001,0),3))</f>
        <v>ikleinertn@timesonline.co.uk</v>
      </c>
      <c r="J471" s="2" t="str">
        <f>_xlfn.XLOOKUP(E471,customers!$A$1:$A$1001,customers!$G$1:$G$1001)</f>
        <v>United States</v>
      </c>
      <c r="K471" t="str">
        <f>INDEX(products!$A$1:$G$49,MATCH($F471,products!$A$1:$A$49,0),MATCH(K$1,products!$A$1:$G$1,0))</f>
        <v>Ara</v>
      </c>
      <c r="L471" t="str">
        <f>INDEX(products!$A$1:$G$49,MATCH($F471,products!$A$1:$A$49,0),MATCH(L$1,products!$A$1:$G$1,0))</f>
        <v>D</v>
      </c>
      <c r="M471" s="5">
        <f>INDEX(products!$A$1:$G$49,MATCH($F471,products!$A$1:$A$49,0),MATCH(M$1,products!$A$1:$G$1,0))</f>
        <v>0.2</v>
      </c>
      <c r="N471" s="7">
        <f>INDEX(products!$A$1:$G$49,MATCH($F471,products!$A$1:$A$49,0),MATCH(N$1,products!$A$1:$G$1,0))</f>
        <v>2.9849999999999999</v>
      </c>
      <c r="O471" s="7">
        <f t="shared" si="7"/>
        <v>11.94</v>
      </c>
      <c r="P471" t="str" cm="1">
        <f t="array" ref="P471">_xlfn.IFS(K471="Rob","Robusta",K471="Exc","Excelsa",K471="Ara","Arabica",K471="Lib","Liberica")</f>
        <v>Arabica</v>
      </c>
      <c r="Q471" t="str" cm="1">
        <f t="array" ref="Q471">_xlfn.IFS(L471="M","Medium",L471="L","Light",L471="D","Dark")</f>
        <v>Dark</v>
      </c>
      <c r="R471" t="str">
        <f>_xlfn.XLOOKUP(Orders[[#This Row],[Customer ID]],customers!$A$1:$A$1001,customers!$I$1:$I$1001)</f>
        <v>Yes</v>
      </c>
    </row>
    <row r="472" spans="1:18" x14ac:dyDescent="0.35">
      <c r="A472" s="2" t="s">
        <v>4239</v>
      </c>
      <c r="B472" s="4">
        <v>44549</v>
      </c>
      <c r="C472" s="23">
        <f>Orders[[#This Row],[Order Date]]</f>
        <v>44549</v>
      </c>
      <c r="D472" s="2">
        <f>YEAR(Orders[[#This Row],[Order Date]])</f>
        <v>2021</v>
      </c>
      <c r="E472" s="2" t="s">
        <v>4240</v>
      </c>
      <c r="F472" t="s">
        <v>6183</v>
      </c>
      <c r="G472" s="20">
        <v>6</v>
      </c>
      <c r="H472" s="2" t="str">
        <f>INDEX(customers!$A$1:$I$1001,MATCH($E472,customers!$A$1:$A$1001,),MATCH($H$1,customers!$A$1:$I$1,0))</f>
        <v>Ira Sjostrom</v>
      </c>
      <c r="I472" s="2" t="str">
        <f>IF(INDEX(customers!$A$1:$I$1001,MATCH($E472,customers!$A$1:$A$1001,0),3)=0,"",INDEX(customers!$A$1:$I$1001,MATCH($E472,customers!$A$1:$A$1001,0),3))</f>
        <v>isjostromig@pbs.org</v>
      </c>
      <c r="J472" s="2" t="str">
        <f>_xlfn.XLOOKUP(E472,customers!$A$1:$A$1001,customers!$G$1:$G$1001)</f>
        <v>United States</v>
      </c>
      <c r="K472" t="str">
        <f>INDEX(products!$A$1:$G$49,MATCH($F472,products!$A$1:$A$49,0),MATCH(K$1,products!$A$1:$G$1,0))</f>
        <v>Exc</v>
      </c>
      <c r="L472" t="str">
        <f>INDEX(products!$A$1:$G$49,MATCH($F472,products!$A$1:$A$49,0),MATCH(L$1,products!$A$1:$G$1,0))</f>
        <v>D</v>
      </c>
      <c r="M472" s="5">
        <f>INDEX(products!$A$1:$G$49,MATCH($F472,products!$A$1:$A$49,0),MATCH(M$1,products!$A$1:$G$1,0))</f>
        <v>1</v>
      </c>
      <c r="N472" s="7">
        <f>INDEX(products!$A$1:$G$49,MATCH($F472,products!$A$1:$A$49,0),MATCH(N$1,products!$A$1:$G$1,0))</f>
        <v>12.15</v>
      </c>
      <c r="O472" s="7">
        <f t="shared" si="7"/>
        <v>72.900000000000006</v>
      </c>
      <c r="P472" t="str" cm="1">
        <f t="array" ref="P472">_xlfn.IFS(K472="Rob","Robusta",K472="Exc","Excelsa",K472="Ara","Arabica",K472="Lib","Liberica")</f>
        <v>Excelsa</v>
      </c>
      <c r="Q472" t="str" cm="1">
        <f t="array" ref="Q472">_xlfn.IFS(L472="M","Medium",L472="L","Light",L472="D","Dark")</f>
        <v>Dark</v>
      </c>
      <c r="R472" t="str">
        <f>_xlfn.XLOOKUP(Orders[[#This Row],[Customer ID]],customers!$A$1:$A$1001,customers!$I$1:$I$1001)</f>
        <v>No</v>
      </c>
    </row>
    <row r="473" spans="1:18" x14ac:dyDescent="0.35">
      <c r="A473" s="2" t="s">
        <v>4239</v>
      </c>
      <c r="B473" s="4">
        <v>44549</v>
      </c>
      <c r="C473" s="23">
        <f>Orders[[#This Row],[Order Date]]</f>
        <v>44549</v>
      </c>
      <c r="D473" s="2">
        <f>YEAR(Orders[[#This Row],[Order Date]])</f>
        <v>2021</v>
      </c>
      <c r="E473" s="2" t="s">
        <v>4240</v>
      </c>
      <c r="F473" t="s">
        <v>6150</v>
      </c>
      <c r="G473" s="20">
        <v>2</v>
      </c>
      <c r="H473" s="2" t="str">
        <f>INDEX(customers!$A$1:$I$1001,MATCH($E473,customers!$A$1:$A$1001,),MATCH($H$1,customers!$A$1:$I$1,0))</f>
        <v>Ira Sjostrom</v>
      </c>
      <c r="I473" s="2" t="str">
        <f>IF(INDEX(customers!$A$1:$I$1001,MATCH($E473,customers!$A$1:$A$1001,0),3)=0,"",INDEX(customers!$A$1:$I$1001,MATCH($E473,customers!$A$1:$A$1001,0),3))</f>
        <v>isjostromig@pbs.org</v>
      </c>
      <c r="J473" s="2" t="str">
        <f>_xlfn.XLOOKUP(E473,customers!$A$1:$A$1001,customers!$G$1:$G$1001)</f>
        <v>United States</v>
      </c>
      <c r="K473" t="str">
        <f>INDEX(products!$A$1:$G$49,MATCH($F473,products!$A$1:$A$49,0),MATCH(K$1,products!$A$1:$G$1,0))</f>
        <v>Lib</v>
      </c>
      <c r="L473" t="str">
        <f>INDEX(products!$A$1:$G$49,MATCH($F473,products!$A$1:$A$49,0),MATCH(L$1,products!$A$1:$G$1,0))</f>
        <v>D</v>
      </c>
      <c r="M473" s="5">
        <f>INDEX(products!$A$1:$G$49,MATCH($F473,products!$A$1:$A$49,0),MATCH(M$1,products!$A$1:$G$1,0))</f>
        <v>0.2</v>
      </c>
      <c r="N473" s="7">
        <f>INDEX(products!$A$1:$G$49,MATCH($F473,products!$A$1:$A$49,0),MATCH(N$1,products!$A$1:$G$1,0))</f>
        <v>3.8849999999999998</v>
      </c>
      <c r="O473" s="7">
        <f t="shared" si="7"/>
        <v>7.77</v>
      </c>
      <c r="P473" t="str" cm="1">
        <f t="array" ref="P473">_xlfn.IFS(K473="Rob","Robusta",K473="Exc","Excelsa",K473="Ara","Arabica",K473="Lib","Liberica")</f>
        <v>Liberica</v>
      </c>
      <c r="Q473" t="str" cm="1">
        <f t="array" ref="Q473">_xlfn.IFS(L473="M","Medium",L473="L","Light",L473="D","Dark")</f>
        <v>Dark</v>
      </c>
      <c r="R473" t="str">
        <f>_xlfn.XLOOKUP(Orders[[#This Row],[Customer ID]],customers!$A$1:$A$1001,customers!$I$1:$I$1001)</f>
        <v>No</v>
      </c>
    </row>
    <row r="474" spans="1:18" x14ac:dyDescent="0.35">
      <c r="A474" s="2" t="s">
        <v>1952</v>
      </c>
      <c r="B474" s="4">
        <v>44355</v>
      </c>
      <c r="C474" s="23">
        <f>Orders[[#This Row],[Order Date]]</f>
        <v>44355</v>
      </c>
      <c r="D474" s="2">
        <f>YEAR(Orders[[#This Row],[Order Date]])</f>
        <v>2021</v>
      </c>
      <c r="E474" s="2" t="s">
        <v>1953</v>
      </c>
      <c r="F474" t="s">
        <v>6174</v>
      </c>
      <c r="G474" s="20">
        <v>2</v>
      </c>
      <c r="H474" s="2" t="str">
        <f>INDEX(customers!$A$1:$I$1001,MATCH($E474,customers!$A$1:$A$1001,),MATCH($H$1,customers!$A$1:$I$1,0))</f>
        <v>Irv Hay</v>
      </c>
      <c r="I474" s="2" t="str">
        <f>IF(INDEX(customers!$A$1:$I$1001,MATCH($E474,customers!$A$1:$A$1001,0),3)=0,"",INDEX(customers!$A$1:$I$1001,MATCH($E474,customers!$A$1:$A$1001,0),3))</f>
        <v>ihay77@lulu.com</v>
      </c>
      <c r="J474" s="2" t="str">
        <f>_xlfn.XLOOKUP(E474,customers!$A$1:$A$1001,customers!$G$1:$G$1001)</f>
        <v>United Kingdom</v>
      </c>
      <c r="K474" t="str">
        <f>INDEX(products!$A$1:$G$49,MATCH($F474,products!$A$1:$A$49,0),MATCH(K$1,products!$A$1:$G$1,0))</f>
        <v>Rob</v>
      </c>
      <c r="L474" t="str">
        <f>INDEX(products!$A$1:$G$49,MATCH($F474,products!$A$1:$A$49,0),MATCH(L$1,products!$A$1:$G$1,0))</f>
        <v>M</v>
      </c>
      <c r="M474" s="5">
        <f>INDEX(products!$A$1:$G$49,MATCH($F474,products!$A$1:$A$49,0),MATCH(M$1,products!$A$1:$G$1,0))</f>
        <v>0.2</v>
      </c>
      <c r="N474" s="7">
        <f>INDEX(products!$A$1:$G$49,MATCH($F474,products!$A$1:$A$49,0),MATCH(N$1,products!$A$1:$G$1,0))</f>
        <v>2.9849999999999999</v>
      </c>
      <c r="O474" s="7">
        <f t="shared" si="7"/>
        <v>5.97</v>
      </c>
      <c r="P474" t="str" cm="1">
        <f t="array" ref="P474">_xlfn.IFS(K474="Rob","Robusta",K474="Exc","Excelsa",K474="Ara","Arabica",K474="Lib","Liberica")</f>
        <v>Robusta</v>
      </c>
      <c r="Q474" t="str" cm="1">
        <f t="array" ref="Q474">_xlfn.IFS(L474="M","Medium",L474="L","Light",L474="D","Dark")</f>
        <v>Medium</v>
      </c>
      <c r="R474" t="str">
        <f>_xlfn.XLOOKUP(Orders[[#This Row],[Customer ID]],customers!$A$1:$A$1001,customers!$I$1:$I$1001)</f>
        <v>No</v>
      </c>
    </row>
    <row r="475" spans="1:18" x14ac:dyDescent="0.35">
      <c r="A475" s="2" t="s">
        <v>3469</v>
      </c>
      <c r="B475" s="4">
        <v>43517</v>
      </c>
      <c r="C475" s="23">
        <f>Orders[[#This Row],[Order Date]]</f>
        <v>43517</v>
      </c>
      <c r="D475" s="2">
        <f>YEAR(Orders[[#This Row],[Order Date]])</f>
        <v>2019</v>
      </c>
      <c r="E475" s="2" t="s">
        <v>3470</v>
      </c>
      <c r="F475" t="s">
        <v>6139</v>
      </c>
      <c r="G475" s="20">
        <v>5</v>
      </c>
      <c r="H475" s="2" t="str">
        <f>INDEX(customers!$A$1:$I$1001,MATCH($E475,customers!$A$1:$A$1001,),MATCH($H$1,customers!$A$1:$I$1,0))</f>
        <v>Irvine Phillpot</v>
      </c>
      <c r="I475" s="2" t="str">
        <f>IF(INDEX(customers!$A$1:$I$1001,MATCH($E475,customers!$A$1:$A$1001,0),3)=0,"",INDEX(customers!$A$1:$I$1001,MATCH($E475,customers!$A$1:$A$1001,0),3))</f>
        <v>iphillpoten@buzzfeed.com</v>
      </c>
      <c r="J475" s="2" t="str">
        <f>_xlfn.XLOOKUP(E475,customers!$A$1:$A$1001,customers!$G$1:$G$1001)</f>
        <v>United Kingdom</v>
      </c>
      <c r="K475" t="str">
        <f>INDEX(products!$A$1:$G$49,MATCH($F475,products!$A$1:$A$49,0),MATCH(K$1,products!$A$1:$G$1,0))</f>
        <v>Exc</v>
      </c>
      <c r="L475" t="str">
        <f>INDEX(products!$A$1:$G$49,MATCH($F475,products!$A$1:$A$49,0),MATCH(L$1,products!$A$1:$G$1,0))</f>
        <v>M</v>
      </c>
      <c r="M475" s="5">
        <f>INDEX(products!$A$1:$G$49,MATCH($F475,products!$A$1:$A$49,0),MATCH(M$1,products!$A$1:$G$1,0))</f>
        <v>0.5</v>
      </c>
      <c r="N475" s="7">
        <f>INDEX(products!$A$1:$G$49,MATCH($F475,products!$A$1:$A$49,0),MATCH(N$1,products!$A$1:$G$1,0))</f>
        <v>8.25</v>
      </c>
      <c r="O475" s="7">
        <f t="shared" si="7"/>
        <v>41.25</v>
      </c>
      <c r="P475" t="str" cm="1">
        <f t="array" ref="P475">_xlfn.IFS(K475="Rob","Robusta",K475="Exc","Excelsa",K475="Ara","Arabica",K475="Lib","Liberica")</f>
        <v>Excelsa</v>
      </c>
      <c r="Q475" t="str" cm="1">
        <f t="array" ref="Q475">_xlfn.IFS(L475="M","Medium",L475="L","Light",L475="D","Dark")</f>
        <v>Medium</v>
      </c>
      <c r="R475" t="str">
        <f>_xlfn.XLOOKUP(Orders[[#This Row],[Customer ID]],customers!$A$1:$A$1001,customers!$I$1:$I$1001)</f>
        <v>No</v>
      </c>
    </row>
    <row r="476" spans="1:18" x14ac:dyDescent="0.35">
      <c r="A476" s="2" t="s">
        <v>1526</v>
      </c>
      <c r="B476" s="4">
        <v>44397</v>
      </c>
      <c r="C476" s="23">
        <f>Orders[[#This Row],[Order Date]]</f>
        <v>44397</v>
      </c>
      <c r="D476" s="2">
        <f>YEAR(Orders[[#This Row],[Order Date]])</f>
        <v>2021</v>
      </c>
      <c r="E476" s="2" t="s">
        <v>1527</v>
      </c>
      <c r="F476" t="s">
        <v>6180</v>
      </c>
      <c r="G476" s="20">
        <v>4</v>
      </c>
      <c r="H476" s="2" t="str">
        <f>INDEX(customers!$A$1:$I$1001,MATCH($E476,customers!$A$1:$A$1001,),MATCH($H$1,customers!$A$1:$I$1,0))</f>
        <v>Isa Blazewicz</v>
      </c>
      <c r="I476" s="2" t="str">
        <f>IF(INDEX(customers!$A$1:$I$1001,MATCH($E476,customers!$A$1:$A$1001,0),3)=0,"",INDEX(customers!$A$1:$I$1001,MATCH($E476,customers!$A$1:$A$1001,0),3))</f>
        <v>iblazewicz54@thetimes.co.uk</v>
      </c>
      <c r="J476" s="2" t="str">
        <f>_xlfn.XLOOKUP(E476,customers!$A$1:$A$1001,customers!$G$1:$G$1001)</f>
        <v>United States</v>
      </c>
      <c r="K476" t="str">
        <f>INDEX(products!$A$1:$G$49,MATCH($F476,products!$A$1:$A$49,0),MATCH(K$1,products!$A$1:$G$1,0))</f>
        <v>Ara</v>
      </c>
      <c r="L476" t="str">
        <f>INDEX(products!$A$1:$G$49,MATCH($F476,products!$A$1:$A$49,0),MATCH(L$1,products!$A$1:$G$1,0))</f>
        <v>L</v>
      </c>
      <c r="M476" s="5">
        <f>INDEX(products!$A$1:$G$49,MATCH($F476,products!$A$1:$A$49,0),MATCH(M$1,products!$A$1:$G$1,0))</f>
        <v>0.5</v>
      </c>
      <c r="N476" s="7">
        <f>INDEX(products!$A$1:$G$49,MATCH($F476,products!$A$1:$A$49,0),MATCH(N$1,products!$A$1:$G$1,0))</f>
        <v>7.77</v>
      </c>
      <c r="O476" s="7">
        <f t="shared" si="7"/>
        <v>31.08</v>
      </c>
      <c r="P476" t="str" cm="1">
        <f t="array" ref="P476">_xlfn.IFS(K476="Rob","Robusta",K476="Exc","Excelsa",K476="Ara","Arabica",K476="Lib","Liberica")</f>
        <v>Arabica</v>
      </c>
      <c r="Q476" t="str" cm="1">
        <f t="array" ref="Q476">_xlfn.IFS(L476="M","Medium",L476="L","Light",L476="D","Dark")</f>
        <v>Light</v>
      </c>
      <c r="R476" t="str">
        <f>_xlfn.XLOOKUP(Orders[[#This Row],[Customer ID]],customers!$A$1:$A$1001,customers!$I$1:$I$1001)</f>
        <v>No</v>
      </c>
    </row>
    <row r="477" spans="1:18" x14ac:dyDescent="0.35">
      <c r="A477" s="2" t="s">
        <v>5193</v>
      </c>
      <c r="B477" s="4">
        <v>44274</v>
      </c>
      <c r="C477" s="23">
        <f>Orders[[#This Row],[Order Date]]</f>
        <v>44274</v>
      </c>
      <c r="D477" s="2">
        <f>YEAR(Orders[[#This Row],[Order Date]])</f>
        <v>2021</v>
      </c>
      <c r="E477" s="2" t="s">
        <v>5194</v>
      </c>
      <c r="F477" t="s">
        <v>6138</v>
      </c>
      <c r="G477" s="20">
        <v>6</v>
      </c>
      <c r="H477" s="2" t="str">
        <f>INDEX(customers!$A$1:$I$1001,MATCH($E477,customers!$A$1:$A$1001,),MATCH($H$1,customers!$A$1:$I$1,0))</f>
        <v>Isac Jesper</v>
      </c>
      <c r="I477" s="2" t="str">
        <f>IF(INDEX(customers!$A$1:$I$1001,MATCH($E477,customers!$A$1:$A$1001,0),3)=0,"",INDEX(customers!$A$1:$I$1001,MATCH($E477,customers!$A$1:$A$1001,0),3))</f>
        <v>ijespern4@theglobeandmail.com</v>
      </c>
      <c r="J477" s="2" t="str">
        <f>_xlfn.XLOOKUP(E477,customers!$A$1:$A$1001,customers!$G$1:$G$1001)</f>
        <v>United States</v>
      </c>
      <c r="K477" t="str">
        <f>INDEX(products!$A$1:$G$49,MATCH($F477,products!$A$1:$A$49,0),MATCH(K$1,products!$A$1:$G$1,0))</f>
        <v>Rob</v>
      </c>
      <c r="L477" t="str">
        <f>INDEX(products!$A$1:$G$49,MATCH($F477,products!$A$1:$A$49,0),MATCH(L$1,products!$A$1:$G$1,0))</f>
        <v>M</v>
      </c>
      <c r="M477" s="5">
        <f>INDEX(products!$A$1:$G$49,MATCH($F477,products!$A$1:$A$49,0),MATCH(M$1,products!$A$1:$G$1,0))</f>
        <v>1</v>
      </c>
      <c r="N477" s="7">
        <f>INDEX(products!$A$1:$G$49,MATCH($F477,products!$A$1:$A$49,0),MATCH(N$1,products!$A$1:$G$1,0))</f>
        <v>9.9499999999999993</v>
      </c>
      <c r="O477" s="7">
        <f t="shared" si="7"/>
        <v>59.699999999999996</v>
      </c>
      <c r="P477" t="str" cm="1">
        <f t="array" ref="P477">_xlfn.IFS(K477="Rob","Robusta",K477="Exc","Excelsa",K477="Ara","Arabica",K477="Lib","Liberica")</f>
        <v>Robusta</v>
      </c>
      <c r="Q477" t="str" cm="1">
        <f t="array" ref="Q477">_xlfn.IFS(L477="M","Medium",L477="L","Light",L477="D","Dark")</f>
        <v>Medium</v>
      </c>
      <c r="R477" t="str">
        <f>_xlfn.XLOOKUP(Orders[[#This Row],[Customer ID]],customers!$A$1:$A$1001,customers!$I$1:$I$1001)</f>
        <v>No</v>
      </c>
    </row>
    <row r="478" spans="1:18" x14ac:dyDescent="0.35">
      <c r="A478" s="2" t="s">
        <v>1095</v>
      </c>
      <c r="B478" s="4">
        <v>44041</v>
      </c>
      <c r="C478" s="23">
        <f>Orders[[#This Row],[Order Date]]</f>
        <v>44041</v>
      </c>
      <c r="D478" s="2">
        <f>YEAR(Orders[[#This Row],[Order Date]])</f>
        <v>2020</v>
      </c>
      <c r="E478" s="2" t="s">
        <v>1096</v>
      </c>
      <c r="F478" t="s">
        <v>6157</v>
      </c>
      <c r="G478" s="20">
        <v>4</v>
      </c>
      <c r="H478" s="2" t="str">
        <f>INDEX(customers!$A$1:$I$1001,MATCH($E478,customers!$A$1:$A$1001,),MATCH($H$1,customers!$A$1:$I$1,0))</f>
        <v>Isahella Hagland</v>
      </c>
      <c r="I478" s="2" t="str">
        <f>IF(INDEX(customers!$A$1:$I$1001,MATCH($E478,customers!$A$1:$A$1001,0),3)=0,"",INDEX(customers!$A$1:$I$1001,MATCH($E478,customers!$A$1:$A$1001,0),3))</f>
        <v/>
      </c>
      <c r="J478" s="2" t="str">
        <f>_xlfn.XLOOKUP(E478,customers!$A$1:$A$1001,customers!$G$1:$G$1001)</f>
        <v>United States</v>
      </c>
      <c r="K478" t="str">
        <f>INDEX(products!$A$1:$G$49,MATCH($F478,products!$A$1:$A$49,0),MATCH(K$1,products!$A$1:$G$1,0))</f>
        <v>Ara</v>
      </c>
      <c r="L478" t="str">
        <f>INDEX(products!$A$1:$G$49,MATCH($F478,products!$A$1:$A$49,0),MATCH(L$1,products!$A$1:$G$1,0))</f>
        <v>M</v>
      </c>
      <c r="M478" s="5">
        <f>INDEX(products!$A$1:$G$49,MATCH($F478,products!$A$1:$A$49,0),MATCH(M$1,products!$A$1:$G$1,0))</f>
        <v>0.5</v>
      </c>
      <c r="N478" s="7">
        <f>INDEX(products!$A$1:$G$49,MATCH($F478,products!$A$1:$A$49,0),MATCH(N$1,products!$A$1:$G$1,0))</f>
        <v>6.75</v>
      </c>
      <c r="O478" s="7">
        <f t="shared" si="7"/>
        <v>27</v>
      </c>
      <c r="P478" t="str" cm="1">
        <f t="array" ref="P478">_xlfn.IFS(K478="Rob","Robusta",K478="Exc","Excelsa",K478="Ara","Arabica",K478="Lib","Liberica")</f>
        <v>Arabica</v>
      </c>
      <c r="Q478" t="str" cm="1">
        <f t="array" ref="Q478">_xlfn.IFS(L478="M","Medium",L478="L","Light",L478="D","Dark")</f>
        <v>Medium</v>
      </c>
      <c r="R478" t="str">
        <f>_xlfn.XLOOKUP(Orders[[#This Row],[Customer ID]],customers!$A$1:$A$1001,customers!$I$1:$I$1001)</f>
        <v>No</v>
      </c>
    </row>
    <row r="479" spans="1:18" x14ac:dyDescent="0.35">
      <c r="A479" s="2" t="s">
        <v>2137</v>
      </c>
      <c r="B479" s="4">
        <v>44529</v>
      </c>
      <c r="C479" s="23">
        <f>Orders[[#This Row],[Order Date]]</f>
        <v>44529</v>
      </c>
      <c r="D479" s="2">
        <f>YEAR(Orders[[#This Row],[Order Date]])</f>
        <v>2021</v>
      </c>
      <c r="E479" s="2" t="s">
        <v>2138</v>
      </c>
      <c r="F479" t="s">
        <v>6158</v>
      </c>
      <c r="G479" s="20">
        <v>3</v>
      </c>
      <c r="H479" s="2" t="str">
        <f>INDEX(customers!$A$1:$I$1001,MATCH($E479,customers!$A$1:$A$1001,),MATCH($H$1,customers!$A$1:$I$1,0))</f>
        <v>Isidore Hussey</v>
      </c>
      <c r="I479" s="2" t="str">
        <f>IF(INDEX(customers!$A$1:$I$1001,MATCH($E479,customers!$A$1:$A$1001,0),3)=0,"",INDEX(customers!$A$1:$I$1001,MATCH($E479,customers!$A$1:$A$1001,0),3))</f>
        <v>ihussey84@mapy.cz</v>
      </c>
      <c r="J479" s="2" t="str">
        <f>_xlfn.XLOOKUP(E479,customers!$A$1:$A$1001,customers!$G$1:$G$1001)</f>
        <v>United States</v>
      </c>
      <c r="K479" t="str">
        <f>INDEX(products!$A$1:$G$49,MATCH($F479,products!$A$1:$A$49,0),MATCH(K$1,products!$A$1:$G$1,0))</f>
        <v>Ara</v>
      </c>
      <c r="L479" t="str">
        <f>INDEX(products!$A$1:$G$49,MATCH($F479,products!$A$1:$A$49,0),MATCH(L$1,products!$A$1:$G$1,0))</f>
        <v>D</v>
      </c>
      <c r="M479" s="5">
        <f>INDEX(products!$A$1:$G$49,MATCH($F479,products!$A$1:$A$49,0),MATCH(M$1,products!$A$1:$G$1,0))</f>
        <v>0.5</v>
      </c>
      <c r="N479" s="7">
        <f>INDEX(products!$A$1:$G$49,MATCH($F479,products!$A$1:$A$49,0),MATCH(N$1,products!$A$1:$G$1,0))</f>
        <v>5.97</v>
      </c>
      <c r="O479" s="7">
        <f t="shared" si="7"/>
        <v>17.91</v>
      </c>
      <c r="P479" t="str" cm="1">
        <f t="array" ref="P479">_xlfn.IFS(K479="Rob","Robusta",K479="Exc","Excelsa",K479="Ara","Arabica",K479="Lib","Liberica")</f>
        <v>Arabica</v>
      </c>
      <c r="Q479" t="str" cm="1">
        <f t="array" ref="Q479">_xlfn.IFS(L479="M","Medium",L479="L","Light",L479="D","Dark")</f>
        <v>Dark</v>
      </c>
      <c r="R479" t="str">
        <f>_xlfn.XLOOKUP(Orders[[#This Row],[Customer ID]],customers!$A$1:$A$1001,customers!$I$1:$I$1001)</f>
        <v>No</v>
      </c>
    </row>
    <row r="480" spans="1:18" x14ac:dyDescent="0.35">
      <c r="A480" s="2" t="s">
        <v>5666</v>
      </c>
      <c r="B480" s="4">
        <v>43955</v>
      </c>
      <c r="C480" s="23">
        <f>Orders[[#This Row],[Order Date]]</f>
        <v>43955</v>
      </c>
      <c r="D480" s="2">
        <f>YEAR(Orders[[#This Row],[Order Date]])</f>
        <v>2020</v>
      </c>
      <c r="E480" s="2" t="s">
        <v>5667</v>
      </c>
      <c r="F480" t="s">
        <v>6185</v>
      </c>
      <c r="G480" s="20">
        <v>3</v>
      </c>
      <c r="H480" s="2" t="str">
        <f>INDEX(customers!$A$1:$I$1001,MATCH($E480,customers!$A$1:$A$1001,),MATCH($H$1,customers!$A$1:$I$1,0))</f>
        <v>Isis Hessel</v>
      </c>
      <c r="I480" s="2" t="str">
        <f>IF(INDEX(customers!$A$1:$I$1001,MATCH($E480,customers!$A$1:$A$1001,0),3)=0,"",INDEX(customers!$A$1:$I$1001,MATCH($E480,customers!$A$1:$A$1001,0),3))</f>
        <v>ihesselpf@ox.ac.uk</v>
      </c>
      <c r="J480" s="2" t="str">
        <f>_xlfn.XLOOKUP(E480,customers!$A$1:$A$1001,customers!$G$1:$G$1001)</f>
        <v>United States</v>
      </c>
      <c r="K480" t="str">
        <f>INDEX(products!$A$1:$G$49,MATCH($F480,products!$A$1:$A$49,0),MATCH(K$1,products!$A$1:$G$1,0))</f>
        <v>Exc</v>
      </c>
      <c r="L480" t="str">
        <f>INDEX(products!$A$1:$G$49,MATCH($F480,products!$A$1:$A$49,0),MATCH(L$1,products!$A$1:$G$1,0))</f>
        <v>D</v>
      </c>
      <c r="M480" s="5">
        <f>INDEX(products!$A$1:$G$49,MATCH($F480,products!$A$1:$A$49,0),MATCH(M$1,products!$A$1:$G$1,0))</f>
        <v>2.5</v>
      </c>
      <c r="N480" s="7">
        <f>INDEX(products!$A$1:$G$49,MATCH($F480,products!$A$1:$A$49,0),MATCH(N$1,products!$A$1:$G$1,0))</f>
        <v>27.945</v>
      </c>
      <c r="O480" s="7">
        <f t="shared" si="7"/>
        <v>83.835000000000008</v>
      </c>
      <c r="P480" t="str" cm="1">
        <f t="array" ref="P480">_xlfn.IFS(K480="Rob","Robusta",K480="Exc","Excelsa",K480="Ara","Arabica",K480="Lib","Liberica")</f>
        <v>Excelsa</v>
      </c>
      <c r="Q480" t="str" cm="1">
        <f t="array" ref="Q480">_xlfn.IFS(L480="M","Medium",L480="L","Light",L480="D","Dark")</f>
        <v>Dark</v>
      </c>
      <c r="R480" t="str">
        <f>_xlfn.XLOOKUP(Orders[[#This Row],[Customer ID]],customers!$A$1:$A$1001,customers!$I$1:$I$1001)</f>
        <v>Yes</v>
      </c>
    </row>
    <row r="481" spans="1:18" x14ac:dyDescent="0.35">
      <c r="A481" s="2" t="s">
        <v>766</v>
      </c>
      <c r="B481" s="4">
        <v>44790</v>
      </c>
      <c r="C481" s="23">
        <f>Orders[[#This Row],[Order Date]]</f>
        <v>44790</v>
      </c>
      <c r="D481" s="2">
        <f>YEAR(Orders[[#This Row],[Order Date]])</f>
        <v>2022</v>
      </c>
      <c r="E481" s="2" t="s">
        <v>767</v>
      </c>
      <c r="F481" t="s">
        <v>6140</v>
      </c>
      <c r="G481" s="20">
        <v>3</v>
      </c>
      <c r="H481" s="2" t="str">
        <f>INDEX(customers!$A$1:$I$1001,MATCH($E481,customers!$A$1:$A$1001,),MATCH($H$1,customers!$A$1:$I$1,0))</f>
        <v>Isis Pikett</v>
      </c>
      <c r="I481" s="2" t="str">
        <f>IF(INDEX(customers!$A$1:$I$1001,MATCH($E481,customers!$A$1:$A$1001,0),3)=0,"",INDEX(customers!$A$1:$I$1001,MATCH($E481,customers!$A$1:$A$1001,0),3))</f>
        <v>ipikett1d@xinhuanet.com</v>
      </c>
      <c r="J481" s="2" t="str">
        <f>_xlfn.XLOOKUP(E481,customers!$A$1:$A$1001,customers!$G$1:$G$1001)</f>
        <v>United States</v>
      </c>
      <c r="K481" t="str">
        <f>INDEX(products!$A$1:$G$49,MATCH($F481,products!$A$1:$A$49,0),MATCH(K$1,products!$A$1:$G$1,0))</f>
        <v>Ara</v>
      </c>
      <c r="L481" t="str">
        <f>INDEX(products!$A$1:$G$49,MATCH($F481,products!$A$1:$A$49,0),MATCH(L$1,products!$A$1:$G$1,0))</f>
        <v>L</v>
      </c>
      <c r="M481" s="5">
        <f>INDEX(products!$A$1:$G$49,MATCH($F481,products!$A$1:$A$49,0),MATCH(M$1,products!$A$1:$G$1,0))</f>
        <v>1</v>
      </c>
      <c r="N481" s="7">
        <f>INDEX(products!$A$1:$G$49,MATCH($F481,products!$A$1:$A$49,0),MATCH(N$1,products!$A$1:$G$1,0))</f>
        <v>12.95</v>
      </c>
      <c r="O481" s="7">
        <f t="shared" si="7"/>
        <v>38.849999999999994</v>
      </c>
      <c r="P481" t="str" cm="1">
        <f t="array" ref="P481">_xlfn.IFS(K481="Rob","Robusta",K481="Exc","Excelsa",K481="Ara","Arabica",K481="Lib","Liberica")</f>
        <v>Arabica</v>
      </c>
      <c r="Q481" t="str" cm="1">
        <f t="array" ref="Q481">_xlfn.IFS(L481="M","Medium",L481="L","Light",L481="D","Dark")</f>
        <v>Light</v>
      </c>
      <c r="R481" t="str">
        <f>_xlfn.XLOOKUP(Orders[[#This Row],[Customer ID]],customers!$A$1:$A$1001,customers!$I$1:$I$1001)</f>
        <v>No</v>
      </c>
    </row>
    <row r="482" spans="1:18" x14ac:dyDescent="0.35">
      <c r="A482" s="2" t="s">
        <v>2694</v>
      </c>
      <c r="B482" s="4">
        <v>44133</v>
      </c>
      <c r="C482" s="23">
        <f>Orders[[#This Row],[Order Date]]</f>
        <v>44133</v>
      </c>
      <c r="D482" s="2">
        <f>YEAR(Orders[[#This Row],[Order Date]])</f>
        <v>2020</v>
      </c>
      <c r="E482" s="2" t="s">
        <v>2695</v>
      </c>
      <c r="F482" t="s">
        <v>6157</v>
      </c>
      <c r="G482" s="20">
        <v>2</v>
      </c>
      <c r="H482" s="2" t="str">
        <f>INDEX(customers!$A$1:$I$1001,MATCH($E482,customers!$A$1:$A$1001,),MATCH($H$1,customers!$A$1:$I$1,0))</f>
        <v>Itch Norquoy</v>
      </c>
      <c r="I482" s="2" t="str">
        <f>IF(INDEX(customers!$A$1:$I$1001,MATCH($E482,customers!$A$1:$A$1001,0),3)=0,"",INDEX(customers!$A$1:$I$1001,MATCH($E482,customers!$A$1:$A$1001,0),3))</f>
        <v>inorquoyav@businessweek.com</v>
      </c>
      <c r="J482" s="2" t="str">
        <f>_xlfn.XLOOKUP(E482,customers!$A$1:$A$1001,customers!$G$1:$G$1001)</f>
        <v>United States</v>
      </c>
      <c r="K482" t="str">
        <f>INDEX(products!$A$1:$G$49,MATCH($F482,products!$A$1:$A$49,0),MATCH(K$1,products!$A$1:$G$1,0))</f>
        <v>Ara</v>
      </c>
      <c r="L482" t="str">
        <f>INDEX(products!$A$1:$G$49,MATCH($F482,products!$A$1:$A$49,0),MATCH(L$1,products!$A$1:$G$1,0))</f>
        <v>M</v>
      </c>
      <c r="M482" s="5">
        <f>INDEX(products!$A$1:$G$49,MATCH($F482,products!$A$1:$A$49,0),MATCH(M$1,products!$A$1:$G$1,0))</f>
        <v>0.5</v>
      </c>
      <c r="N482" s="7">
        <f>INDEX(products!$A$1:$G$49,MATCH($F482,products!$A$1:$A$49,0),MATCH(N$1,products!$A$1:$G$1,0))</f>
        <v>6.75</v>
      </c>
      <c r="O482" s="7">
        <f t="shared" si="7"/>
        <v>13.5</v>
      </c>
      <c r="P482" t="str" cm="1">
        <f t="array" ref="P482">_xlfn.IFS(K482="Rob","Robusta",K482="Exc","Excelsa",K482="Ara","Arabica",K482="Lib","Liberica")</f>
        <v>Arabica</v>
      </c>
      <c r="Q482" t="str" cm="1">
        <f t="array" ref="Q482">_xlfn.IFS(L482="M","Medium",L482="L","Light",L482="D","Dark")</f>
        <v>Medium</v>
      </c>
      <c r="R482" t="str">
        <f>_xlfn.XLOOKUP(Orders[[#This Row],[Customer ID]],customers!$A$1:$A$1001,customers!$I$1:$I$1001)</f>
        <v>No</v>
      </c>
    </row>
    <row r="483" spans="1:18" x14ac:dyDescent="0.35">
      <c r="A483" s="2" t="s">
        <v>5456</v>
      </c>
      <c r="B483" s="4">
        <v>44323</v>
      </c>
      <c r="C483" s="23">
        <f>Orders[[#This Row],[Order Date]]</f>
        <v>44323</v>
      </c>
      <c r="D483" s="2">
        <f>YEAR(Orders[[#This Row],[Order Date]])</f>
        <v>2021</v>
      </c>
      <c r="E483" s="2" t="s">
        <v>5457</v>
      </c>
      <c r="F483" t="s">
        <v>6142</v>
      </c>
      <c r="G483" s="20">
        <v>1</v>
      </c>
      <c r="H483" s="2" t="str">
        <f>INDEX(customers!$A$1:$I$1001,MATCH($E483,customers!$A$1:$A$1001,),MATCH($H$1,customers!$A$1:$I$1,0))</f>
        <v>Izaak Primak</v>
      </c>
      <c r="I483" s="2" t="str">
        <f>IF(INDEX(customers!$A$1:$I$1001,MATCH($E483,customers!$A$1:$A$1001,0),3)=0,"",INDEX(customers!$A$1:$I$1001,MATCH($E483,customers!$A$1:$A$1001,0),3))</f>
        <v/>
      </c>
      <c r="J483" s="2" t="str">
        <f>_xlfn.XLOOKUP(E483,customers!$A$1:$A$1001,customers!$G$1:$G$1001)</f>
        <v>United States</v>
      </c>
      <c r="K483" t="str">
        <f>INDEX(products!$A$1:$G$49,MATCH($F483,products!$A$1:$A$49,0),MATCH(K$1,products!$A$1:$G$1,0))</f>
        <v>Rob</v>
      </c>
      <c r="L483" t="str">
        <f>INDEX(products!$A$1:$G$49,MATCH($F483,products!$A$1:$A$49,0),MATCH(L$1,products!$A$1:$G$1,0))</f>
        <v>L</v>
      </c>
      <c r="M483" s="5">
        <f>INDEX(products!$A$1:$G$49,MATCH($F483,products!$A$1:$A$49,0),MATCH(M$1,products!$A$1:$G$1,0))</f>
        <v>2.5</v>
      </c>
      <c r="N483" s="7">
        <f>INDEX(products!$A$1:$G$49,MATCH($F483,products!$A$1:$A$49,0),MATCH(N$1,products!$A$1:$G$1,0))</f>
        <v>27.484999999999996</v>
      </c>
      <c r="O483" s="7">
        <f t="shared" si="7"/>
        <v>27.484999999999996</v>
      </c>
      <c r="P483" t="str" cm="1">
        <f t="array" ref="P483">_xlfn.IFS(K483="Rob","Robusta",K483="Exc","Excelsa",K483="Ara","Arabica",K483="Lib","Liberica")</f>
        <v>Robusta</v>
      </c>
      <c r="Q483" t="str" cm="1">
        <f t="array" ref="Q483">_xlfn.IFS(L483="M","Medium",L483="L","Light",L483="D","Dark")</f>
        <v>Light</v>
      </c>
      <c r="R483" t="str">
        <f>_xlfn.XLOOKUP(Orders[[#This Row],[Customer ID]],customers!$A$1:$A$1001,customers!$I$1:$I$1001)</f>
        <v>Yes</v>
      </c>
    </row>
    <row r="484" spans="1:18" x14ac:dyDescent="0.35">
      <c r="A484" s="2" t="s">
        <v>1333</v>
      </c>
      <c r="B484" s="4">
        <v>44051</v>
      </c>
      <c r="C484" s="23">
        <f>Orders[[#This Row],[Order Date]]</f>
        <v>44051</v>
      </c>
      <c r="D484" s="2">
        <f>YEAR(Orders[[#This Row],[Order Date]])</f>
        <v>2020</v>
      </c>
      <c r="E484" s="2" t="s">
        <v>1334</v>
      </c>
      <c r="F484" t="s">
        <v>6143</v>
      </c>
      <c r="G484" s="20">
        <v>1</v>
      </c>
      <c r="H484" s="2" t="str">
        <f>INDEX(customers!$A$1:$I$1001,MATCH($E484,customers!$A$1:$A$1001,),MATCH($H$1,customers!$A$1:$I$1,0))</f>
        <v>Jacinthe Balsillie</v>
      </c>
      <c r="I484" s="2" t="str">
        <f>IF(INDEX(customers!$A$1:$I$1001,MATCH($E484,customers!$A$1:$A$1001,0),3)=0,"",INDEX(customers!$A$1:$I$1001,MATCH($E484,customers!$A$1:$A$1001,0),3))</f>
        <v>jbalsillie46@princeton.edu</v>
      </c>
      <c r="J484" s="2" t="str">
        <f>_xlfn.XLOOKUP(E484,customers!$A$1:$A$1001,customers!$G$1:$G$1001)</f>
        <v>United States</v>
      </c>
      <c r="K484" t="str">
        <f>INDEX(products!$A$1:$G$49,MATCH($F484,products!$A$1:$A$49,0),MATCH(K$1,products!$A$1:$G$1,0))</f>
        <v>Lib</v>
      </c>
      <c r="L484" t="str">
        <f>INDEX(products!$A$1:$G$49,MATCH($F484,products!$A$1:$A$49,0),MATCH(L$1,products!$A$1:$G$1,0))</f>
        <v>D</v>
      </c>
      <c r="M484" s="5">
        <f>INDEX(products!$A$1:$G$49,MATCH($F484,products!$A$1:$A$49,0),MATCH(M$1,products!$A$1:$G$1,0))</f>
        <v>1</v>
      </c>
      <c r="N484" s="7">
        <f>INDEX(products!$A$1:$G$49,MATCH($F484,products!$A$1:$A$49,0),MATCH(N$1,products!$A$1:$G$1,0))</f>
        <v>12.95</v>
      </c>
      <c r="O484" s="7">
        <f t="shared" si="7"/>
        <v>12.95</v>
      </c>
      <c r="P484" t="str" cm="1">
        <f t="array" ref="P484">_xlfn.IFS(K484="Rob","Robusta",K484="Exc","Excelsa",K484="Ara","Arabica",K484="Lib","Liberica")</f>
        <v>Liberica</v>
      </c>
      <c r="Q484" t="str" cm="1">
        <f t="array" ref="Q484">_xlfn.IFS(L484="M","Medium",L484="L","Light",L484="D","Dark")</f>
        <v>Dark</v>
      </c>
      <c r="R484" t="str">
        <f>_xlfn.XLOOKUP(Orders[[#This Row],[Customer ID]],customers!$A$1:$A$1001,customers!$I$1:$I$1001)</f>
        <v>Yes</v>
      </c>
    </row>
    <row r="485" spans="1:18" x14ac:dyDescent="0.35">
      <c r="A485" s="2" t="s">
        <v>3683</v>
      </c>
      <c r="B485" s="4">
        <v>44031</v>
      </c>
      <c r="C485" s="23">
        <f>Orders[[#This Row],[Order Date]]</f>
        <v>44031</v>
      </c>
      <c r="D485" s="2">
        <f>YEAR(Orders[[#This Row],[Order Date]])</f>
        <v>2020</v>
      </c>
      <c r="E485" s="2" t="s">
        <v>3684</v>
      </c>
      <c r="F485" t="s">
        <v>6149</v>
      </c>
      <c r="G485" s="20">
        <v>4</v>
      </c>
      <c r="H485" s="2" t="str">
        <f>INDEX(customers!$A$1:$I$1001,MATCH($E485,customers!$A$1:$A$1001,),MATCH($H$1,customers!$A$1:$I$1,0))</f>
        <v>Jackquelin Chugg</v>
      </c>
      <c r="I485" s="2" t="str">
        <f>IF(INDEX(customers!$A$1:$I$1001,MATCH($E485,customers!$A$1:$A$1001,0),3)=0,"",INDEX(customers!$A$1:$I$1001,MATCH($E485,customers!$A$1:$A$1001,0),3))</f>
        <v>jchuggfp@about.me</v>
      </c>
      <c r="J485" s="2" t="str">
        <f>_xlfn.XLOOKUP(E485,customers!$A$1:$A$1001,customers!$G$1:$G$1001)</f>
        <v>United States</v>
      </c>
      <c r="K485" t="str">
        <f>INDEX(products!$A$1:$G$49,MATCH($F485,products!$A$1:$A$49,0),MATCH(K$1,products!$A$1:$G$1,0))</f>
        <v>Rob</v>
      </c>
      <c r="L485" t="str">
        <f>INDEX(products!$A$1:$G$49,MATCH($F485,products!$A$1:$A$49,0),MATCH(L$1,products!$A$1:$G$1,0))</f>
        <v>D</v>
      </c>
      <c r="M485" s="5">
        <f>INDEX(products!$A$1:$G$49,MATCH($F485,products!$A$1:$A$49,0),MATCH(M$1,products!$A$1:$G$1,0))</f>
        <v>2.5</v>
      </c>
      <c r="N485" s="7">
        <f>INDEX(products!$A$1:$G$49,MATCH($F485,products!$A$1:$A$49,0),MATCH(N$1,products!$A$1:$G$1,0))</f>
        <v>20.584999999999997</v>
      </c>
      <c r="O485" s="7">
        <f t="shared" si="7"/>
        <v>82.339999999999989</v>
      </c>
      <c r="P485" t="str" cm="1">
        <f t="array" ref="P485">_xlfn.IFS(K485="Rob","Robusta",K485="Exc","Excelsa",K485="Ara","Arabica",K485="Lib","Liberica")</f>
        <v>Robusta</v>
      </c>
      <c r="Q485" t="str" cm="1">
        <f t="array" ref="Q485">_xlfn.IFS(L485="M","Medium",L485="L","Light",L485="D","Dark")</f>
        <v>Dark</v>
      </c>
      <c r="R485" t="str">
        <f>_xlfn.XLOOKUP(Orders[[#This Row],[Customer ID]],customers!$A$1:$A$1001,customers!$I$1:$I$1001)</f>
        <v>No</v>
      </c>
    </row>
    <row r="486" spans="1:18" x14ac:dyDescent="0.35">
      <c r="A486" s="2" t="s">
        <v>4625</v>
      </c>
      <c r="B486" s="4">
        <v>44312</v>
      </c>
      <c r="C486" s="23">
        <f>Orders[[#This Row],[Order Date]]</f>
        <v>44312</v>
      </c>
      <c r="D486" s="2">
        <f>YEAR(Orders[[#This Row],[Order Date]])</f>
        <v>2021</v>
      </c>
      <c r="E486" s="2" t="s">
        <v>4626</v>
      </c>
      <c r="F486" t="s">
        <v>6184</v>
      </c>
      <c r="G486" s="20">
        <v>2</v>
      </c>
      <c r="H486" s="2" t="str">
        <f>INDEX(customers!$A$1:$I$1001,MATCH($E486,customers!$A$1:$A$1001,),MATCH($H$1,customers!$A$1:$I$1,0))</f>
        <v>Jacquelyn Maha</v>
      </c>
      <c r="I486" s="2" t="str">
        <f>IF(INDEX(customers!$A$1:$I$1001,MATCH($E486,customers!$A$1:$A$1001,0),3)=0,"",INDEX(customers!$A$1:$I$1001,MATCH($E486,customers!$A$1:$A$1001,0),3))</f>
        <v>jmahakc@cyberchimps.com</v>
      </c>
      <c r="J486" s="2" t="str">
        <f>_xlfn.XLOOKUP(E486,customers!$A$1:$A$1001,customers!$G$1:$G$1001)</f>
        <v>United States</v>
      </c>
      <c r="K486" t="str">
        <f>INDEX(products!$A$1:$G$49,MATCH($F486,products!$A$1:$A$49,0),MATCH(K$1,products!$A$1:$G$1,0))</f>
        <v>Exc</v>
      </c>
      <c r="L486" t="str">
        <f>INDEX(products!$A$1:$G$49,MATCH($F486,products!$A$1:$A$49,0),MATCH(L$1,products!$A$1:$G$1,0))</f>
        <v>L</v>
      </c>
      <c r="M486" s="5">
        <f>INDEX(products!$A$1:$G$49,MATCH($F486,products!$A$1:$A$49,0),MATCH(M$1,products!$A$1:$G$1,0))</f>
        <v>0.2</v>
      </c>
      <c r="N486" s="7">
        <f>INDEX(products!$A$1:$G$49,MATCH($F486,products!$A$1:$A$49,0),MATCH(N$1,products!$A$1:$G$1,0))</f>
        <v>4.4550000000000001</v>
      </c>
      <c r="O486" s="7">
        <f t="shared" si="7"/>
        <v>8.91</v>
      </c>
      <c r="P486" t="str" cm="1">
        <f t="array" ref="P486">_xlfn.IFS(K486="Rob","Robusta",K486="Exc","Excelsa",K486="Ara","Arabica",K486="Lib","Liberica")</f>
        <v>Excelsa</v>
      </c>
      <c r="Q486" t="str" cm="1">
        <f t="array" ref="Q486">_xlfn.IFS(L486="M","Medium",L486="L","Light",L486="D","Dark")</f>
        <v>Light</v>
      </c>
      <c r="R486" t="str">
        <f>_xlfn.XLOOKUP(Orders[[#This Row],[Customer ID]],customers!$A$1:$A$1001,customers!$I$1:$I$1001)</f>
        <v>No</v>
      </c>
    </row>
    <row r="487" spans="1:18" x14ac:dyDescent="0.35">
      <c r="A487" s="2" t="s">
        <v>5834</v>
      </c>
      <c r="B487" s="4">
        <v>43524</v>
      </c>
      <c r="C487" s="23">
        <f>Orders[[#This Row],[Order Date]]</f>
        <v>43524</v>
      </c>
      <c r="D487" s="2">
        <f>YEAR(Orders[[#This Row],[Order Date]])</f>
        <v>2019</v>
      </c>
      <c r="E487" s="2" t="s">
        <v>5835</v>
      </c>
      <c r="F487" t="s">
        <v>6165</v>
      </c>
      <c r="G487" s="20">
        <v>4</v>
      </c>
      <c r="H487" s="2" t="str">
        <f>INDEX(customers!$A$1:$I$1001,MATCH($E487,customers!$A$1:$A$1001,),MATCH($H$1,customers!$A$1:$I$1,0))</f>
        <v>Jaimie Hatz</v>
      </c>
      <c r="I487" s="2" t="str">
        <f>IF(INDEX(customers!$A$1:$I$1001,MATCH($E487,customers!$A$1:$A$1001,0),3)=0,"",INDEX(customers!$A$1:$I$1001,MATCH($E487,customers!$A$1:$A$1001,0),3))</f>
        <v/>
      </c>
      <c r="J487" s="2" t="str">
        <f>_xlfn.XLOOKUP(E487,customers!$A$1:$A$1001,customers!$G$1:$G$1001)</f>
        <v>United States</v>
      </c>
      <c r="K487" t="str">
        <f>INDEX(products!$A$1:$G$49,MATCH($F487,products!$A$1:$A$49,0),MATCH(K$1,products!$A$1:$G$1,0))</f>
        <v>Lib</v>
      </c>
      <c r="L487" t="str">
        <f>INDEX(products!$A$1:$G$49,MATCH($F487,products!$A$1:$A$49,0),MATCH(L$1,products!$A$1:$G$1,0))</f>
        <v>D</v>
      </c>
      <c r="M487" s="5">
        <f>INDEX(products!$A$1:$G$49,MATCH($F487,products!$A$1:$A$49,0),MATCH(M$1,products!$A$1:$G$1,0))</f>
        <v>2.5</v>
      </c>
      <c r="N487" s="7">
        <f>INDEX(products!$A$1:$G$49,MATCH($F487,products!$A$1:$A$49,0),MATCH(N$1,products!$A$1:$G$1,0))</f>
        <v>29.784999999999997</v>
      </c>
      <c r="O487" s="7">
        <f t="shared" si="7"/>
        <v>119.13999999999999</v>
      </c>
      <c r="P487" t="str" cm="1">
        <f t="array" ref="P487">_xlfn.IFS(K487="Rob","Robusta",K487="Exc","Excelsa",K487="Ara","Arabica",K487="Lib","Liberica")</f>
        <v>Liberica</v>
      </c>
      <c r="Q487" t="str" cm="1">
        <f t="array" ref="Q487">_xlfn.IFS(L487="M","Medium",L487="L","Light",L487="D","Dark")</f>
        <v>Dark</v>
      </c>
      <c r="R487" t="str">
        <f>_xlfn.XLOOKUP(Orders[[#This Row],[Customer ID]],customers!$A$1:$A$1001,customers!$I$1:$I$1001)</f>
        <v>No</v>
      </c>
    </row>
    <row r="488" spans="1:18" x14ac:dyDescent="0.35">
      <c r="A488" s="2" t="s">
        <v>501</v>
      </c>
      <c r="B488" s="4">
        <v>44364</v>
      </c>
      <c r="C488" s="23">
        <f>Orders[[#This Row],[Order Date]]</f>
        <v>44364</v>
      </c>
      <c r="D488" s="2">
        <f>YEAR(Orders[[#This Row],[Order Date]])</f>
        <v>2021</v>
      </c>
      <c r="E488" s="2" t="s">
        <v>502</v>
      </c>
      <c r="F488" t="s">
        <v>6140</v>
      </c>
      <c r="G488" s="20">
        <v>1</v>
      </c>
      <c r="H488" s="2" t="str">
        <f>INDEX(customers!$A$1:$I$1001,MATCH($E488,customers!$A$1:$A$1001,),MATCH($H$1,customers!$A$1:$I$1,0))</f>
        <v>Jami Redholes</v>
      </c>
      <c r="I488" s="2" t="str">
        <f>IF(INDEX(customers!$A$1:$I$1001,MATCH($E488,customers!$A$1:$A$1001,0),3)=0,"",INDEX(customers!$A$1:$I$1001,MATCH($E488,customers!$A$1:$A$1001,0),3))</f>
        <v>jredholes2@tmall.com</v>
      </c>
      <c r="J488" s="2" t="str">
        <f>_xlfn.XLOOKUP(E488,customers!$A$1:$A$1001,customers!$G$1:$G$1001)</f>
        <v>United States</v>
      </c>
      <c r="K488" t="str">
        <f>INDEX(products!$A$1:$G$49,MATCH($F488,products!$A$1:$A$49,0),MATCH(K$1,products!$A$1:$G$1,0))</f>
        <v>Ara</v>
      </c>
      <c r="L488" t="str">
        <f>INDEX(products!$A$1:$G$49,MATCH($F488,products!$A$1:$A$49,0),MATCH(L$1,products!$A$1:$G$1,0))</f>
        <v>L</v>
      </c>
      <c r="M488" s="5">
        <f>INDEX(products!$A$1:$G$49,MATCH($F488,products!$A$1:$A$49,0),MATCH(M$1,products!$A$1:$G$1,0))</f>
        <v>1</v>
      </c>
      <c r="N488" s="7">
        <f>INDEX(products!$A$1:$G$49,MATCH($F488,products!$A$1:$A$49,0),MATCH(N$1,products!$A$1:$G$1,0))</f>
        <v>12.95</v>
      </c>
      <c r="O488" s="7">
        <f t="shared" si="7"/>
        <v>12.95</v>
      </c>
      <c r="P488" t="str" cm="1">
        <f t="array" ref="P488">_xlfn.IFS(K488="Rob","Robusta",K488="Exc","Excelsa",K488="Ara","Arabica",K488="Lib","Liberica")</f>
        <v>Arabica</v>
      </c>
      <c r="Q488" t="str" cm="1">
        <f t="array" ref="Q488">_xlfn.IFS(L488="M","Medium",L488="L","Light",L488="D","Dark")</f>
        <v>Light</v>
      </c>
      <c r="R488" t="str">
        <f>_xlfn.XLOOKUP(Orders[[#This Row],[Customer ID]],customers!$A$1:$A$1001,customers!$I$1:$I$1001)</f>
        <v>Yes</v>
      </c>
    </row>
    <row r="489" spans="1:18" x14ac:dyDescent="0.35">
      <c r="A489" s="2" t="s">
        <v>5035</v>
      </c>
      <c r="B489" s="4">
        <v>44289</v>
      </c>
      <c r="C489" s="23">
        <f>Orders[[#This Row],[Order Date]]</f>
        <v>44289</v>
      </c>
      <c r="D489" s="2">
        <f>YEAR(Orders[[#This Row],[Order Date]])</f>
        <v>2021</v>
      </c>
      <c r="E489" s="2" t="s">
        <v>5036</v>
      </c>
      <c r="F489" t="s">
        <v>6179</v>
      </c>
      <c r="G489" s="20">
        <v>2</v>
      </c>
      <c r="H489" s="2" t="str">
        <f>INDEX(customers!$A$1:$I$1001,MATCH($E489,customers!$A$1:$A$1001,),MATCH($H$1,customers!$A$1:$I$1,0))</f>
        <v>Jammie Cloke</v>
      </c>
      <c r="I489" s="2" t="str">
        <f>IF(INDEX(customers!$A$1:$I$1001,MATCH($E489,customers!$A$1:$A$1001,0),3)=0,"",INDEX(customers!$A$1:$I$1001,MATCH($E489,customers!$A$1:$A$1001,0),3))</f>
        <v/>
      </c>
      <c r="J489" s="2" t="str">
        <f>_xlfn.XLOOKUP(E489,customers!$A$1:$A$1001,customers!$G$1:$G$1001)</f>
        <v>United Kingdom</v>
      </c>
      <c r="K489" t="str">
        <f>INDEX(products!$A$1:$G$49,MATCH($F489,products!$A$1:$A$49,0),MATCH(K$1,products!$A$1:$G$1,0))</f>
        <v>Rob</v>
      </c>
      <c r="L489" t="str">
        <f>INDEX(products!$A$1:$G$49,MATCH($F489,products!$A$1:$A$49,0),MATCH(L$1,products!$A$1:$G$1,0))</f>
        <v>L</v>
      </c>
      <c r="M489" s="5">
        <f>INDEX(products!$A$1:$G$49,MATCH($F489,products!$A$1:$A$49,0),MATCH(M$1,products!$A$1:$G$1,0))</f>
        <v>1</v>
      </c>
      <c r="N489" s="7">
        <f>INDEX(products!$A$1:$G$49,MATCH($F489,products!$A$1:$A$49,0),MATCH(N$1,products!$A$1:$G$1,0))</f>
        <v>11.95</v>
      </c>
      <c r="O489" s="7">
        <f t="shared" si="7"/>
        <v>23.9</v>
      </c>
      <c r="P489" t="str" cm="1">
        <f t="array" ref="P489">_xlfn.IFS(K489="Rob","Robusta",K489="Exc","Excelsa",K489="Ara","Arabica",K489="Lib","Liberica")</f>
        <v>Robusta</v>
      </c>
      <c r="Q489" t="str" cm="1">
        <f t="array" ref="Q489">_xlfn.IFS(L489="M","Medium",L489="L","Light",L489="D","Dark")</f>
        <v>Light</v>
      </c>
      <c r="R489" t="str">
        <f>_xlfn.XLOOKUP(Orders[[#This Row],[Customer ID]],customers!$A$1:$A$1001,customers!$I$1:$I$1001)</f>
        <v>No</v>
      </c>
    </row>
    <row r="490" spans="1:18" x14ac:dyDescent="0.35">
      <c r="A490" s="2" t="s">
        <v>4881</v>
      </c>
      <c r="B490" s="4">
        <v>43541</v>
      </c>
      <c r="C490" s="23">
        <f>Orders[[#This Row],[Order Date]]</f>
        <v>43541</v>
      </c>
      <c r="D490" s="2">
        <f>YEAR(Orders[[#This Row],[Order Date]])</f>
        <v>2019</v>
      </c>
      <c r="E490" s="2" t="s">
        <v>4882</v>
      </c>
      <c r="F490" t="s">
        <v>6182</v>
      </c>
      <c r="G490" s="20">
        <v>2</v>
      </c>
      <c r="H490" s="2" t="str">
        <f>INDEX(customers!$A$1:$I$1001,MATCH($E490,customers!$A$1:$A$1001,),MATCH($H$1,customers!$A$1:$I$1,0))</f>
        <v>Janella Eden</v>
      </c>
      <c r="I490" s="2" t="str">
        <f>IF(INDEX(customers!$A$1:$I$1001,MATCH($E490,customers!$A$1:$A$1001,0),3)=0,"",INDEX(customers!$A$1:$I$1001,MATCH($E490,customers!$A$1:$A$1001,0),3))</f>
        <v>jedenll@e-recht24.de</v>
      </c>
      <c r="J490" s="2" t="str">
        <f>_xlfn.XLOOKUP(E490,customers!$A$1:$A$1001,customers!$G$1:$G$1001)</f>
        <v>United States</v>
      </c>
      <c r="K490" t="str">
        <f>INDEX(products!$A$1:$G$49,MATCH($F490,products!$A$1:$A$49,0),MATCH(K$1,products!$A$1:$G$1,0))</f>
        <v>Ara</v>
      </c>
      <c r="L490" t="str">
        <f>INDEX(products!$A$1:$G$49,MATCH($F490,products!$A$1:$A$49,0),MATCH(L$1,products!$A$1:$G$1,0))</f>
        <v>L</v>
      </c>
      <c r="M490" s="5">
        <f>INDEX(products!$A$1:$G$49,MATCH($F490,products!$A$1:$A$49,0),MATCH(M$1,products!$A$1:$G$1,0))</f>
        <v>2.5</v>
      </c>
      <c r="N490" s="7">
        <f>INDEX(products!$A$1:$G$49,MATCH($F490,products!$A$1:$A$49,0),MATCH(N$1,products!$A$1:$G$1,0))</f>
        <v>29.784999999999997</v>
      </c>
      <c r="O490" s="7">
        <f t="shared" si="7"/>
        <v>59.569999999999993</v>
      </c>
      <c r="P490" t="str" cm="1">
        <f t="array" ref="P490">_xlfn.IFS(K490="Rob","Robusta",K490="Exc","Excelsa",K490="Ara","Arabica",K490="Lib","Liberica")</f>
        <v>Arabica</v>
      </c>
      <c r="Q490" t="str" cm="1">
        <f t="array" ref="Q490">_xlfn.IFS(L490="M","Medium",L490="L","Light",L490="D","Dark")</f>
        <v>Light</v>
      </c>
      <c r="R490" t="str">
        <f>_xlfn.XLOOKUP(Orders[[#This Row],[Customer ID]],customers!$A$1:$A$1001,customers!$I$1:$I$1001)</f>
        <v>No</v>
      </c>
    </row>
    <row r="491" spans="1:18" x14ac:dyDescent="0.35">
      <c r="A491" s="2" t="s">
        <v>4262</v>
      </c>
      <c r="B491" s="4">
        <v>44636</v>
      </c>
      <c r="C491" s="23">
        <f>Orders[[#This Row],[Order Date]]</f>
        <v>44636</v>
      </c>
      <c r="D491" s="2">
        <f>YEAR(Orders[[#This Row],[Order Date]])</f>
        <v>2022</v>
      </c>
      <c r="E491" s="2" t="s">
        <v>4263</v>
      </c>
      <c r="F491" t="s">
        <v>6142</v>
      </c>
      <c r="G491" s="20">
        <v>5</v>
      </c>
      <c r="H491" s="2" t="str">
        <f>INDEX(customers!$A$1:$I$1001,MATCH($E491,customers!$A$1:$A$1001,),MATCH($H$1,customers!$A$1:$I$1,0))</f>
        <v>Janella Millett</v>
      </c>
      <c r="I491" s="2" t="str">
        <f>IF(INDEX(customers!$A$1:$I$1001,MATCH($E491,customers!$A$1:$A$1001,0),3)=0,"",INDEX(customers!$A$1:$I$1001,MATCH($E491,customers!$A$1:$A$1001,0),3))</f>
        <v>jmillettik@addtoany.com</v>
      </c>
      <c r="J491" s="2" t="str">
        <f>_xlfn.XLOOKUP(E491,customers!$A$1:$A$1001,customers!$G$1:$G$1001)</f>
        <v>United States</v>
      </c>
      <c r="K491" t="str">
        <f>INDEX(products!$A$1:$G$49,MATCH($F491,products!$A$1:$A$49,0),MATCH(K$1,products!$A$1:$G$1,0))</f>
        <v>Rob</v>
      </c>
      <c r="L491" t="str">
        <f>INDEX(products!$A$1:$G$49,MATCH($F491,products!$A$1:$A$49,0),MATCH(L$1,products!$A$1:$G$1,0))</f>
        <v>L</v>
      </c>
      <c r="M491" s="5">
        <f>INDEX(products!$A$1:$G$49,MATCH($F491,products!$A$1:$A$49,0),MATCH(M$1,products!$A$1:$G$1,0))</f>
        <v>2.5</v>
      </c>
      <c r="N491" s="7">
        <f>INDEX(products!$A$1:$G$49,MATCH($F491,products!$A$1:$A$49,0),MATCH(N$1,products!$A$1:$G$1,0))</f>
        <v>27.484999999999996</v>
      </c>
      <c r="O491" s="7">
        <f t="shared" si="7"/>
        <v>137.42499999999998</v>
      </c>
      <c r="P491" t="str" cm="1">
        <f t="array" ref="P491">_xlfn.IFS(K491="Rob","Robusta",K491="Exc","Excelsa",K491="Ara","Arabica",K491="Lib","Liberica")</f>
        <v>Robusta</v>
      </c>
      <c r="Q491" t="str" cm="1">
        <f t="array" ref="Q491">_xlfn.IFS(L491="M","Medium",L491="L","Light",L491="D","Dark")</f>
        <v>Light</v>
      </c>
      <c r="R491" t="str">
        <f>_xlfn.XLOOKUP(Orders[[#This Row],[Customer ID]],customers!$A$1:$A$1001,customers!$I$1:$I$1001)</f>
        <v>Yes</v>
      </c>
    </row>
    <row r="492" spans="1:18" x14ac:dyDescent="0.35">
      <c r="A492" s="2" t="s">
        <v>4207</v>
      </c>
      <c r="B492" s="4">
        <v>44630</v>
      </c>
      <c r="C492" s="23">
        <f>Orders[[#This Row],[Order Date]]</f>
        <v>44630</v>
      </c>
      <c r="D492" s="2">
        <f>YEAR(Orders[[#This Row],[Order Date]])</f>
        <v>2022</v>
      </c>
      <c r="E492" s="2" t="s">
        <v>4263</v>
      </c>
      <c r="F492" t="s">
        <v>6139</v>
      </c>
      <c r="G492" s="20">
        <v>3</v>
      </c>
      <c r="H492" s="2" t="str">
        <f>INDEX(customers!$A$1:$I$1001,MATCH($E492,customers!$A$1:$A$1001,),MATCH($H$1,customers!$A$1:$I$1,0))</f>
        <v>Janella Millett</v>
      </c>
      <c r="I492" s="2" t="str">
        <f>IF(INDEX(customers!$A$1:$I$1001,MATCH($E492,customers!$A$1:$A$1001,0),3)=0,"",INDEX(customers!$A$1:$I$1001,MATCH($E492,customers!$A$1:$A$1001,0),3))</f>
        <v>jmillettik@addtoany.com</v>
      </c>
      <c r="J492" s="2" t="str">
        <f>_xlfn.XLOOKUP(E492,customers!$A$1:$A$1001,customers!$G$1:$G$1001)</f>
        <v>United States</v>
      </c>
      <c r="K492" t="str">
        <f>INDEX(products!$A$1:$G$49,MATCH($F492,products!$A$1:$A$49,0),MATCH(K$1,products!$A$1:$G$1,0))</f>
        <v>Exc</v>
      </c>
      <c r="L492" t="str">
        <f>INDEX(products!$A$1:$G$49,MATCH($F492,products!$A$1:$A$49,0),MATCH(L$1,products!$A$1:$G$1,0))</f>
        <v>M</v>
      </c>
      <c r="M492" s="5">
        <f>INDEX(products!$A$1:$G$49,MATCH($F492,products!$A$1:$A$49,0),MATCH(M$1,products!$A$1:$G$1,0))</f>
        <v>0.5</v>
      </c>
      <c r="N492" s="7">
        <f>INDEX(products!$A$1:$G$49,MATCH($F492,products!$A$1:$A$49,0),MATCH(N$1,products!$A$1:$G$1,0))</f>
        <v>8.25</v>
      </c>
      <c r="O492" s="7">
        <f t="shared" si="7"/>
        <v>24.75</v>
      </c>
      <c r="P492" t="str" cm="1">
        <f t="array" ref="P492">_xlfn.IFS(K492="Rob","Robusta",K492="Exc","Excelsa",K492="Ara","Arabica",K492="Lib","Liberica")</f>
        <v>Excelsa</v>
      </c>
      <c r="Q492" t="str" cm="1">
        <f t="array" ref="Q492">_xlfn.IFS(L492="M","Medium",L492="L","Light",L492="D","Dark")</f>
        <v>Medium</v>
      </c>
      <c r="R492" t="str">
        <f>_xlfn.XLOOKUP(Orders[[#This Row],[Customer ID]],customers!$A$1:$A$1001,customers!$I$1:$I$1001)</f>
        <v>Yes</v>
      </c>
    </row>
    <row r="493" spans="1:18" x14ac:dyDescent="0.35">
      <c r="A493" s="2" t="s">
        <v>5240</v>
      </c>
      <c r="B493" s="4">
        <v>44574</v>
      </c>
      <c r="C493" s="23">
        <f>Orders[[#This Row],[Order Date]]</f>
        <v>44574</v>
      </c>
      <c r="D493" s="2">
        <f>YEAR(Orders[[#This Row],[Order Date]])</f>
        <v>2022</v>
      </c>
      <c r="E493" s="2" t="s">
        <v>5241</v>
      </c>
      <c r="F493" t="s">
        <v>6173</v>
      </c>
      <c r="G493" s="20">
        <v>4</v>
      </c>
      <c r="H493" s="2" t="str">
        <f>INDEX(customers!$A$1:$I$1001,MATCH($E493,customers!$A$1:$A$1001,),MATCH($H$1,customers!$A$1:$I$1,0))</f>
        <v>Janeva Edinboro</v>
      </c>
      <c r="I493" s="2" t="str">
        <f>IF(INDEX(customers!$A$1:$I$1001,MATCH($E493,customers!$A$1:$A$1001,0),3)=0,"",INDEX(customers!$A$1:$I$1001,MATCH($E493,customers!$A$1:$A$1001,0),3))</f>
        <v>jedinboronc@reverbnation.com</v>
      </c>
      <c r="J493" s="2" t="str">
        <f>_xlfn.XLOOKUP(E493,customers!$A$1:$A$1001,customers!$G$1:$G$1001)</f>
        <v>United States</v>
      </c>
      <c r="K493" t="str">
        <f>INDEX(products!$A$1:$G$49,MATCH($F493,products!$A$1:$A$49,0),MATCH(K$1,products!$A$1:$G$1,0))</f>
        <v>Rob</v>
      </c>
      <c r="L493" t="str">
        <f>INDEX(products!$A$1:$G$49,MATCH($F493,products!$A$1:$A$49,0),MATCH(L$1,products!$A$1:$G$1,0))</f>
        <v>L</v>
      </c>
      <c r="M493" s="5">
        <f>INDEX(products!$A$1:$G$49,MATCH($F493,products!$A$1:$A$49,0),MATCH(M$1,products!$A$1:$G$1,0))</f>
        <v>0.5</v>
      </c>
      <c r="N493" s="7">
        <f>INDEX(products!$A$1:$G$49,MATCH($F493,products!$A$1:$A$49,0),MATCH(N$1,products!$A$1:$G$1,0))</f>
        <v>7.169999999999999</v>
      </c>
      <c r="O493" s="7">
        <f t="shared" si="7"/>
        <v>28.679999999999996</v>
      </c>
      <c r="P493" t="str" cm="1">
        <f t="array" ref="P493">_xlfn.IFS(K493="Rob","Robusta",K493="Exc","Excelsa",K493="Ara","Arabica",K493="Lib","Liberica")</f>
        <v>Robusta</v>
      </c>
      <c r="Q493" t="str" cm="1">
        <f t="array" ref="Q493">_xlfn.IFS(L493="M","Medium",L493="L","Light",L493="D","Dark")</f>
        <v>Light</v>
      </c>
      <c r="R493" t="str">
        <f>_xlfn.XLOOKUP(Orders[[#This Row],[Customer ID]],customers!$A$1:$A$1001,customers!$I$1:$I$1001)</f>
        <v>Yes</v>
      </c>
    </row>
    <row r="494" spans="1:18" x14ac:dyDescent="0.35">
      <c r="A494" s="2" t="s">
        <v>2215</v>
      </c>
      <c r="B494" s="4">
        <v>43890</v>
      </c>
      <c r="C494" s="23">
        <f>Orders[[#This Row],[Order Date]]</f>
        <v>43890</v>
      </c>
      <c r="D494" s="2">
        <f>YEAR(Orders[[#This Row],[Order Date]])</f>
        <v>2020</v>
      </c>
      <c r="E494" s="2" t="s">
        <v>2216</v>
      </c>
      <c r="F494" t="s">
        <v>6174</v>
      </c>
      <c r="G494" s="20">
        <v>5</v>
      </c>
      <c r="H494" s="2" t="str">
        <f>INDEX(customers!$A$1:$I$1001,MATCH($E494,customers!$A$1:$A$1001,),MATCH($H$1,customers!$A$1:$I$1,0))</f>
        <v>Janifer Bagot</v>
      </c>
      <c r="I494" s="2" t="str">
        <f>IF(INDEX(customers!$A$1:$I$1001,MATCH($E494,customers!$A$1:$A$1001,0),3)=0,"",INDEX(customers!$A$1:$I$1001,MATCH($E494,customers!$A$1:$A$1001,0),3))</f>
        <v>jbagot8i@mac.com</v>
      </c>
      <c r="J494" s="2" t="str">
        <f>_xlfn.XLOOKUP(E494,customers!$A$1:$A$1001,customers!$G$1:$G$1001)</f>
        <v>United States</v>
      </c>
      <c r="K494" t="str">
        <f>INDEX(products!$A$1:$G$49,MATCH($F494,products!$A$1:$A$49,0),MATCH(K$1,products!$A$1:$G$1,0))</f>
        <v>Rob</v>
      </c>
      <c r="L494" t="str">
        <f>INDEX(products!$A$1:$G$49,MATCH($F494,products!$A$1:$A$49,0),MATCH(L$1,products!$A$1:$G$1,0))</f>
        <v>M</v>
      </c>
      <c r="M494" s="5">
        <f>INDEX(products!$A$1:$G$49,MATCH($F494,products!$A$1:$A$49,0),MATCH(M$1,products!$A$1:$G$1,0))</f>
        <v>0.2</v>
      </c>
      <c r="N494" s="7">
        <f>INDEX(products!$A$1:$G$49,MATCH($F494,products!$A$1:$A$49,0),MATCH(N$1,products!$A$1:$G$1,0))</f>
        <v>2.9849999999999999</v>
      </c>
      <c r="O494" s="7">
        <f t="shared" si="7"/>
        <v>14.924999999999999</v>
      </c>
      <c r="P494" t="str" cm="1">
        <f t="array" ref="P494">_xlfn.IFS(K494="Rob","Robusta",K494="Exc","Excelsa",K494="Ara","Arabica",K494="Lib","Liberica")</f>
        <v>Robusta</v>
      </c>
      <c r="Q494" t="str" cm="1">
        <f t="array" ref="Q494">_xlfn.IFS(L494="M","Medium",L494="L","Light",L494="D","Dark")</f>
        <v>Medium</v>
      </c>
      <c r="R494" t="str">
        <f>_xlfn.XLOOKUP(Orders[[#This Row],[Customer ID]],customers!$A$1:$A$1001,customers!$I$1:$I$1001)</f>
        <v>No</v>
      </c>
    </row>
    <row r="495" spans="1:18" x14ac:dyDescent="0.35">
      <c r="A495" s="2" t="s">
        <v>2621</v>
      </c>
      <c r="B495" s="4">
        <v>44377</v>
      </c>
      <c r="C495" s="23">
        <f>Orders[[#This Row],[Order Date]]</f>
        <v>44377</v>
      </c>
      <c r="D495" s="2">
        <f>YEAR(Orders[[#This Row],[Order Date]])</f>
        <v>2021</v>
      </c>
      <c r="E495" s="2" t="s">
        <v>2622</v>
      </c>
      <c r="F495" t="s">
        <v>6180</v>
      </c>
      <c r="G495" s="20">
        <v>3</v>
      </c>
      <c r="H495" s="2" t="str">
        <f>INDEX(customers!$A$1:$I$1001,MATCH($E495,customers!$A$1:$A$1001,),MATCH($H$1,customers!$A$1:$I$1,0))</f>
        <v>Jany Rudeforth</v>
      </c>
      <c r="I495" s="2" t="str">
        <f>IF(INDEX(customers!$A$1:$I$1001,MATCH($E495,customers!$A$1:$A$1001,0),3)=0,"",INDEX(customers!$A$1:$I$1001,MATCH($E495,customers!$A$1:$A$1001,0),3))</f>
        <v>jrudeforthai@wunderground.com</v>
      </c>
      <c r="J495" s="2" t="str">
        <f>_xlfn.XLOOKUP(E495,customers!$A$1:$A$1001,customers!$G$1:$G$1001)</f>
        <v>Ireland</v>
      </c>
      <c r="K495" t="str">
        <f>INDEX(products!$A$1:$G$49,MATCH($F495,products!$A$1:$A$49,0),MATCH(K$1,products!$A$1:$G$1,0))</f>
        <v>Ara</v>
      </c>
      <c r="L495" t="str">
        <f>INDEX(products!$A$1:$G$49,MATCH($F495,products!$A$1:$A$49,0),MATCH(L$1,products!$A$1:$G$1,0))</f>
        <v>L</v>
      </c>
      <c r="M495" s="5">
        <f>INDEX(products!$A$1:$G$49,MATCH($F495,products!$A$1:$A$49,0),MATCH(M$1,products!$A$1:$G$1,0))</f>
        <v>0.5</v>
      </c>
      <c r="N495" s="7">
        <f>INDEX(products!$A$1:$G$49,MATCH($F495,products!$A$1:$A$49,0),MATCH(N$1,products!$A$1:$G$1,0))</f>
        <v>7.77</v>
      </c>
      <c r="O495" s="7">
        <f t="shared" si="7"/>
        <v>23.31</v>
      </c>
      <c r="P495" t="str" cm="1">
        <f t="array" ref="P495">_xlfn.IFS(K495="Rob","Robusta",K495="Exc","Excelsa",K495="Ara","Arabica",K495="Lib","Liberica")</f>
        <v>Arabica</v>
      </c>
      <c r="Q495" t="str" cm="1">
        <f t="array" ref="Q495">_xlfn.IFS(L495="M","Medium",L495="L","Light",L495="D","Dark")</f>
        <v>Light</v>
      </c>
      <c r="R495" t="str">
        <f>_xlfn.XLOOKUP(Orders[[#This Row],[Customer ID]],customers!$A$1:$A$1001,customers!$I$1:$I$1001)</f>
        <v>Yes</v>
      </c>
    </row>
    <row r="496" spans="1:18" x14ac:dyDescent="0.35">
      <c r="A496" s="2" t="s">
        <v>5433</v>
      </c>
      <c r="B496" s="4">
        <v>43680</v>
      </c>
      <c r="C496" s="23">
        <f>Orders[[#This Row],[Order Date]]</f>
        <v>43680</v>
      </c>
      <c r="D496" s="2">
        <f>YEAR(Orders[[#This Row],[Order Date]])</f>
        <v>2019</v>
      </c>
      <c r="E496" s="2" t="s">
        <v>5434</v>
      </c>
      <c r="F496" t="s">
        <v>6140</v>
      </c>
      <c r="G496" s="20">
        <v>2</v>
      </c>
      <c r="H496" s="2" t="str">
        <f>INDEX(customers!$A$1:$I$1001,MATCH($E496,customers!$A$1:$A$1001,),MATCH($H$1,customers!$A$1:$I$1,0))</f>
        <v>Jaquenette Skentelbery</v>
      </c>
      <c r="I496" s="2" t="str">
        <f>IF(INDEX(customers!$A$1:$I$1001,MATCH($E496,customers!$A$1:$A$1001,0),3)=0,"",INDEX(customers!$A$1:$I$1001,MATCH($E496,customers!$A$1:$A$1001,0),3))</f>
        <v>jskentelberyoa@paypal.com</v>
      </c>
      <c r="J496" s="2" t="str">
        <f>_xlfn.XLOOKUP(E496,customers!$A$1:$A$1001,customers!$G$1:$G$1001)</f>
        <v>United States</v>
      </c>
      <c r="K496" t="str">
        <f>INDEX(products!$A$1:$G$49,MATCH($F496,products!$A$1:$A$49,0),MATCH(K$1,products!$A$1:$G$1,0))</f>
        <v>Ara</v>
      </c>
      <c r="L496" t="str">
        <f>INDEX(products!$A$1:$G$49,MATCH($F496,products!$A$1:$A$49,0),MATCH(L$1,products!$A$1:$G$1,0))</f>
        <v>L</v>
      </c>
      <c r="M496" s="5">
        <f>INDEX(products!$A$1:$G$49,MATCH($F496,products!$A$1:$A$49,0),MATCH(M$1,products!$A$1:$G$1,0))</f>
        <v>1</v>
      </c>
      <c r="N496" s="7">
        <f>INDEX(products!$A$1:$G$49,MATCH($F496,products!$A$1:$A$49,0),MATCH(N$1,products!$A$1:$G$1,0))</f>
        <v>12.95</v>
      </c>
      <c r="O496" s="7">
        <f t="shared" si="7"/>
        <v>25.9</v>
      </c>
      <c r="P496" t="str" cm="1">
        <f t="array" ref="P496">_xlfn.IFS(K496="Rob","Robusta",K496="Exc","Excelsa",K496="Ara","Arabica",K496="Lib","Liberica")</f>
        <v>Arabica</v>
      </c>
      <c r="Q496" t="str" cm="1">
        <f t="array" ref="Q496">_xlfn.IFS(L496="M","Medium",L496="L","Light",L496="D","Dark")</f>
        <v>Light</v>
      </c>
      <c r="R496" t="str">
        <f>_xlfn.XLOOKUP(Orders[[#This Row],[Customer ID]],customers!$A$1:$A$1001,customers!$I$1:$I$1001)</f>
        <v>No</v>
      </c>
    </row>
    <row r="497" spans="1:18" x14ac:dyDescent="0.35">
      <c r="A497" s="2" t="s">
        <v>5742</v>
      </c>
      <c r="B497" s="4">
        <v>44165</v>
      </c>
      <c r="C497" s="23">
        <f>Orders[[#This Row],[Order Date]]</f>
        <v>44165</v>
      </c>
      <c r="D497" s="2">
        <f>YEAR(Orders[[#This Row],[Order Date]])</f>
        <v>2020</v>
      </c>
      <c r="E497" s="2" t="s">
        <v>5743</v>
      </c>
      <c r="F497" t="s">
        <v>6184</v>
      </c>
      <c r="G497" s="20">
        <v>2</v>
      </c>
      <c r="H497" s="2" t="str">
        <f>INDEX(customers!$A$1:$I$1001,MATCH($E497,customers!$A$1:$A$1001,),MATCH($H$1,customers!$A$1:$I$1,0))</f>
        <v>Jarred Camillo</v>
      </c>
      <c r="I497" s="2" t="str">
        <f>IF(INDEX(customers!$A$1:$I$1001,MATCH($E497,customers!$A$1:$A$1001,0),3)=0,"",INDEX(customers!$A$1:$I$1001,MATCH($E497,customers!$A$1:$A$1001,0),3))</f>
        <v>jcamillopt@shinystat.com</v>
      </c>
      <c r="J497" s="2" t="str">
        <f>_xlfn.XLOOKUP(E497,customers!$A$1:$A$1001,customers!$G$1:$G$1001)</f>
        <v>United States</v>
      </c>
      <c r="K497" t="str">
        <f>INDEX(products!$A$1:$G$49,MATCH($F497,products!$A$1:$A$49,0),MATCH(K$1,products!$A$1:$G$1,0))</f>
        <v>Exc</v>
      </c>
      <c r="L497" t="str">
        <f>INDEX(products!$A$1:$G$49,MATCH($F497,products!$A$1:$A$49,0),MATCH(L$1,products!$A$1:$G$1,0))</f>
        <v>L</v>
      </c>
      <c r="M497" s="5">
        <f>INDEX(products!$A$1:$G$49,MATCH($F497,products!$A$1:$A$49,0),MATCH(M$1,products!$A$1:$G$1,0))</f>
        <v>0.2</v>
      </c>
      <c r="N497" s="7">
        <f>INDEX(products!$A$1:$G$49,MATCH($F497,products!$A$1:$A$49,0),MATCH(N$1,products!$A$1:$G$1,0))</f>
        <v>4.4550000000000001</v>
      </c>
      <c r="O497" s="7">
        <f t="shared" si="7"/>
        <v>8.91</v>
      </c>
      <c r="P497" t="str" cm="1">
        <f t="array" ref="P497">_xlfn.IFS(K497="Rob","Robusta",K497="Exc","Excelsa",K497="Ara","Arabica",K497="Lib","Liberica")</f>
        <v>Excelsa</v>
      </c>
      <c r="Q497" t="str" cm="1">
        <f t="array" ref="Q497">_xlfn.IFS(L497="M","Medium",L497="L","Light",L497="D","Dark")</f>
        <v>Light</v>
      </c>
      <c r="R497" t="str">
        <f>_xlfn.XLOOKUP(Orders[[#This Row],[Customer ID]],customers!$A$1:$A$1001,customers!$I$1:$I$1001)</f>
        <v>Yes</v>
      </c>
    </row>
    <row r="498" spans="1:18" x14ac:dyDescent="0.35">
      <c r="A498" s="2" t="s">
        <v>4647</v>
      </c>
      <c r="B498" s="4">
        <v>43508</v>
      </c>
      <c r="C498" s="23">
        <f>Orders[[#This Row],[Order Date]]</f>
        <v>43508</v>
      </c>
      <c r="D498" s="2">
        <f>YEAR(Orders[[#This Row],[Order Date]])</f>
        <v>2019</v>
      </c>
      <c r="E498" s="2" t="s">
        <v>4648</v>
      </c>
      <c r="F498" t="s">
        <v>6143</v>
      </c>
      <c r="G498" s="20">
        <v>2</v>
      </c>
      <c r="H498" s="2" t="str">
        <f>INDEX(customers!$A$1:$I$1001,MATCH($E498,customers!$A$1:$A$1001,),MATCH($H$1,customers!$A$1:$I$1,0))</f>
        <v>Jarret Toye</v>
      </c>
      <c r="I498" s="2" t="str">
        <f>IF(INDEX(customers!$A$1:$I$1001,MATCH($E498,customers!$A$1:$A$1001,0),3)=0,"",INDEX(customers!$A$1:$I$1001,MATCH($E498,customers!$A$1:$A$1001,0),3))</f>
        <v>jtoyekg@pinterest.com</v>
      </c>
      <c r="J498" s="2" t="str">
        <f>_xlfn.XLOOKUP(E498,customers!$A$1:$A$1001,customers!$G$1:$G$1001)</f>
        <v>Ireland</v>
      </c>
      <c r="K498" t="str">
        <f>INDEX(products!$A$1:$G$49,MATCH($F498,products!$A$1:$A$49,0),MATCH(K$1,products!$A$1:$G$1,0))</f>
        <v>Lib</v>
      </c>
      <c r="L498" t="str">
        <f>INDEX(products!$A$1:$G$49,MATCH($F498,products!$A$1:$A$49,0),MATCH(L$1,products!$A$1:$G$1,0))</f>
        <v>D</v>
      </c>
      <c r="M498" s="5">
        <f>INDEX(products!$A$1:$G$49,MATCH($F498,products!$A$1:$A$49,0),MATCH(M$1,products!$A$1:$G$1,0))</f>
        <v>1</v>
      </c>
      <c r="N498" s="7">
        <f>INDEX(products!$A$1:$G$49,MATCH($F498,products!$A$1:$A$49,0),MATCH(N$1,products!$A$1:$G$1,0))</f>
        <v>12.95</v>
      </c>
      <c r="O498" s="7">
        <f t="shared" si="7"/>
        <v>25.9</v>
      </c>
      <c r="P498" t="str" cm="1">
        <f t="array" ref="P498">_xlfn.IFS(K498="Rob","Robusta",K498="Exc","Excelsa",K498="Ara","Arabica",K498="Lib","Liberica")</f>
        <v>Liberica</v>
      </c>
      <c r="Q498" t="str" cm="1">
        <f t="array" ref="Q498">_xlfn.IFS(L498="M","Medium",L498="L","Light",L498="D","Dark")</f>
        <v>Dark</v>
      </c>
      <c r="R498" t="str">
        <f>_xlfn.XLOOKUP(Orders[[#This Row],[Customer ID]],customers!$A$1:$A$1001,customers!$I$1:$I$1001)</f>
        <v>Yes</v>
      </c>
    </row>
    <row r="499" spans="1:18" x14ac:dyDescent="0.35">
      <c r="A499" s="2" t="s">
        <v>2019</v>
      </c>
      <c r="B499" s="4">
        <v>43971</v>
      </c>
      <c r="C499" s="23">
        <f>Orders[[#This Row],[Order Date]]</f>
        <v>43971</v>
      </c>
      <c r="D499" s="2">
        <f>YEAR(Orders[[#This Row],[Order Date]])</f>
        <v>2020</v>
      </c>
      <c r="E499" s="2" t="s">
        <v>2020</v>
      </c>
      <c r="F499" t="s">
        <v>6154</v>
      </c>
      <c r="G499" s="20">
        <v>4</v>
      </c>
      <c r="H499" s="2" t="str">
        <f>INDEX(customers!$A$1:$I$1001,MATCH($E499,customers!$A$1:$A$1001,),MATCH($H$1,customers!$A$1:$I$1,0))</f>
        <v>Jasper Sisneros</v>
      </c>
      <c r="I499" s="2" t="str">
        <f>IF(INDEX(customers!$A$1:$I$1001,MATCH($E499,customers!$A$1:$A$1001,0),3)=0,"",INDEX(customers!$A$1:$I$1001,MATCH($E499,customers!$A$1:$A$1001,0),3))</f>
        <v>jsisneros7j@a8.net</v>
      </c>
      <c r="J499" s="2" t="str">
        <f>_xlfn.XLOOKUP(E499,customers!$A$1:$A$1001,customers!$G$1:$G$1001)</f>
        <v>United States</v>
      </c>
      <c r="K499" t="str">
        <f>INDEX(products!$A$1:$G$49,MATCH($F499,products!$A$1:$A$49,0),MATCH(K$1,products!$A$1:$G$1,0))</f>
        <v>Ara</v>
      </c>
      <c r="L499" t="str">
        <f>INDEX(products!$A$1:$G$49,MATCH($F499,products!$A$1:$A$49,0),MATCH(L$1,products!$A$1:$G$1,0))</f>
        <v>D</v>
      </c>
      <c r="M499" s="5">
        <f>INDEX(products!$A$1:$G$49,MATCH($F499,products!$A$1:$A$49,0),MATCH(M$1,products!$A$1:$G$1,0))</f>
        <v>0.2</v>
      </c>
      <c r="N499" s="7">
        <f>INDEX(products!$A$1:$G$49,MATCH($F499,products!$A$1:$A$49,0),MATCH(N$1,products!$A$1:$G$1,0))</f>
        <v>2.9849999999999999</v>
      </c>
      <c r="O499" s="7">
        <f t="shared" si="7"/>
        <v>11.94</v>
      </c>
      <c r="P499" t="str" cm="1">
        <f t="array" ref="P499">_xlfn.IFS(K499="Rob","Robusta",K499="Exc","Excelsa",K499="Ara","Arabica",K499="Lib","Liberica")</f>
        <v>Arabica</v>
      </c>
      <c r="Q499" t="str" cm="1">
        <f t="array" ref="Q499">_xlfn.IFS(L499="M","Medium",L499="L","Light",L499="D","Dark")</f>
        <v>Dark</v>
      </c>
      <c r="R499" t="str">
        <f>_xlfn.XLOOKUP(Orders[[#This Row],[Customer ID]],customers!$A$1:$A$1001,customers!$I$1:$I$1001)</f>
        <v>Yes</v>
      </c>
    </row>
    <row r="500" spans="1:18" x14ac:dyDescent="0.35">
      <c r="A500" s="2" t="s">
        <v>6025</v>
      </c>
      <c r="B500" s="4">
        <v>43856</v>
      </c>
      <c r="C500" s="23">
        <f>Orders[[#This Row],[Order Date]]</f>
        <v>43856</v>
      </c>
      <c r="D500" s="2">
        <f>YEAR(Orders[[#This Row],[Order Date]])</f>
        <v>2020</v>
      </c>
      <c r="E500" s="2" t="s">
        <v>6026</v>
      </c>
      <c r="F500" t="s">
        <v>6172</v>
      </c>
      <c r="G500" s="20">
        <v>2</v>
      </c>
      <c r="H500" s="2" t="str">
        <f>INDEX(customers!$A$1:$I$1001,MATCH($E500,customers!$A$1:$A$1001,),MATCH($H$1,customers!$A$1:$I$1,0))</f>
        <v>Javier Causnett</v>
      </c>
      <c r="I500" s="2" t="str">
        <f>IF(INDEX(customers!$A$1:$I$1001,MATCH($E500,customers!$A$1:$A$1001,0),3)=0,"",INDEX(customers!$A$1:$I$1001,MATCH($E500,customers!$A$1:$A$1001,0),3))</f>
        <v/>
      </c>
      <c r="J500" s="2" t="str">
        <f>_xlfn.XLOOKUP(E500,customers!$A$1:$A$1001,customers!$G$1:$G$1001)</f>
        <v>United States</v>
      </c>
      <c r="K500" t="str">
        <f>INDEX(products!$A$1:$G$49,MATCH($F500,products!$A$1:$A$49,0),MATCH(K$1,products!$A$1:$G$1,0))</f>
        <v>Rob</v>
      </c>
      <c r="L500" t="str">
        <f>INDEX(products!$A$1:$G$49,MATCH($F500,products!$A$1:$A$49,0),MATCH(L$1,products!$A$1:$G$1,0))</f>
        <v>D</v>
      </c>
      <c r="M500" s="5">
        <f>INDEX(products!$A$1:$G$49,MATCH($F500,products!$A$1:$A$49,0),MATCH(M$1,products!$A$1:$G$1,0))</f>
        <v>0.5</v>
      </c>
      <c r="N500" s="7">
        <f>INDEX(products!$A$1:$G$49,MATCH($F500,products!$A$1:$A$49,0),MATCH(N$1,products!$A$1:$G$1,0))</f>
        <v>5.3699999999999992</v>
      </c>
      <c r="O500" s="7">
        <f t="shared" si="7"/>
        <v>10.739999999999998</v>
      </c>
      <c r="P500" t="str" cm="1">
        <f t="array" ref="P500">_xlfn.IFS(K500="Rob","Robusta",K500="Exc","Excelsa",K500="Ara","Arabica",K500="Lib","Liberica")</f>
        <v>Robusta</v>
      </c>
      <c r="Q500" t="str" cm="1">
        <f t="array" ref="Q500">_xlfn.IFS(L500="M","Medium",L500="L","Light",L500="D","Dark")</f>
        <v>Dark</v>
      </c>
      <c r="R500" t="str">
        <f>_xlfn.XLOOKUP(Orders[[#This Row],[Customer ID]],customers!$A$1:$A$1001,customers!$I$1:$I$1001)</f>
        <v>No</v>
      </c>
    </row>
    <row r="501" spans="1:18" x14ac:dyDescent="0.35">
      <c r="A501" s="2" t="s">
        <v>1969</v>
      </c>
      <c r="B501" s="4">
        <v>43693</v>
      </c>
      <c r="C501" s="23">
        <f>Orders[[#This Row],[Order Date]]</f>
        <v>43693</v>
      </c>
      <c r="D501" s="2">
        <f>YEAR(Orders[[#This Row],[Order Date]])</f>
        <v>2019</v>
      </c>
      <c r="E501" s="2" t="s">
        <v>1970</v>
      </c>
      <c r="F501" t="s">
        <v>6141</v>
      </c>
      <c r="G501" s="20">
        <v>3</v>
      </c>
      <c r="H501" s="2" t="str">
        <f>INDEX(customers!$A$1:$I$1001,MATCH($E501,customers!$A$1:$A$1001,),MATCH($H$1,customers!$A$1:$I$1,0))</f>
        <v>Javier Kopke</v>
      </c>
      <c r="I501" s="2" t="str">
        <f>IF(INDEX(customers!$A$1:$I$1001,MATCH($E501,customers!$A$1:$A$1001,0),3)=0,"",INDEX(customers!$A$1:$I$1001,MATCH($E501,customers!$A$1:$A$1001,0),3))</f>
        <v>jkopke7a@auda.org.au</v>
      </c>
      <c r="J501" s="2" t="str">
        <f>_xlfn.XLOOKUP(E501,customers!$A$1:$A$1001,customers!$G$1:$G$1001)</f>
        <v>United States</v>
      </c>
      <c r="K501" t="str">
        <f>INDEX(products!$A$1:$G$49,MATCH($F501,products!$A$1:$A$49,0),MATCH(K$1,products!$A$1:$G$1,0))</f>
        <v>Exc</v>
      </c>
      <c r="L501" t="str">
        <f>INDEX(products!$A$1:$G$49,MATCH($F501,products!$A$1:$A$49,0),MATCH(L$1,products!$A$1:$G$1,0))</f>
        <v>M</v>
      </c>
      <c r="M501" s="5">
        <f>INDEX(products!$A$1:$G$49,MATCH($F501,products!$A$1:$A$49,0),MATCH(M$1,products!$A$1:$G$1,0))</f>
        <v>1</v>
      </c>
      <c r="N501" s="7">
        <f>INDEX(products!$A$1:$G$49,MATCH($F501,products!$A$1:$A$49,0),MATCH(N$1,products!$A$1:$G$1,0))</f>
        <v>13.75</v>
      </c>
      <c r="O501" s="7">
        <f t="shared" si="7"/>
        <v>41.25</v>
      </c>
      <c r="P501" t="str" cm="1">
        <f t="array" ref="P501">_xlfn.IFS(K501="Rob","Robusta",K501="Exc","Excelsa",K501="Ara","Arabica",K501="Lib","Liberica")</f>
        <v>Excelsa</v>
      </c>
      <c r="Q501" t="str" cm="1">
        <f t="array" ref="Q501">_xlfn.IFS(L501="M","Medium",L501="L","Light",L501="D","Dark")</f>
        <v>Medium</v>
      </c>
      <c r="R501" t="str">
        <f>_xlfn.XLOOKUP(Orders[[#This Row],[Customer ID]],customers!$A$1:$A$1001,customers!$I$1:$I$1001)</f>
        <v>No</v>
      </c>
    </row>
    <row r="502" spans="1:18" x14ac:dyDescent="0.35">
      <c r="A502" s="2" t="s">
        <v>4996</v>
      </c>
      <c r="B502" s="4">
        <v>44751</v>
      </c>
      <c r="C502" s="23">
        <f>Orders[[#This Row],[Order Date]]</f>
        <v>44751</v>
      </c>
      <c r="D502" s="2">
        <f>YEAR(Orders[[#This Row],[Order Date]])</f>
        <v>2022</v>
      </c>
      <c r="E502" s="2" t="s">
        <v>4997</v>
      </c>
      <c r="F502" t="s">
        <v>6180</v>
      </c>
      <c r="G502" s="20">
        <v>4</v>
      </c>
      <c r="H502" s="2" t="str">
        <f>INDEX(customers!$A$1:$I$1001,MATCH($E502,customers!$A$1:$A$1001,),MATCH($H$1,customers!$A$1:$I$1,0))</f>
        <v>Jed Kennicott</v>
      </c>
      <c r="I502" s="2" t="str">
        <f>IF(INDEX(customers!$A$1:$I$1001,MATCH($E502,customers!$A$1:$A$1001,0),3)=0,"",INDEX(customers!$A$1:$I$1001,MATCH($E502,customers!$A$1:$A$1001,0),3))</f>
        <v>jkennicottm5@yahoo.co.jp</v>
      </c>
      <c r="J502" s="2" t="str">
        <f>_xlfn.XLOOKUP(E502,customers!$A$1:$A$1001,customers!$G$1:$G$1001)</f>
        <v>United States</v>
      </c>
      <c r="K502" t="str">
        <f>INDEX(products!$A$1:$G$49,MATCH($F502,products!$A$1:$A$49,0),MATCH(K$1,products!$A$1:$G$1,0))</f>
        <v>Ara</v>
      </c>
      <c r="L502" t="str">
        <f>INDEX(products!$A$1:$G$49,MATCH($F502,products!$A$1:$A$49,0),MATCH(L$1,products!$A$1:$G$1,0))</f>
        <v>L</v>
      </c>
      <c r="M502" s="5">
        <f>INDEX(products!$A$1:$G$49,MATCH($F502,products!$A$1:$A$49,0),MATCH(M$1,products!$A$1:$G$1,0))</f>
        <v>0.5</v>
      </c>
      <c r="N502" s="7">
        <f>INDEX(products!$A$1:$G$49,MATCH($F502,products!$A$1:$A$49,0),MATCH(N$1,products!$A$1:$G$1,0))</f>
        <v>7.77</v>
      </c>
      <c r="O502" s="7">
        <f t="shared" si="7"/>
        <v>31.08</v>
      </c>
      <c r="P502" t="str" cm="1">
        <f t="array" ref="P502">_xlfn.IFS(K502="Rob","Robusta",K502="Exc","Excelsa",K502="Ara","Arabica",K502="Lib","Liberica")</f>
        <v>Arabica</v>
      </c>
      <c r="Q502" t="str" cm="1">
        <f t="array" ref="Q502">_xlfn.IFS(L502="M","Medium",L502="L","Light",L502="D","Dark")</f>
        <v>Light</v>
      </c>
      <c r="R502" t="str">
        <f>_xlfn.XLOOKUP(Orders[[#This Row],[Customer ID]],customers!$A$1:$A$1001,customers!$I$1:$I$1001)</f>
        <v>No</v>
      </c>
    </row>
    <row r="503" spans="1:18" x14ac:dyDescent="0.35">
      <c r="A503" s="2" t="s">
        <v>971</v>
      </c>
      <c r="B503" s="4">
        <v>43664</v>
      </c>
      <c r="C503" s="23">
        <f>Orders[[#This Row],[Order Date]]</f>
        <v>43664</v>
      </c>
      <c r="D503" s="2">
        <f>YEAR(Orders[[#This Row],[Order Date]])</f>
        <v>2019</v>
      </c>
      <c r="E503" s="2" t="s">
        <v>972</v>
      </c>
      <c r="F503" t="s">
        <v>6182</v>
      </c>
      <c r="G503" s="20">
        <v>3</v>
      </c>
      <c r="H503" s="2" t="str">
        <f>INDEX(customers!$A$1:$I$1001,MATCH($E503,customers!$A$1:$A$1001,),MATCH($H$1,customers!$A$1:$I$1,0))</f>
        <v>Jeffrey Dufaire</v>
      </c>
      <c r="I503" s="2" t="str">
        <f>IF(INDEX(customers!$A$1:$I$1001,MATCH($E503,customers!$A$1:$A$1001,0),3)=0,"",INDEX(customers!$A$1:$I$1001,MATCH($E503,customers!$A$1:$A$1001,0),3))</f>
        <v>jdufaire2d@fc2.com</v>
      </c>
      <c r="J503" s="2" t="str">
        <f>_xlfn.XLOOKUP(E503,customers!$A$1:$A$1001,customers!$G$1:$G$1001)</f>
        <v>United States</v>
      </c>
      <c r="K503" t="str">
        <f>INDEX(products!$A$1:$G$49,MATCH($F503,products!$A$1:$A$49,0),MATCH(K$1,products!$A$1:$G$1,0))</f>
        <v>Ara</v>
      </c>
      <c r="L503" t="str">
        <f>INDEX(products!$A$1:$G$49,MATCH($F503,products!$A$1:$A$49,0),MATCH(L$1,products!$A$1:$G$1,0))</f>
        <v>L</v>
      </c>
      <c r="M503" s="5">
        <f>INDEX(products!$A$1:$G$49,MATCH($F503,products!$A$1:$A$49,0),MATCH(M$1,products!$A$1:$G$1,0))</f>
        <v>2.5</v>
      </c>
      <c r="N503" s="7">
        <f>INDEX(products!$A$1:$G$49,MATCH($F503,products!$A$1:$A$49,0),MATCH(N$1,products!$A$1:$G$1,0))</f>
        <v>29.784999999999997</v>
      </c>
      <c r="O503" s="7">
        <f t="shared" si="7"/>
        <v>89.35499999999999</v>
      </c>
      <c r="P503" t="str" cm="1">
        <f t="array" ref="P503">_xlfn.IFS(K503="Rob","Robusta",K503="Exc","Excelsa",K503="Ara","Arabica",K503="Lib","Liberica")</f>
        <v>Arabica</v>
      </c>
      <c r="Q503" t="str" cm="1">
        <f t="array" ref="Q503">_xlfn.IFS(L503="M","Medium",L503="L","Light",L503="D","Dark")</f>
        <v>Light</v>
      </c>
      <c r="R503" t="str">
        <f>_xlfn.XLOOKUP(Orders[[#This Row],[Customer ID]],customers!$A$1:$A$1001,customers!$I$1:$I$1001)</f>
        <v>No</v>
      </c>
    </row>
    <row r="504" spans="1:18" x14ac:dyDescent="0.35">
      <c r="A504" s="2" t="s">
        <v>971</v>
      </c>
      <c r="B504" s="4">
        <v>43664</v>
      </c>
      <c r="C504" s="23">
        <f>Orders[[#This Row],[Order Date]]</f>
        <v>43664</v>
      </c>
      <c r="D504" s="2">
        <f>YEAR(Orders[[#This Row],[Order Date]])</f>
        <v>2019</v>
      </c>
      <c r="E504" s="2" t="s">
        <v>972</v>
      </c>
      <c r="F504" t="s">
        <v>6154</v>
      </c>
      <c r="G504" s="20">
        <v>4</v>
      </c>
      <c r="H504" s="2" t="str">
        <f>INDEX(customers!$A$1:$I$1001,MATCH($E504,customers!$A$1:$A$1001,),MATCH($H$1,customers!$A$1:$I$1,0))</f>
        <v>Jeffrey Dufaire</v>
      </c>
      <c r="I504" s="2" t="str">
        <f>IF(INDEX(customers!$A$1:$I$1001,MATCH($E504,customers!$A$1:$A$1001,0),3)=0,"",INDEX(customers!$A$1:$I$1001,MATCH($E504,customers!$A$1:$A$1001,0),3))</f>
        <v>jdufaire2d@fc2.com</v>
      </c>
      <c r="J504" s="2" t="str">
        <f>_xlfn.XLOOKUP(E504,customers!$A$1:$A$1001,customers!$G$1:$G$1001)</f>
        <v>United States</v>
      </c>
      <c r="K504" t="str">
        <f>INDEX(products!$A$1:$G$49,MATCH($F504,products!$A$1:$A$49,0),MATCH(K$1,products!$A$1:$G$1,0))</f>
        <v>Ara</v>
      </c>
      <c r="L504" t="str">
        <f>INDEX(products!$A$1:$G$49,MATCH($F504,products!$A$1:$A$49,0),MATCH(L$1,products!$A$1:$G$1,0))</f>
        <v>D</v>
      </c>
      <c r="M504" s="5">
        <f>INDEX(products!$A$1:$G$49,MATCH($F504,products!$A$1:$A$49,0),MATCH(M$1,products!$A$1:$G$1,0))</f>
        <v>0.2</v>
      </c>
      <c r="N504" s="7">
        <f>INDEX(products!$A$1:$G$49,MATCH($F504,products!$A$1:$A$49,0),MATCH(N$1,products!$A$1:$G$1,0))</f>
        <v>2.9849999999999999</v>
      </c>
      <c r="O504" s="7">
        <f t="shared" si="7"/>
        <v>11.94</v>
      </c>
      <c r="P504" t="str" cm="1">
        <f t="array" ref="P504">_xlfn.IFS(K504="Rob","Robusta",K504="Exc","Excelsa",K504="Ara","Arabica",K504="Lib","Liberica")</f>
        <v>Arabica</v>
      </c>
      <c r="Q504" t="str" cm="1">
        <f t="array" ref="Q504">_xlfn.IFS(L504="M","Medium",L504="L","Light",L504="D","Dark")</f>
        <v>Dark</v>
      </c>
      <c r="R504" t="str">
        <f>_xlfn.XLOOKUP(Orders[[#This Row],[Customer ID]],customers!$A$1:$A$1001,customers!$I$1:$I$1001)</f>
        <v>No</v>
      </c>
    </row>
    <row r="505" spans="1:18" x14ac:dyDescent="0.35">
      <c r="A505" s="2" t="s">
        <v>5288</v>
      </c>
      <c r="B505" s="4">
        <v>44628</v>
      </c>
      <c r="C505" s="23">
        <f>Orders[[#This Row],[Order Date]]</f>
        <v>44628</v>
      </c>
      <c r="D505" s="2">
        <f>YEAR(Orders[[#This Row],[Order Date]])</f>
        <v>2022</v>
      </c>
      <c r="E505" s="2" t="s">
        <v>5289</v>
      </c>
      <c r="F505" t="s">
        <v>6167</v>
      </c>
      <c r="G505" s="20">
        <v>6</v>
      </c>
      <c r="H505" s="2" t="str">
        <f>INDEX(customers!$A$1:$I$1001,MATCH($E505,customers!$A$1:$A$1001,),MATCH($H$1,customers!$A$1:$I$1,0))</f>
        <v>Jemimah Ethelston</v>
      </c>
      <c r="I505" s="2" t="str">
        <f>IF(INDEX(customers!$A$1:$I$1001,MATCH($E505,customers!$A$1:$A$1001,0),3)=0,"",INDEX(customers!$A$1:$I$1001,MATCH($E505,customers!$A$1:$A$1001,0),3))</f>
        <v>jethelstonnl@creativecommons.org</v>
      </c>
      <c r="J505" s="2" t="str">
        <f>_xlfn.XLOOKUP(E505,customers!$A$1:$A$1001,customers!$G$1:$G$1001)</f>
        <v>United States</v>
      </c>
      <c r="K505" t="str">
        <f>INDEX(products!$A$1:$G$49,MATCH($F505,products!$A$1:$A$49,0),MATCH(K$1,products!$A$1:$G$1,0))</f>
        <v>Ara</v>
      </c>
      <c r="L505" t="str">
        <f>INDEX(products!$A$1:$G$49,MATCH($F505,products!$A$1:$A$49,0),MATCH(L$1,products!$A$1:$G$1,0))</f>
        <v>L</v>
      </c>
      <c r="M505" s="5">
        <f>INDEX(products!$A$1:$G$49,MATCH($F505,products!$A$1:$A$49,0),MATCH(M$1,products!$A$1:$G$1,0))</f>
        <v>0.2</v>
      </c>
      <c r="N505" s="7">
        <f>INDEX(products!$A$1:$G$49,MATCH($F505,products!$A$1:$A$49,0),MATCH(N$1,products!$A$1:$G$1,0))</f>
        <v>3.8849999999999998</v>
      </c>
      <c r="O505" s="7">
        <f t="shared" si="7"/>
        <v>23.31</v>
      </c>
      <c r="P505" t="str" cm="1">
        <f t="array" ref="P505">_xlfn.IFS(K505="Rob","Robusta",K505="Exc","Excelsa",K505="Ara","Arabica",K505="Lib","Liberica")</f>
        <v>Arabica</v>
      </c>
      <c r="Q505" t="str" cm="1">
        <f t="array" ref="Q505">_xlfn.IFS(L505="M","Medium",L505="L","Light",L505="D","Dark")</f>
        <v>Light</v>
      </c>
      <c r="R505" t="str">
        <f>_xlfn.XLOOKUP(Orders[[#This Row],[Customer ID]],customers!$A$1:$A$1001,customers!$I$1:$I$1001)</f>
        <v>Yes</v>
      </c>
    </row>
    <row r="506" spans="1:18" x14ac:dyDescent="0.35">
      <c r="A506" s="2" t="s">
        <v>5288</v>
      </c>
      <c r="B506" s="4">
        <v>44628</v>
      </c>
      <c r="C506" s="23">
        <f>Orders[[#This Row],[Order Date]]</f>
        <v>44628</v>
      </c>
      <c r="D506" s="2">
        <f>YEAR(Orders[[#This Row],[Order Date]])</f>
        <v>2022</v>
      </c>
      <c r="E506" s="2" t="s">
        <v>5289</v>
      </c>
      <c r="F506" t="s">
        <v>6152</v>
      </c>
      <c r="G506" s="20">
        <v>2</v>
      </c>
      <c r="H506" s="2" t="str">
        <f>INDEX(customers!$A$1:$I$1001,MATCH($E506,customers!$A$1:$A$1001,),MATCH($H$1,customers!$A$1:$I$1,0))</f>
        <v>Jemimah Ethelston</v>
      </c>
      <c r="I506" s="2" t="str">
        <f>IF(INDEX(customers!$A$1:$I$1001,MATCH($E506,customers!$A$1:$A$1001,0),3)=0,"",INDEX(customers!$A$1:$I$1001,MATCH($E506,customers!$A$1:$A$1001,0),3))</f>
        <v>jethelstonnl@creativecommons.org</v>
      </c>
      <c r="J506" s="2" t="str">
        <f>_xlfn.XLOOKUP(E506,customers!$A$1:$A$1001,customers!$G$1:$G$1001)</f>
        <v>United States</v>
      </c>
      <c r="K506" t="str">
        <f>INDEX(products!$A$1:$G$49,MATCH($F506,products!$A$1:$A$49,0),MATCH(K$1,products!$A$1:$G$1,0))</f>
        <v>Ara</v>
      </c>
      <c r="L506" t="str">
        <f>INDEX(products!$A$1:$G$49,MATCH($F506,products!$A$1:$A$49,0),MATCH(L$1,products!$A$1:$G$1,0))</f>
        <v>M</v>
      </c>
      <c r="M506" s="5">
        <f>INDEX(products!$A$1:$G$49,MATCH($F506,products!$A$1:$A$49,0),MATCH(M$1,products!$A$1:$G$1,0))</f>
        <v>0.2</v>
      </c>
      <c r="N506" s="7">
        <f>INDEX(products!$A$1:$G$49,MATCH($F506,products!$A$1:$A$49,0),MATCH(N$1,products!$A$1:$G$1,0))</f>
        <v>3.375</v>
      </c>
      <c r="O506" s="7">
        <f t="shared" si="7"/>
        <v>6.75</v>
      </c>
      <c r="P506" t="str" cm="1">
        <f t="array" ref="P506">_xlfn.IFS(K506="Rob","Robusta",K506="Exc","Excelsa",K506="Ara","Arabica",K506="Lib","Liberica")</f>
        <v>Arabica</v>
      </c>
      <c r="Q506" t="str" cm="1">
        <f t="array" ref="Q506">_xlfn.IFS(L506="M","Medium",L506="L","Light",L506="D","Dark")</f>
        <v>Medium</v>
      </c>
      <c r="R506" t="str">
        <f>_xlfn.XLOOKUP(Orders[[#This Row],[Customer ID]],customers!$A$1:$A$1001,customers!$I$1:$I$1001)</f>
        <v>Yes</v>
      </c>
    </row>
    <row r="507" spans="1:18" x14ac:dyDescent="0.35">
      <c r="A507" s="2" t="s">
        <v>6111</v>
      </c>
      <c r="B507" s="4">
        <v>43836</v>
      </c>
      <c r="C507" s="23">
        <f>Orders[[#This Row],[Order Date]]</f>
        <v>43836</v>
      </c>
      <c r="D507" s="2">
        <f>YEAR(Orders[[#This Row],[Order Date]])</f>
        <v>2020</v>
      </c>
      <c r="E507" s="2" t="s">
        <v>6112</v>
      </c>
      <c r="F507" t="s">
        <v>6142</v>
      </c>
      <c r="G507" s="20">
        <v>1</v>
      </c>
      <c r="H507" s="2" t="str">
        <f>INDEX(customers!$A$1:$I$1001,MATCH($E507,customers!$A$1:$A$1001,),MATCH($H$1,customers!$A$1:$I$1,0))</f>
        <v>Jennica Tewelson</v>
      </c>
      <c r="I507" s="2" t="str">
        <f>IF(INDEX(customers!$A$1:$I$1001,MATCH($E507,customers!$A$1:$A$1001,0),3)=0,"",INDEX(customers!$A$1:$I$1001,MATCH($E507,customers!$A$1:$A$1001,0),3))</f>
        <v>jtewelsonrn@samsung.com</v>
      </c>
      <c r="J507" s="2" t="str">
        <f>_xlfn.XLOOKUP(E507,customers!$A$1:$A$1001,customers!$G$1:$G$1001)</f>
        <v>United States</v>
      </c>
      <c r="K507" t="str">
        <f>INDEX(products!$A$1:$G$49,MATCH($F507,products!$A$1:$A$49,0),MATCH(K$1,products!$A$1:$G$1,0))</f>
        <v>Rob</v>
      </c>
      <c r="L507" t="str">
        <f>INDEX(products!$A$1:$G$49,MATCH($F507,products!$A$1:$A$49,0),MATCH(L$1,products!$A$1:$G$1,0))</f>
        <v>L</v>
      </c>
      <c r="M507" s="5">
        <f>INDEX(products!$A$1:$G$49,MATCH($F507,products!$A$1:$A$49,0),MATCH(M$1,products!$A$1:$G$1,0))</f>
        <v>2.5</v>
      </c>
      <c r="N507" s="7">
        <f>INDEX(products!$A$1:$G$49,MATCH($F507,products!$A$1:$A$49,0),MATCH(N$1,products!$A$1:$G$1,0))</f>
        <v>27.484999999999996</v>
      </c>
      <c r="O507" s="7">
        <f t="shared" si="7"/>
        <v>27.484999999999996</v>
      </c>
      <c r="P507" t="str" cm="1">
        <f t="array" ref="P507">_xlfn.IFS(K507="Rob","Robusta",K507="Exc","Excelsa",K507="Ara","Arabica",K507="Lib","Liberica")</f>
        <v>Robusta</v>
      </c>
      <c r="Q507" t="str" cm="1">
        <f t="array" ref="Q507">_xlfn.IFS(L507="M","Medium",L507="L","Light",L507="D","Dark")</f>
        <v>Light</v>
      </c>
      <c r="R507" t="str">
        <f>_xlfn.XLOOKUP(Orders[[#This Row],[Customer ID]],customers!$A$1:$A$1001,customers!$I$1:$I$1001)</f>
        <v>No</v>
      </c>
    </row>
    <row r="508" spans="1:18" x14ac:dyDescent="0.35">
      <c r="A508" s="2" t="s">
        <v>907</v>
      </c>
      <c r="B508" s="4">
        <v>44396</v>
      </c>
      <c r="C508" s="23">
        <f>Orders[[#This Row],[Order Date]]</f>
        <v>44396</v>
      </c>
      <c r="D508" s="2">
        <f>YEAR(Orders[[#This Row],[Order Date]])</f>
        <v>2021</v>
      </c>
      <c r="E508" s="2" t="s">
        <v>908</v>
      </c>
      <c r="F508" t="s">
        <v>6176</v>
      </c>
      <c r="G508" s="20">
        <v>2</v>
      </c>
      <c r="H508" s="2" t="str">
        <f>INDEX(customers!$A$1:$I$1001,MATCH($E508,customers!$A$1:$A$1001,),MATCH($H$1,customers!$A$1:$I$1,0))</f>
        <v>Jennifer Rangall</v>
      </c>
      <c r="I508" s="2" t="str">
        <f>IF(INDEX(customers!$A$1:$I$1001,MATCH($E508,customers!$A$1:$A$1001,0),3)=0,"",INDEX(customers!$A$1:$I$1001,MATCH($E508,customers!$A$1:$A$1001,0),3))</f>
        <v>jrangall22@newsvine.com</v>
      </c>
      <c r="J508" s="2" t="str">
        <f>_xlfn.XLOOKUP(E508,customers!$A$1:$A$1001,customers!$G$1:$G$1001)</f>
        <v>United States</v>
      </c>
      <c r="K508" t="str">
        <f>INDEX(products!$A$1:$G$49,MATCH($F508,products!$A$1:$A$49,0),MATCH(K$1,products!$A$1:$G$1,0))</f>
        <v>Exc</v>
      </c>
      <c r="L508" t="str">
        <f>INDEX(products!$A$1:$G$49,MATCH($F508,products!$A$1:$A$49,0),MATCH(L$1,products!$A$1:$G$1,0))</f>
        <v>L</v>
      </c>
      <c r="M508" s="5">
        <f>INDEX(products!$A$1:$G$49,MATCH($F508,products!$A$1:$A$49,0),MATCH(M$1,products!$A$1:$G$1,0))</f>
        <v>0.5</v>
      </c>
      <c r="N508" s="7">
        <f>INDEX(products!$A$1:$G$49,MATCH($F508,products!$A$1:$A$49,0),MATCH(N$1,products!$A$1:$G$1,0))</f>
        <v>8.91</v>
      </c>
      <c r="O508" s="7">
        <f t="shared" si="7"/>
        <v>17.82</v>
      </c>
      <c r="P508" t="str" cm="1">
        <f t="array" ref="P508">_xlfn.IFS(K508="Rob","Robusta",K508="Exc","Excelsa",K508="Ara","Arabica",K508="Lib","Liberica")</f>
        <v>Excelsa</v>
      </c>
      <c r="Q508" t="str" cm="1">
        <f t="array" ref="Q508">_xlfn.IFS(L508="M","Medium",L508="L","Light",L508="D","Dark")</f>
        <v>Light</v>
      </c>
      <c r="R508" t="str">
        <f>_xlfn.XLOOKUP(Orders[[#This Row],[Customer ID]],customers!$A$1:$A$1001,customers!$I$1:$I$1001)</f>
        <v>Yes</v>
      </c>
    </row>
    <row r="509" spans="1:18" x14ac:dyDescent="0.35">
      <c r="A509" s="2" t="s">
        <v>3829</v>
      </c>
      <c r="B509" s="4">
        <v>43587</v>
      </c>
      <c r="C509" s="23">
        <f>Orders[[#This Row],[Order Date]]</f>
        <v>43587</v>
      </c>
      <c r="D509" s="2">
        <f>YEAR(Orders[[#This Row],[Order Date]])</f>
        <v>2019</v>
      </c>
      <c r="E509" s="2" t="s">
        <v>3830</v>
      </c>
      <c r="F509" t="s">
        <v>6163</v>
      </c>
      <c r="G509" s="20">
        <v>3</v>
      </c>
      <c r="H509" s="2" t="str">
        <f>INDEX(customers!$A$1:$I$1001,MATCH($E509,customers!$A$1:$A$1001,),MATCH($H$1,customers!$A$1:$I$1,0))</f>
        <v>Jennifer Wilkisson</v>
      </c>
      <c r="I509" s="2" t="str">
        <f>IF(INDEX(customers!$A$1:$I$1001,MATCH($E509,customers!$A$1:$A$1001,0),3)=0,"",INDEX(customers!$A$1:$I$1001,MATCH($E509,customers!$A$1:$A$1001,0),3))</f>
        <v>jwilkissongf@nba.com</v>
      </c>
      <c r="J509" s="2" t="str">
        <f>_xlfn.XLOOKUP(E509,customers!$A$1:$A$1001,customers!$G$1:$G$1001)</f>
        <v>United States</v>
      </c>
      <c r="K509" t="str">
        <f>INDEX(products!$A$1:$G$49,MATCH($F509,products!$A$1:$A$49,0),MATCH(K$1,products!$A$1:$G$1,0))</f>
        <v>Rob</v>
      </c>
      <c r="L509" t="str">
        <f>INDEX(products!$A$1:$G$49,MATCH($F509,products!$A$1:$A$49,0),MATCH(L$1,products!$A$1:$G$1,0))</f>
        <v>D</v>
      </c>
      <c r="M509" s="5">
        <f>INDEX(products!$A$1:$G$49,MATCH($F509,products!$A$1:$A$49,0),MATCH(M$1,products!$A$1:$G$1,0))</f>
        <v>0.2</v>
      </c>
      <c r="N509" s="7">
        <f>INDEX(products!$A$1:$G$49,MATCH($F509,products!$A$1:$A$49,0),MATCH(N$1,products!$A$1:$G$1,0))</f>
        <v>2.6849999999999996</v>
      </c>
      <c r="O509" s="7">
        <f t="shared" si="7"/>
        <v>8.0549999999999997</v>
      </c>
      <c r="P509" t="str" cm="1">
        <f t="array" ref="P509">_xlfn.IFS(K509="Rob","Robusta",K509="Exc","Excelsa",K509="Ara","Arabica",K509="Lib","Liberica")</f>
        <v>Robusta</v>
      </c>
      <c r="Q509" t="str" cm="1">
        <f t="array" ref="Q509">_xlfn.IFS(L509="M","Medium",L509="L","Light",L509="D","Dark")</f>
        <v>Dark</v>
      </c>
      <c r="R509" t="str">
        <f>_xlfn.XLOOKUP(Orders[[#This Row],[Customer ID]],customers!$A$1:$A$1001,customers!$I$1:$I$1001)</f>
        <v>Yes</v>
      </c>
    </row>
    <row r="510" spans="1:18" x14ac:dyDescent="0.35">
      <c r="A510" s="2" t="s">
        <v>4098</v>
      </c>
      <c r="B510" s="4">
        <v>44331</v>
      </c>
      <c r="C510" s="23">
        <f>Orders[[#This Row],[Order Date]]</f>
        <v>44331</v>
      </c>
      <c r="D510" s="2">
        <f>YEAR(Orders[[#This Row],[Order Date]])</f>
        <v>2021</v>
      </c>
      <c r="E510" s="2" t="s">
        <v>4099</v>
      </c>
      <c r="F510" t="s">
        <v>6150</v>
      </c>
      <c r="G510" s="20">
        <v>1</v>
      </c>
      <c r="H510" s="2" t="str">
        <f>INDEX(customers!$A$1:$I$1001,MATCH($E510,customers!$A$1:$A$1001,),MATCH($H$1,customers!$A$1:$I$1,0))</f>
        <v>Jeno Capey</v>
      </c>
      <c r="I510" s="2" t="str">
        <f>IF(INDEX(customers!$A$1:$I$1001,MATCH($E510,customers!$A$1:$A$1001,0),3)=0,"",INDEX(customers!$A$1:$I$1001,MATCH($E510,customers!$A$1:$A$1001,0),3))</f>
        <v>jcapeyhr@bravesites.com</v>
      </c>
      <c r="J510" s="2" t="str">
        <f>_xlfn.XLOOKUP(E510,customers!$A$1:$A$1001,customers!$G$1:$G$1001)</f>
        <v>United States</v>
      </c>
      <c r="K510" t="str">
        <f>INDEX(products!$A$1:$G$49,MATCH($F510,products!$A$1:$A$49,0),MATCH(K$1,products!$A$1:$G$1,0))</f>
        <v>Lib</v>
      </c>
      <c r="L510" t="str">
        <f>INDEX(products!$A$1:$G$49,MATCH($F510,products!$A$1:$A$49,0),MATCH(L$1,products!$A$1:$G$1,0))</f>
        <v>D</v>
      </c>
      <c r="M510" s="5">
        <f>INDEX(products!$A$1:$G$49,MATCH($F510,products!$A$1:$A$49,0),MATCH(M$1,products!$A$1:$G$1,0))</f>
        <v>0.2</v>
      </c>
      <c r="N510" s="7">
        <f>INDEX(products!$A$1:$G$49,MATCH($F510,products!$A$1:$A$49,0),MATCH(N$1,products!$A$1:$G$1,0))</f>
        <v>3.8849999999999998</v>
      </c>
      <c r="O510" s="7">
        <f t="shared" si="7"/>
        <v>3.8849999999999998</v>
      </c>
      <c r="P510" t="str" cm="1">
        <f t="array" ref="P510">_xlfn.IFS(K510="Rob","Robusta",K510="Exc","Excelsa",K510="Ara","Arabica",K510="Lib","Liberica")</f>
        <v>Liberica</v>
      </c>
      <c r="Q510" t="str" cm="1">
        <f t="array" ref="Q510">_xlfn.IFS(L510="M","Medium",L510="L","Light",L510="D","Dark")</f>
        <v>Dark</v>
      </c>
      <c r="R510" t="str">
        <f>_xlfn.XLOOKUP(Orders[[#This Row],[Customer ID]],customers!$A$1:$A$1001,customers!$I$1:$I$1001)</f>
        <v>Yes</v>
      </c>
    </row>
    <row r="511" spans="1:18" x14ac:dyDescent="0.35">
      <c r="A511" s="2" t="s">
        <v>4359</v>
      </c>
      <c r="B511" s="4">
        <v>44637</v>
      </c>
      <c r="C511" s="23">
        <f>Orders[[#This Row],[Order Date]]</f>
        <v>44637</v>
      </c>
      <c r="D511" s="2">
        <f>YEAR(Orders[[#This Row],[Order Date]])</f>
        <v>2022</v>
      </c>
      <c r="E511" s="2" t="s">
        <v>4360</v>
      </c>
      <c r="F511" t="s">
        <v>6164</v>
      </c>
      <c r="G511" s="20">
        <v>2</v>
      </c>
      <c r="H511" s="2" t="str">
        <f>INDEX(customers!$A$1:$I$1001,MATCH($E511,customers!$A$1:$A$1001,),MATCH($H$1,customers!$A$1:$I$1,0))</f>
        <v>Jeno Druitt</v>
      </c>
      <c r="I511" s="2" t="str">
        <f>IF(INDEX(customers!$A$1:$I$1001,MATCH($E511,customers!$A$1:$A$1001,0),3)=0,"",INDEX(customers!$A$1:$I$1001,MATCH($E511,customers!$A$1:$A$1001,0),3))</f>
        <v>jdruittj1@feedburner.com</v>
      </c>
      <c r="J511" s="2" t="str">
        <f>_xlfn.XLOOKUP(E511,customers!$A$1:$A$1001,customers!$G$1:$G$1001)</f>
        <v>United States</v>
      </c>
      <c r="K511" t="str">
        <f>INDEX(products!$A$1:$G$49,MATCH($F511,products!$A$1:$A$49,0),MATCH(K$1,products!$A$1:$G$1,0))</f>
        <v>Lib</v>
      </c>
      <c r="L511" t="str">
        <f>INDEX(products!$A$1:$G$49,MATCH($F511,products!$A$1:$A$49,0),MATCH(L$1,products!$A$1:$G$1,0))</f>
        <v>L</v>
      </c>
      <c r="M511" s="5">
        <f>INDEX(products!$A$1:$G$49,MATCH($F511,products!$A$1:$A$49,0),MATCH(M$1,products!$A$1:$G$1,0))</f>
        <v>2.5</v>
      </c>
      <c r="N511" s="7">
        <f>INDEX(products!$A$1:$G$49,MATCH($F511,products!$A$1:$A$49,0),MATCH(N$1,products!$A$1:$G$1,0))</f>
        <v>36.454999999999998</v>
      </c>
      <c r="O511" s="7">
        <f t="shared" si="7"/>
        <v>72.91</v>
      </c>
      <c r="P511" t="str" cm="1">
        <f t="array" ref="P511">_xlfn.IFS(K511="Rob","Robusta",K511="Exc","Excelsa",K511="Ara","Arabica",K511="Lib","Liberica")</f>
        <v>Liberica</v>
      </c>
      <c r="Q511" t="str" cm="1">
        <f t="array" ref="Q511">_xlfn.IFS(L511="M","Medium",L511="L","Light",L511="D","Dark")</f>
        <v>Light</v>
      </c>
      <c r="R511" t="str">
        <f>_xlfn.XLOOKUP(Orders[[#This Row],[Customer ID]],customers!$A$1:$A$1001,customers!$I$1:$I$1001)</f>
        <v>Yes</v>
      </c>
    </row>
    <row r="512" spans="1:18" x14ac:dyDescent="0.35">
      <c r="A512" s="2" t="s">
        <v>4967</v>
      </c>
      <c r="B512" s="4">
        <v>43545</v>
      </c>
      <c r="C512" s="23">
        <f>Orders[[#This Row],[Order Date]]</f>
        <v>43545</v>
      </c>
      <c r="D512" s="2">
        <f>YEAR(Orders[[#This Row],[Order Date]])</f>
        <v>2019</v>
      </c>
      <c r="E512" s="2" t="s">
        <v>4968</v>
      </c>
      <c r="F512" t="s">
        <v>6160</v>
      </c>
      <c r="G512" s="20">
        <v>6</v>
      </c>
      <c r="H512" s="2" t="str">
        <f>INDEX(customers!$A$1:$I$1001,MATCH($E512,customers!$A$1:$A$1001,),MATCH($H$1,customers!$A$1:$I$1,0))</f>
        <v>Jereme Gippes</v>
      </c>
      <c r="I512" s="2" t="str">
        <f>IF(INDEX(customers!$A$1:$I$1001,MATCH($E512,customers!$A$1:$A$1001,0),3)=0,"",INDEX(customers!$A$1:$I$1001,MATCH($E512,customers!$A$1:$A$1001,0),3))</f>
        <v>jgippesm0@cloudflare.com</v>
      </c>
      <c r="J512" s="2" t="str">
        <f>_xlfn.XLOOKUP(E512,customers!$A$1:$A$1001,customers!$G$1:$G$1001)</f>
        <v>United Kingdom</v>
      </c>
      <c r="K512" t="str">
        <f>INDEX(products!$A$1:$G$49,MATCH($F512,products!$A$1:$A$49,0),MATCH(K$1,products!$A$1:$G$1,0))</f>
        <v>Lib</v>
      </c>
      <c r="L512" t="str">
        <f>INDEX(products!$A$1:$G$49,MATCH($F512,products!$A$1:$A$49,0),MATCH(L$1,products!$A$1:$G$1,0))</f>
        <v>M</v>
      </c>
      <c r="M512" s="5">
        <f>INDEX(products!$A$1:$G$49,MATCH($F512,products!$A$1:$A$49,0),MATCH(M$1,products!$A$1:$G$1,0))</f>
        <v>0.5</v>
      </c>
      <c r="N512" s="7">
        <f>INDEX(products!$A$1:$G$49,MATCH($F512,products!$A$1:$A$49,0),MATCH(N$1,products!$A$1:$G$1,0))</f>
        <v>8.73</v>
      </c>
      <c r="O512" s="7">
        <f t="shared" si="7"/>
        <v>52.38</v>
      </c>
      <c r="P512" t="str" cm="1">
        <f t="array" ref="P512">_xlfn.IFS(K512="Rob","Robusta",K512="Exc","Excelsa",K512="Ara","Arabica",K512="Lib","Liberica")</f>
        <v>Liberica</v>
      </c>
      <c r="Q512" t="str" cm="1">
        <f t="array" ref="Q512">_xlfn.IFS(L512="M","Medium",L512="L","Light",L512="D","Dark")</f>
        <v>Medium</v>
      </c>
      <c r="R512" t="str">
        <f>_xlfn.XLOOKUP(Orders[[#This Row],[Customer ID]],customers!$A$1:$A$1001,customers!$I$1:$I$1001)</f>
        <v>Yes</v>
      </c>
    </row>
    <row r="513" spans="1:18" x14ac:dyDescent="0.35">
      <c r="A513" s="2" t="s">
        <v>4250</v>
      </c>
      <c r="B513" s="4">
        <v>43987</v>
      </c>
      <c r="C513" s="23">
        <f>Orders[[#This Row],[Order Date]]</f>
        <v>43987</v>
      </c>
      <c r="D513" s="2">
        <f>YEAR(Orders[[#This Row],[Order Date]])</f>
        <v>2020</v>
      </c>
      <c r="E513" s="2" t="s">
        <v>4251</v>
      </c>
      <c r="F513" t="s">
        <v>6168</v>
      </c>
      <c r="G513" s="20">
        <v>4</v>
      </c>
      <c r="H513" s="2" t="str">
        <f>INDEX(customers!$A$1:$I$1001,MATCH($E513,customers!$A$1:$A$1001,),MATCH($H$1,customers!$A$1:$I$1,0))</f>
        <v>Jermaine Branchett</v>
      </c>
      <c r="I513" s="2" t="str">
        <f>IF(INDEX(customers!$A$1:$I$1001,MATCH($E513,customers!$A$1:$A$1001,0),3)=0,"",INDEX(customers!$A$1:$I$1001,MATCH($E513,customers!$A$1:$A$1001,0),3))</f>
        <v>jbranchettii@bravesites.com</v>
      </c>
      <c r="J513" s="2" t="str">
        <f>_xlfn.XLOOKUP(E513,customers!$A$1:$A$1001,customers!$G$1:$G$1001)</f>
        <v>United States</v>
      </c>
      <c r="K513" t="str">
        <f>INDEX(products!$A$1:$G$49,MATCH($F513,products!$A$1:$A$49,0),MATCH(K$1,products!$A$1:$G$1,0))</f>
        <v>Ara</v>
      </c>
      <c r="L513" t="str">
        <f>INDEX(products!$A$1:$G$49,MATCH($F513,products!$A$1:$A$49,0),MATCH(L$1,products!$A$1:$G$1,0))</f>
        <v>D</v>
      </c>
      <c r="M513" s="5">
        <f>INDEX(products!$A$1:$G$49,MATCH($F513,products!$A$1:$A$49,0),MATCH(M$1,products!$A$1:$G$1,0))</f>
        <v>2.5</v>
      </c>
      <c r="N513" s="7">
        <f>INDEX(products!$A$1:$G$49,MATCH($F513,products!$A$1:$A$49,0),MATCH(N$1,products!$A$1:$G$1,0))</f>
        <v>22.884999999999998</v>
      </c>
      <c r="O513" s="7">
        <f t="shared" si="7"/>
        <v>91.539999999999992</v>
      </c>
      <c r="P513" t="str" cm="1">
        <f t="array" ref="P513">_xlfn.IFS(K513="Rob","Robusta",K513="Exc","Excelsa",K513="Ara","Arabica",K513="Lib","Liberica")</f>
        <v>Arabica</v>
      </c>
      <c r="Q513" t="str" cm="1">
        <f t="array" ref="Q513">_xlfn.IFS(L513="M","Medium",L513="L","Light",L513="D","Dark")</f>
        <v>Dark</v>
      </c>
      <c r="R513" t="str">
        <f>_xlfn.XLOOKUP(Orders[[#This Row],[Customer ID]],customers!$A$1:$A$1001,customers!$I$1:$I$1001)</f>
        <v>No</v>
      </c>
    </row>
    <row r="514" spans="1:18" x14ac:dyDescent="0.35">
      <c r="A514" s="2" t="s">
        <v>715</v>
      </c>
      <c r="B514" s="4">
        <v>44305</v>
      </c>
      <c r="C514" s="23">
        <f>Orders[[#This Row],[Order Date]]</f>
        <v>44305</v>
      </c>
      <c r="D514" s="2">
        <f>YEAR(Orders[[#This Row],[Order Date]])</f>
        <v>2021</v>
      </c>
      <c r="E514" s="2" t="s">
        <v>716</v>
      </c>
      <c r="F514" t="s">
        <v>6162</v>
      </c>
      <c r="G514" s="20">
        <v>3</v>
      </c>
      <c r="H514" s="2" t="str">
        <f>INDEX(customers!$A$1:$I$1001,MATCH($E514,customers!$A$1:$A$1001,),MATCH($H$1,customers!$A$1:$I$1,0))</f>
        <v>Jessica McNess</v>
      </c>
      <c r="I514" s="2" t="str">
        <f>IF(INDEX(customers!$A$1:$I$1001,MATCH($E514,customers!$A$1:$A$1001,0),3)=0,"",INDEX(customers!$A$1:$I$1001,MATCH($E514,customers!$A$1:$A$1001,0),3))</f>
        <v/>
      </c>
      <c r="J514" s="2" t="str">
        <f>_xlfn.XLOOKUP(E514,customers!$A$1:$A$1001,customers!$G$1:$G$1001)</f>
        <v>United States</v>
      </c>
      <c r="K514" t="str">
        <f>INDEX(products!$A$1:$G$49,MATCH($F514,products!$A$1:$A$49,0),MATCH(K$1,products!$A$1:$G$1,0))</f>
        <v>Lib</v>
      </c>
      <c r="L514" t="str">
        <f>INDEX(products!$A$1:$G$49,MATCH($F514,products!$A$1:$A$49,0),MATCH(L$1,products!$A$1:$G$1,0))</f>
        <v>M</v>
      </c>
      <c r="M514" s="5">
        <f>INDEX(products!$A$1:$G$49,MATCH($F514,products!$A$1:$A$49,0),MATCH(M$1,products!$A$1:$G$1,0))</f>
        <v>1</v>
      </c>
      <c r="N514" s="7">
        <f>INDEX(products!$A$1:$G$49,MATCH($F514,products!$A$1:$A$49,0),MATCH(N$1,products!$A$1:$G$1,0))</f>
        <v>14.55</v>
      </c>
      <c r="O514" s="7">
        <f t="shared" ref="O514:O577" si="8">N514*G514</f>
        <v>43.650000000000006</v>
      </c>
      <c r="P514" t="str" cm="1">
        <f t="array" ref="P514">_xlfn.IFS(K514="Rob","Robusta",K514="Exc","Excelsa",K514="Ara","Arabica",K514="Lib","Liberica")</f>
        <v>Liberica</v>
      </c>
      <c r="Q514" t="str" cm="1">
        <f t="array" ref="Q514">_xlfn.IFS(L514="M","Medium",L514="L","Light",L514="D","Dark")</f>
        <v>Medium</v>
      </c>
      <c r="R514" t="str">
        <f>_xlfn.XLOOKUP(Orders[[#This Row],[Customer ID]],customers!$A$1:$A$1001,customers!$I$1:$I$1001)</f>
        <v>No</v>
      </c>
    </row>
    <row r="515" spans="1:18" x14ac:dyDescent="0.35">
      <c r="A515" s="2" t="s">
        <v>3823</v>
      </c>
      <c r="B515" s="4">
        <v>43950</v>
      </c>
      <c r="C515" s="23">
        <f>Orders[[#This Row],[Order Date]]</f>
        <v>43950</v>
      </c>
      <c r="D515" s="2">
        <f>YEAR(Orders[[#This Row],[Order Date]])</f>
        <v>2020</v>
      </c>
      <c r="E515" s="2" t="s">
        <v>3824</v>
      </c>
      <c r="F515" t="s">
        <v>6166</v>
      </c>
      <c r="G515" s="20">
        <v>2</v>
      </c>
      <c r="H515" s="2" t="str">
        <f>INDEX(customers!$A$1:$I$1001,MATCH($E515,customers!$A$1:$A$1001,),MATCH($H$1,customers!$A$1:$I$1,0))</f>
        <v>Jewelle Shenton</v>
      </c>
      <c r="I515" s="2" t="str">
        <f>IF(INDEX(customers!$A$1:$I$1001,MATCH($E515,customers!$A$1:$A$1001,0),3)=0,"",INDEX(customers!$A$1:$I$1001,MATCH($E515,customers!$A$1:$A$1001,0),3))</f>
        <v>jshentonge@google.com.hk</v>
      </c>
      <c r="J515" s="2" t="str">
        <f>_xlfn.XLOOKUP(E515,customers!$A$1:$A$1001,customers!$G$1:$G$1001)</f>
        <v>United States</v>
      </c>
      <c r="K515" t="str">
        <f>INDEX(products!$A$1:$G$49,MATCH($F515,products!$A$1:$A$49,0),MATCH(K$1,products!$A$1:$G$1,0))</f>
        <v>Exc</v>
      </c>
      <c r="L515" t="str">
        <f>INDEX(products!$A$1:$G$49,MATCH($F515,products!$A$1:$A$49,0),MATCH(L$1,products!$A$1:$G$1,0))</f>
        <v>M</v>
      </c>
      <c r="M515" s="5">
        <f>INDEX(products!$A$1:$G$49,MATCH($F515,products!$A$1:$A$49,0),MATCH(M$1,products!$A$1:$G$1,0))</f>
        <v>2.5</v>
      </c>
      <c r="N515" s="7">
        <f>INDEX(products!$A$1:$G$49,MATCH($F515,products!$A$1:$A$49,0),MATCH(N$1,products!$A$1:$G$1,0))</f>
        <v>31.624999999999996</v>
      </c>
      <c r="O515" s="7">
        <f t="shared" si="8"/>
        <v>63.249999999999993</v>
      </c>
      <c r="P515" t="str" cm="1">
        <f t="array" ref="P515">_xlfn.IFS(K515="Rob","Robusta",K515="Exc","Excelsa",K515="Ara","Arabica",K515="Lib","Liberica")</f>
        <v>Excelsa</v>
      </c>
      <c r="Q515" t="str" cm="1">
        <f t="array" ref="Q515">_xlfn.IFS(L515="M","Medium",L515="L","Light",L515="D","Dark")</f>
        <v>Medium</v>
      </c>
      <c r="R515" t="str">
        <f>_xlfn.XLOOKUP(Orders[[#This Row],[Customer ID]],customers!$A$1:$A$1001,customers!$I$1:$I$1001)</f>
        <v>Yes</v>
      </c>
    </row>
    <row r="516" spans="1:18" x14ac:dyDescent="0.35">
      <c r="A516" s="2" t="s">
        <v>5872</v>
      </c>
      <c r="B516" s="4">
        <v>44439</v>
      </c>
      <c r="C516" s="23">
        <f>Orders[[#This Row],[Order Date]]</f>
        <v>44439</v>
      </c>
      <c r="D516" s="2">
        <f>YEAR(Orders[[#This Row],[Order Date]])</f>
        <v>2021</v>
      </c>
      <c r="E516" s="2" t="s">
        <v>5873</v>
      </c>
      <c r="F516" t="s">
        <v>6155</v>
      </c>
      <c r="G516" s="20">
        <v>2</v>
      </c>
      <c r="H516" s="2" t="str">
        <f>INDEX(customers!$A$1:$I$1001,MATCH($E516,customers!$A$1:$A$1001,),MATCH($H$1,customers!$A$1:$I$1,0))</f>
        <v>Jilly Dreng</v>
      </c>
      <c r="I516" s="2" t="str">
        <f>IF(INDEX(customers!$A$1:$I$1001,MATCH($E516,customers!$A$1:$A$1001,0),3)=0,"",INDEX(customers!$A$1:$I$1001,MATCH($E516,customers!$A$1:$A$1001,0),3))</f>
        <v>jdrengqg@uiuc.edu</v>
      </c>
      <c r="J516" s="2" t="str">
        <f>_xlfn.XLOOKUP(E516,customers!$A$1:$A$1001,customers!$G$1:$G$1001)</f>
        <v>Ireland</v>
      </c>
      <c r="K516" t="str">
        <f>INDEX(products!$A$1:$G$49,MATCH($F516,products!$A$1:$A$49,0),MATCH(K$1,products!$A$1:$G$1,0))</f>
        <v>Ara</v>
      </c>
      <c r="L516" t="str">
        <f>INDEX(products!$A$1:$G$49,MATCH($F516,products!$A$1:$A$49,0),MATCH(L$1,products!$A$1:$G$1,0))</f>
        <v>M</v>
      </c>
      <c r="M516" s="5">
        <f>INDEX(products!$A$1:$G$49,MATCH($F516,products!$A$1:$A$49,0),MATCH(M$1,products!$A$1:$G$1,0))</f>
        <v>1</v>
      </c>
      <c r="N516" s="7">
        <f>INDEX(products!$A$1:$G$49,MATCH($F516,products!$A$1:$A$49,0),MATCH(N$1,products!$A$1:$G$1,0))</f>
        <v>11.25</v>
      </c>
      <c r="O516" s="7">
        <f t="shared" si="8"/>
        <v>22.5</v>
      </c>
      <c r="P516" t="str" cm="1">
        <f t="array" ref="P516">_xlfn.IFS(K516="Rob","Robusta",K516="Exc","Excelsa",K516="Ara","Arabica",K516="Lib","Liberica")</f>
        <v>Arabica</v>
      </c>
      <c r="Q516" t="str" cm="1">
        <f t="array" ref="Q516">_xlfn.IFS(L516="M","Medium",L516="L","Light",L516="D","Dark")</f>
        <v>Medium</v>
      </c>
      <c r="R516" t="str">
        <f>_xlfn.XLOOKUP(Orders[[#This Row],[Customer ID]],customers!$A$1:$A$1001,customers!$I$1:$I$1001)</f>
        <v>Yes</v>
      </c>
    </row>
    <row r="517" spans="1:18" x14ac:dyDescent="0.35">
      <c r="A517" s="2" t="s">
        <v>4753</v>
      </c>
      <c r="B517" s="4">
        <v>44726</v>
      </c>
      <c r="C517" s="23">
        <f>Orders[[#This Row],[Order Date]]</f>
        <v>44726</v>
      </c>
      <c r="D517" s="2">
        <f>YEAR(Orders[[#This Row],[Order Date]])</f>
        <v>2022</v>
      </c>
      <c r="E517" s="2" t="s">
        <v>4434</v>
      </c>
      <c r="F517" t="s">
        <v>6154</v>
      </c>
      <c r="G517" s="20">
        <v>6</v>
      </c>
      <c r="H517" s="2" t="str">
        <f>INDEX(customers!$A$1:$I$1001,MATCH($E517,customers!$A$1:$A$1001,),MATCH($H$1,customers!$A$1:$I$1,0))</f>
        <v>Jimmy Dymoke</v>
      </c>
      <c r="I517" s="2" t="str">
        <f>IF(INDEX(customers!$A$1:$I$1001,MATCH($E517,customers!$A$1:$A$1001,0),3)=0,"",INDEX(customers!$A$1:$I$1001,MATCH($E517,customers!$A$1:$A$1001,0),3))</f>
        <v>jdymokeje@prnewswire.com</v>
      </c>
      <c r="J517" s="2" t="str">
        <f>_xlfn.XLOOKUP(E517,customers!$A$1:$A$1001,customers!$G$1:$G$1001)</f>
        <v>Ireland</v>
      </c>
      <c r="K517" t="str">
        <f>INDEX(products!$A$1:$G$49,MATCH($F517,products!$A$1:$A$49,0),MATCH(K$1,products!$A$1:$G$1,0))</f>
        <v>Ara</v>
      </c>
      <c r="L517" t="str">
        <f>INDEX(products!$A$1:$G$49,MATCH($F517,products!$A$1:$A$49,0),MATCH(L$1,products!$A$1:$G$1,0))</f>
        <v>D</v>
      </c>
      <c r="M517" s="5">
        <f>INDEX(products!$A$1:$G$49,MATCH($F517,products!$A$1:$A$49,0),MATCH(M$1,products!$A$1:$G$1,0))</f>
        <v>0.2</v>
      </c>
      <c r="N517" s="7">
        <f>INDEX(products!$A$1:$G$49,MATCH($F517,products!$A$1:$A$49,0),MATCH(N$1,products!$A$1:$G$1,0))</f>
        <v>2.9849999999999999</v>
      </c>
      <c r="O517" s="7">
        <f t="shared" si="8"/>
        <v>17.91</v>
      </c>
      <c r="P517" t="str" cm="1">
        <f t="array" ref="P517">_xlfn.IFS(K517="Rob","Robusta",K517="Exc","Excelsa",K517="Ara","Arabica",K517="Lib","Liberica")</f>
        <v>Arabica</v>
      </c>
      <c r="Q517" t="str" cm="1">
        <f t="array" ref="Q517">_xlfn.IFS(L517="M","Medium",L517="L","Light",L517="D","Dark")</f>
        <v>Dark</v>
      </c>
      <c r="R517" t="str">
        <f>_xlfn.XLOOKUP(Orders[[#This Row],[Customer ID]],customers!$A$1:$A$1001,customers!$I$1:$I$1001)</f>
        <v>No</v>
      </c>
    </row>
    <row r="518" spans="1:18" x14ac:dyDescent="0.35">
      <c r="A518" s="2" t="s">
        <v>4533</v>
      </c>
      <c r="B518" s="4">
        <v>44612</v>
      </c>
      <c r="C518" s="23">
        <f>Orders[[#This Row],[Order Date]]</f>
        <v>44612</v>
      </c>
      <c r="D518" s="2">
        <f>YEAR(Orders[[#This Row],[Order Date]])</f>
        <v>2022</v>
      </c>
      <c r="E518" s="2" t="s">
        <v>4434</v>
      </c>
      <c r="F518" t="s">
        <v>6179</v>
      </c>
      <c r="G518" s="20">
        <v>3</v>
      </c>
      <c r="H518" s="2" t="str">
        <f>INDEX(customers!$A$1:$I$1001,MATCH($E518,customers!$A$1:$A$1001,),MATCH($H$1,customers!$A$1:$I$1,0))</f>
        <v>Jimmy Dymoke</v>
      </c>
      <c r="I518" s="2" t="str">
        <f>IF(INDEX(customers!$A$1:$I$1001,MATCH($E518,customers!$A$1:$A$1001,0),3)=0,"",INDEX(customers!$A$1:$I$1001,MATCH($E518,customers!$A$1:$A$1001,0),3))</f>
        <v>jdymokeje@prnewswire.com</v>
      </c>
      <c r="J518" s="2" t="str">
        <f>_xlfn.XLOOKUP(E518,customers!$A$1:$A$1001,customers!$G$1:$G$1001)</f>
        <v>Ireland</v>
      </c>
      <c r="K518" t="str">
        <f>INDEX(products!$A$1:$G$49,MATCH($F518,products!$A$1:$A$49,0),MATCH(K$1,products!$A$1:$G$1,0))</f>
        <v>Rob</v>
      </c>
      <c r="L518" t="str">
        <f>INDEX(products!$A$1:$G$49,MATCH($F518,products!$A$1:$A$49,0),MATCH(L$1,products!$A$1:$G$1,0))</f>
        <v>L</v>
      </c>
      <c r="M518" s="5">
        <f>INDEX(products!$A$1:$G$49,MATCH($F518,products!$A$1:$A$49,0),MATCH(M$1,products!$A$1:$G$1,0))</f>
        <v>1</v>
      </c>
      <c r="N518" s="7">
        <f>INDEX(products!$A$1:$G$49,MATCH($F518,products!$A$1:$A$49,0),MATCH(N$1,products!$A$1:$G$1,0))</f>
        <v>11.95</v>
      </c>
      <c r="O518" s="7">
        <f t="shared" si="8"/>
        <v>35.849999999999994</v>
      </c>
      <c r="P518" t="str" cm="1">
        <f t="array" ref="P518">_xlfn.IFS(K518="Rob","Robusta",K518="Exc","Excelsa",K518="Ara","Arabica",K518="Lib","Liberica")</f>
        <v>Robusta</v>
      </c>
      <c r="Q518" t="str" cm="1">
        <f t="array" ref="Q518">_xlfn.IFS(L518="M","Medium",L518="L","Light",L518="D","Dark")</f>
        <v>Light</v>
      </c>
      <c r="R518" t="str">
        <f>_xlfn.XLOOKUP(Orders[[#This Row],[Customer ID]],customers!$A$1:$A$1001,customers!$I$1:$I$1001)</f>
        <v>No</v>
      </c>
    </row>
    <row r="519" spans="1:18" x14ac:dyDescent="0.35">
      <c r="A519" s="2" t="s">
        <v>4665</v>
      </c>
      <c r="B519" s="4">
        <v>44433</v>
      </c>
      <c r="C519" s="23">
        <f>Orders[[#This Row],[Order Date]]</f>
        <v>44433</v>
      </c>
      <c r="D519" s="2">
        <f>YEAR(Orders[[#This Row],[Order Date]])</f>
        <v>2021</v>
      </c>
      <c r="E519" s="2" t="s">
        <v>4434</v>
      </c>
      <c r="F519" t="s">
        <v>6153</v>
      </c>
      <c r="G519" s="20">
        <v>5</v>
      </c>
      <c r="H519" s="2" t="str">
        <f>INDEX(customers!$A$1:$I$1001,MATCH($E519,customers!$A$1:$A$1001,),MATCH($H$1,customers!$A$1:$I$1,0))</f>
        <v>Jimmy Dymoke</v>
      </c>
      <c r="I519" s="2" t="str">
        <f>IF(INDEX(customers!$A$1:$I$1001,MATCH($E519,customers!$A$1:$A$1001,0),3)=0,"",INDEX(customers!$A$1:$I$1001,MATCH($E519,customers!$A$1:$A$1001,0),3))</f>
        <v>jdymokeje@prnewswire.com</v>
      </c>
      <c r="J519" s="2" t="str">
        <f>_xlfn.XLOOKUP(E519,customers!$A$1:$A$1001,customers!$G$1:$G$1001)</f>
        <v>Ireland</v>
      </c>
      <c r="K519" t="str">
        <f>INDEX(products!$A$1:$G$49,MATCH($F519,products!$A$1:$A$49,0),MATCH(K$1,products!$A$1:$G$1,0))</f>
        <v>Exc</v>
      </c>
      <c r="L519" t="str">
        <f>INDEX(products!$A$1:$G$49,MATCH($F519,products!$A$1:$A$49,0),MATCH(L$1,products!$A$1:$G$1,0))</f>
        <v>D</v>
      </c>
      <c r="M519" s="5">
        <f>INDEX(products!$A$1:$G$49,MATCH($F519,products!$A$1:$A$49,0),MATCH(M$1,products!$A$1:$G$1,0))</f>
        <v>0.2</v>
      </c>
      <c r="N519" s="7">
        <f>INDEX(products!$A$1:$G$49,MATCH($F519,products!$A$1:$A$49,0),MATCH(N$1,products!$A$1:$G$1,0))</f>
        <v>3.645</v>
      </c>
      <c r="O519" s="7">
        <f t="shared" si="8"/>
        <v>18.225000000000001</v>
      </c>
      <c r="P519" t="str" cm="1">
        <f t="array" ref="P519">_xlfn.IFS(K519="Rob","Robusta",K519="Exc","Excelsa",K519="Ara","Arabica",K519="Lib","Liberica")</f>
        <v>Excelsa</v>
      </c>
      <c r="Q519" t="str" cm="1">
        <f t="array" ref="Q519">_xlfn.IFS(L519="M","Medium",L519="L","Light",L519="D","Dark")</f>
        <v>Dark</v>
      </c>
      <c r="R519" t="str">
        <f>_xlfn.XLOOKUP(Orders[[#This Row],[Customer ID]],customers!$A$1:$A$1001,customers!$I$1:$I$1001)</f>
        <v>No</v>
      </c>
    </row>
    <row r="520" spans="1:18" x14ac:dyDescent="0.35">
      <c r="A520" s="2" t="s">
        <v>4393</v>
      </c>
      <c r="B520" s="4">
        <v>44227</v>
      </c>
      <c r="C520" s="23">
        <f>Orders[[#This Row],[Order Date]]</f>
        <v>44227</v>
      </c>
      <c r="D520" s="2">
        <f>YEAR(Orders[[#This Row],[Order Date]])</f>
        <v>2021</v>
      </c>
      <c r="E520" s="2" t="s">
        <v>4434</v>
      </c>
      <c r="F520" t="s">
        <v>6155</v>
      </c>
      <c r="G520" s="20">
        <v>2</v>
      </c>
      <c r="H520" s="2" t="str">
        <f>INDEX(customers!$A$1:$I$1001,MATCH($E520,customers!$A$1:$A$1001,),MATCH($H$1,customers!$A$1:$I$1,0))</f>
        <v>Jimmy Dymoke</v>
      </c>
      <c r="I520" s="2" t="str">
        <f>IF(INDEX(customers!$A$1:$I$1001,MATCH($E520,customers!$A$1:$A$1001,0),3)=0,"",INDEX(customers!$A$1:$I$1001,MATCH($E520,customers!$A$1:$A$1001,0),3))</f>
        <v>jdymokeje@prnewswire.com</v>
      </c>
      <c r="J520" s="2" t="str">
        <f>_xlfn.XLOOKUP(E520,customers!$A$1:$A$1001,customers!$G$1:$G$1001)</f>
        <v>Ireland</v>
      </c>
      <c r="K520" t="str">
        <f>INDEX(products!$A$1:$G$49,MATCH($F520,products!$A$1:$A$49,0),MATCH(K$1,products!$A$1:$G$1,0))</f>
        <v>Ara</v>
      </c>
      <c r="L520" t="str">
        <f>INDEX(products!$A$1:$G$49,MATCH($F520,products!$A$1:$A$49,0),MATCH(L$1,products!$A$1:$G$1,0))</f>
        <v>M</v>
      </c>
      <c r="M520" s="5">
        <f>INDEX(products!$A$1:$G$49,MATCH($F520,products!$A$1:$A$49,0),MATCH(M$1,products!$A$1:$G$1,0))</f>
        <v>1</v>
      </c>
      <c r="N520" s="7">
        <f>INDEX(products!$A$1:$G$49,MATCH($F520,products!$A$1:$A$49,0),MATCH(N$1,products!$A$1:$G$1,0))</f>
        <v>11.25</v>
      </c>
      <c r="O520" s="7">
        <f t="shared" si="8"/>
        <v>22.5</v>
      </c>
      <c r="P520" t="str" cm="1">
        <f t="array" ref="P520">_xlfn.IFS(K520="Rob","Robusta",K520="Exc","Excelsa",K520="Ara","Arabica",K520="Lib","Liberica")</f>
        <v>Arabica</v>
      </c>
      <c r="Q520" t="str" cm="1">
        <f t="array" ref="Q520">_xlfn.IFS(L520="M","Medium",L520="L","Light",L520="D","Dark")</f>
        <v>Medium</v>
      </c>
      <c r="R520" t="str">
        <f>_xlfn.XLOOKUP(Orders[[#This Row],[Customer ID]],customers!$A$1:$A$1001,customers!$I$1:$I$1001)</f>
        <v>No</v>
      </c>
    </row>
    <row r="521" spans="1:18" x14ac:dyDescent="0.35">
      <c r="A521" s="2" t="s">
        <v>4433</v>
      </c>
      <c r="B521" s="4">
        <v>43830</v>
      </c>
      <c r="C521" s="23">
        <f>Orders[[#This Row],[Order Date]]</f>
        <v>43830</v>
      </c>
      <c r="D521" s="2">
        <f>YEAR(Orders[[#This Row],[Order Date]])</f>
        <v>2019</v>
      </c>
      <c r="E521" s="2" t="s">
        <v>4434</v>
      </c>
      <c r="F521" t="s">
        <v>6143</v>
      </c>
      <c r="G521" s="20">
        <v>2</v>
      </c>
      <c r="H521" s="2" t="str">
        <f>INDEX(customers!$A$1:$I$1001,MATCH($E521,customers!$A$1:$A$1001,),MATCH($H$1,customers!$A$1:$I$1,0))</f>
        <v>Jimmy Dymoke</v>
      </c>
      <c r="I521" s="2" t="str">
        <f>IF(INDEX(customers!$A$1:$I$1001,MATCH($E521,customers!$A$1:$A$1001,0),3)=0,"",INDEX(customers!$A$1:$I$1001,MATCH($E521,customers!$A$1:$A$1001,0),3))</f>
        <v>jdymokeje@prnewswire.com</v>
      </c>
      <c r="J521" s="2" t="str">
        <f>_xlfn.XLOOKUP(E521,customers!$A$1:$A$1001,customers!$G$1:$G$1001)</f>
        <v>Ireland</v>
      </c>
      <c r="K521" t="str">
        <f>INDEX(products!$A$1:$G$49,MATCH($F521,products!$A$1:$A$49,0),MATCH(K$1,products!$A$1:$G$1,0))</f>
        <v>Lib</v>
      </c>
      <c r="L521" t="str">
        <f>INDEX(products!$A$1:$G$49,MATCH($F521,products!$A$1:$A$49,0),MATCH(L$1,products!$A$1:$G$1,0))</f>
        <v>D</v>
      </c>
      <c r="M521" s="5">
        <f>INDEX(products!$A$1:$G$49,MATCH($F521,products!$A$1:$A$49,0),MATCH(M$1,products!$A$1:$G$1,0))</f>
        <v>1</v>
      </c>
      <c r="N521" s="7">
        <f>INDEX(products!$A$1:$G$49,MATCH($F521,products!$A$1:$A$49,0),MATCH(N$1,products!$A$1:$G$1,0))</f>
        <v>12.95</v>
      </c>
      <c r="O521" s="7">
        <f t="shared" si="8"/>
        <v>25.9</v>
      </c>
      <c r="P521" t="str" cm="1">
        <f t="array" ref="P521">_xlfn.IFS(K521="Rob","Robusta",K521="Exc","Excelsa",K521="Ara","Arabica",K521="Lib","Liberica")</f>
        <v>Liberica</v>
      </c>
      <c r="Q521" t="str" cm="1">
        <f t="array" ref="Q521">_xlfn.IFS(L521="M","Medium",L521="L","Light",L521="D","Dark")</f>
        <v>Dark</v>
      </c>
      <c r="R521" t="str">
        <f>_xlfn.XLOOKUP(Orders[[#This Row],[Customer ID]],customers!$A$1:$A$1001,customers!$I$1:$I$1001)</f>
        <v>No</v>
      </c>
    </row>
    <row r="522" spans="1:18" x14ac:dyDescent="0.35">
      <c r="A522" s="2" t="s">
        <v>5333</v>
      </c>
      <c r="B522" s="4">
        <v>43889</v>
      </c>
      <c r="C522" s="23">
        <f>Orders[[#This Row],[Order Date]]</f>
        <v>43889</v>
      </c>
      <c r="D522" s="2">
        <f>YEAR(Orders[[#This Row],[Order Date]])</f>
        <v>2020</v>
      </c>
      <c r="E522" s="2" t="s">
        <v>5334</v>
      </c>
      <c r="F522" t="s">
        <v>6142</v>
      </c>
      <c r="G522" s="20">
        <v>5</v>
      </c>
      <c r="H522" s="2" t="str">
        <f>INDEX(customers!$A$1:$I$1001,MATCH($E522,customers!$A$1:$A$1001,),MATCH($H$1,customers!$A$1:$I$1,0))</f>
        <v>Joceline Reddoch</v>
      </c>
      <c r="I522" s="2" t="str">
        <f>IF(INDEX(customers!$A$1:$I$1001,MATCH($E522,customers!$A$1:$A$1001,0),3)=0,"",INDEX(customers!$A$1:$I$1001,MATCH($E522,customers!$A$1:$A$1001,0),3))</f>
        <v>jreddochnt@sun.com</v>
      </c>
      <c r="J522" s="2" t="str">
        <f>_xlfn.XLOOKUP(E522,customers!$A$1:$A$1001,customers!$G$1:$G$1001)</f>
        <v>United States</v>
      </c>
      <c r="K522" t="str">
        <f>INDEX(products!$A$1:$G$49,MATCH($F522,products!$A$1:$A$49,0),MATCH(K$1,products!$A$1:$G$1,0))</f>
        <v>Rob</v>
      </c>
      <c r="L522" t="str">
        <f>INDEX(products!$A$1:$G$49,MATCH($F522,products!$A$1:$A$49,0),MATCH(L$1,products!$A$1:$G$1,0))</f>
        <v>L</v>
      </c>
      <c r="M522" s="5">
        <f>INDEX(products!$A$1:$G$49,MATCH($F522,products!$A$1:$A$49,0),MATCH(M$1,products!$A$1:$G$1,0))</f>
        <v>2.5</v>
      </c>
      <c r="N522" s="7">
        <f>INDEX(products!$A$1:$G$49,MATCH($F522,products!$A$1:$A$49,0),MATCH(N$1,products!$A$1:$G$1,0))</f>
        <v>27.484999999999996</v>
      </c>
      <c r="O522" s="7">
        <f t="shared" si="8"/>
        <v>137.42499999999998</v>
      </c>
      <c r="P522" t="str" cm="1">
        <f t="array" ref="P522">_xlfn.IFS(K522="Rob","Robusta",K522="Exc","Excelsa",K522="Ara","Arabica",K522="Lib","Liberica")</f>
        <v>Robusta</v>
      </c>
      <c r="Q522" t="str" cm="1">
        <f t="array" ref="Q522">_xlfn.IFS(L522="M","Medium",L522="L","Light",L522="D","Dark")</f>
        <v>Light</v>
      </c>
      <c r="R522" t="str">
        <f>_xlfn.XLOOKUP(Orders[[#This Row],[Customer ID]],customers!$A$1:$A$1001,customers!$I$1:$I$1001)</f>
        <v>No</v>
      </c>
    </row>
    <row r="523" spans="1:18" x14ac:dyDescent="0.35">
      <c r="A523" s="2" t="s">
        <v>1355</v>
      </c>
      <c r="B523" s="4">
        <v>44473</v>
      </c>
      <c r="C523" s="23">
        <f>Orders[[#This Row],[Order Date]]</f>
        <v>44473</v>
      </c>
      <c r="D523" s="2">
        <f>YEAR(Orders[[#This Row],[Order Date]])</f>
        <v>2021</v>
      </c>
      <c r="E523" s="2" t="s">
        <v>1356</v>
      </c>
      <c r="F523" t="s">
        <v>6168</v>
      </c>
      <c r="G523" s="20">
        <v>5</v>
      </c>
      <c r="H523" s="2" t="str">
        <f>INDEX(customers!$A$1:$I$1001,MATCH($E523,customers!$A$1:$A$1001,),MATCH($H$1,customers!$A$1:$I$1,0))</f>
        <v>Jocko Pray</v>
      </c>
      <c r="I523" s="2" t="str">
        <f>IF(INDEX(customers!$A$1:$I$1001,MATCH($E523,customers!$A$1:$A$1001,0),3)=0,"",INDEX(customers!$A$1:$I$1001,MATCH($E523,customers!$A$1:$A$1001,0),3))</f>
        <v>jpray4a@youtube.com</v>
      </c>
      <c r="J523" s="2" t="str">
        <f>_xlfn.XLOOKUP(E523,customers!$A$1:$A$1001,customers!$G$1:$G$1001)</f>
        <v>United States</v>
      </c>
      <c r="K523" t="str">
        <f>INDEX(products!$A$1:$G$49,MATCH($F523,products!$A$1:$A$49,0),MATCH(K$1,products!$A$1:$G$1,0))</f>
        <v>Ara</v>
      </c>
      <c r="L523" t="str">
        <f>INDEX(products!$A$1:$G$49,MATCH($F523,products!$A$1:$A$49,0),MATCH(L$1,products!$A$1:$G$1,0))</f>
        <v>D</v>
      </c>
      <c r="M523" s="5">
        <f>INDEX(products!$A$1:$G$49,MATCH($F523,products!$A$1:$A$49,0),MATCH(M$1,products!$A$1:$G$1,0))</f>
        <v>2.5</v>
      </c>
      <c r="N523" s="7">
        <f>INDEX(products!$A$1:$G$49,MATCH($F523,products!$A$1:$A$49,0),MATCH(N$1,products!$A$1:$G$1,0))</f>
        <v>22.884999999999998</v>
      </c>
      <c r="O523" s="7">
        <f t="shared" si="8"/>
        <v>114.42499999999998</v>
      </c>
      <c r="P523" t="str" cm="1">
        <f t="array" ref="P523">_xlfn.IFS(K523="Rob","Robusta",K523="Exc","Excelsa",K523="Ara","Arabica",K523="Lib","Liberica")</f>
        <v>Arabica</v>
      </c>
      <c r="Q523" t="str" cm="1">
        <f t="array" ref="Q523">_xlfn.IFS(L523="M","Medium",L523="L","Light",L523="D","Dark")</f>
        <v>Dark</v>
      </c>
      <c r="R523" t="str">
        <f>_xlfn.XLOOKUP(Orders[[#This Row],[Customer ID]],customers!$A$1:$A$1001,customers!$I$1:$I$1001)</f>
        <v>No</v>
      </c>
    </row>
    <row r="524" spans="1:18" x14ac:dyDescent="0.35">
      <c r="A524" s="2" t="s">
        <v>2487</v>
      </c>
      <c r="B524" s="4">
        <v>43876</v>
      </c>
      <c r="C524" s="23">
        <f>Orders[[#This Row],[Order Date]]</f>
        <v>43876</v>
      </c>
      <c r="D524" s="2">
        <f>YEAR(Orders[[#This Row],[Order Date]])</f>
        <v>2020</v>
      </c>
      <c r="E524" s="2" t="s">
        <v>2488</v>
      </c>
      <c r="F524" t="s">
        <v>6175</v>
      </c>
      <c r="G524" s="20">
        <v>6</v>
      </c>
      <c r="H524" s="2" t="str">
        <f>INDEX(customers!$A$1:$I$1001,MATCH($E524,customers!$A$1:$A$1001,),MATCH($H$1,customers!$A$1:$I$1,0))</f>
        <v>Jodee Caldicott</v>
      </c>
      <c r="I524" s="2" t="str">
        <f>IF(INDEX(customers!$A$1:$I$1001,MATCH($E524,customers!$A$1:$A$1001,0),3)=0,"",INDEX(customers!$A$1:$I$1001,MATCH($E524,customers!$A$1:$A$1001,0),3))</f>
        <v>jcaldicott9u@usda.gov</v>
      </c>
      <c r="J524" s="2" t="str">
        <f>_xlfn.XLOOKUP(E524,customers!$A$1:$A$1001,customers!$G$1:$G$1001)</f>
        <v>United States</v>
      </c>
      <c r="K524" t="str">
        <f>INDEX(products!$A$1:$G$49,MATCH($F524,products!$A$1:$A$49,0),MATCH(K$1,products!$A$1:$G$1,0))</f>
        <v>Ara</v>
      </c>
      <c r="L524" t="str">
        <f>INDEX(products!$A$1:$G$49,MATCH($F524,products!$A$1:$A$49,0),MATCH(L$1,products!$A$1:$G$1,0))</f>
        <v>M</v>
      </c>
      <c r="M524" s="5">
        <f>INDEX(products!$A$1:$G$49,MATCH($F524,products!$A$1:$A$49,0),MATCH(M$1,products!$A$1:$G$1,0))</f>
        <v>2.5</v>
      </c>
      <c r="N524" s="7">
        <f>INDEX(products!$A$1:$G$49,MATCH($F524,products!$A$1:$A$49,0),MATCH(N$1,products!$A$1:$G$1,0))</f>
        <v>25.874999999999996</v>
      </c>
      <c r="O524" s="7">
        <f t="shared" si="8"/>
        <v>155.24999999999997</v>
      </c>
      <c r="P524" t="str" cm="1">
        <f t="array" ref="P524">_xlfn.IFS(K524="Rob","Robusta",K524="Exc","Excelsa",K524="Ara","Arabica",K524="Lib","Liberica")</f>
        <v>Arabica</v>
      </c>
      <c r="Q524" t="str" cm="1">
        <f t="array" ref="Q524">_xlfn.IFS(L524="M","Medium",L524="L","Light",L524="D","Dark")</f>
        <v>Medium</v>
      </c>
      <c r="R524" t="str">
        <f>_xlfn.XLOOKUP(Orders[[#This Row],[Customer ID]],customers!$A$1:$A$1001,customers!$I$1:$I$1001)</f>
        <v>No</v>
      </c>
    </row>
    <row r="525" spans="1:18" x14ac:dyDescent="0.35">
      <c r="A525" s="2" t="s">
        <v>5944</v>
      </c>
      <c r="B525" s="4">
        <v>43724</v>
      </c>
      <c r="C525" s="23">
        <f>Orders[[#This Row],[Order Date]]</f>
        <v>43724</v>
      </c>
      <c r="D525" s="2">
        <f>YEAR(Orders[[#This Row],[Order Date]])</f>
        <v>2019</v>
      </c>
      <c r="E525" s="2" t="s">
        <v>5945</v>
      </c>
      <c r="F525" t="s">
        <v>6138</v>
      </c>
      <c r="G525" s="20">
        <v>3</v>
      </c>
      <c r="H525" s="2" t="str">
        <f>INDEX(customers!$A$1:$I$1001,MATCH($E525,customers!$A$1:$A$1001,),MATCH($H$1,customers!$A$1:$I$1,0))</f>
        <v>Joey Jefferys</v>
      </c>
      <c r="I525" s="2" t="str">
        <f>IF(INDEX(customers!$A$1:$I$1001,MATCH($E525,customers!$A$1:$A$1001,0),3)=0,"",INDEX(customers!$A$1:$I$1001,MATCH($E525,customers!$A$1:$A$1001,0),3))</f>
        <v>jjefferysqt@blog.com</v>
      </c>
      <c r="J525" s="2" t="str">
        <f>_xlfn.XLOOKUP(E525,customers!$A$1:$A$1001,customers!$G$1:$G$1001)</f>
        <v>United States</v>
      </c>
      <c r="K525" t="str">
        <f>INDEX(products!$A$1:$G$49,MATCH($F525,products!$A$1:$A$49,0),MATCH(K$1,products!$A$1:$G$1,0))</f>
        <v>Rob</v>
      </c>
      <c r="L525" t="str">
        <f>INDEX(products!$A$1:$G$49,MATCH($F525,products!$A$1:$A$49,0),MATCH(L$1,products!$A$1:$G$1,0))</f>
        <v>M</v>
      </c>
      <c r="M525" s="5">
        <f>INDEX(products!$A$1:$G$49,MATCH($F525,products!$A$1:$A$49,0),MATCH(M$1,products!$A$1:$G$1,0))</f>
        <v>1</v>
      </c>
      <c r="N525" s="7">
        <f>INDEX(products!$A$1:$G$49,MATCH($F525,products!$A$1:$A$49,0),MATCH(N$1,products!$A$1:$G$1,0))</f>
        <v>9.9499999999999993</v>
      </c>
      <c r="O525" s="7">
        <f t="shared" si="8"/>
        <v>29.849999999999998</v>
      </c>
      <c r="P525" t="str" cm="1">
        <f t="array" ref="P525">_xlfn.IFS(K525="Rob","Robusta",K525="Exc","Excelsa",K525="Ara","Arabica",K525="Lib","Liberica")</f>
        <v>Robusta</v>
      </c>
      <c r="Q525" t="str" cm="1">
        <f t="array" ref="Q525">_xlfn.IFS(L525="M","Medium",L525="L","Light",L525="D","Dark")</f>
        <v>Medium</v>
      </c>
      <c r="R525" t="str">
        <f>_xlfn.XLOOKUP(Orders[[#This Row],[Customer ID]],customers!$A$1:$A$1001,customers!$I$1:$I$1001)</f>
        <v>Yes</v>
      </c>
    </row>
    <row r="526" spans="1:18" x14ac:dyDescent="0.35">
      <c r="A526" s="2" t="s">
        <v>4423</v>
      </c>
      <c r="B526" s="4">
        <v>43693</v>
      </c>
      <c r="C526" s="23">
        <f>Orders[[#This Row],[Order Date]]</f>
        <v>43693</v>
      </c>
      <c r="D526" s="2">
        <f>YEAR(Orders[[#This Row],[Order Date]])</f>
        <v>2019</v>
      </c>
      <c r="E526" s="2" t="s">
        <v>4424</v>
      </c>
      <c r="F526" t="s">
        <v>6169</v>
      </c>
      <c r="G526" s="20">
        <v>4</v>
      </c>
      <c r="H526" s="2" t="str">
        <f>INDEX(customers!$A$1:$I$1001,MATCH($E526,customers!$A$1:$A$1001,),MATCH($H$1,customers!$A$1:$I$1,0))</f>
        <v>Johna Bluck</v>
      </c>
      <c r="I526" s="2" t="str">
        <f>IF(INDEX(customers!$A$1:$I$1001,MATCH($E526,customers!$A$1:$A$1001,0),3)=0,"",INDEX(customers!$A$1:$I$1001,MATCH($E526,customers!$A$1:$A$1001,0),3))</f>
        <v>jbluckjc@imageshack.us</v>
      </c>
      <c r="J526" s="2" t="str">
        <f>_xlfn.XLOOKUP(E526,customers!$A$1:$A$1001,customers!$G$1:$G$1001)</f>
        <v>United States</v>
      </c>
      <c r="K526" t="str">
        <f>INDEX(products!$A$1:$G$49,MATCH($F526,products!$A$1:$A$49,0),MATCH(K$1,products!$A$1:$G$1,0))</f>
        <v>Lib</v>
      </c>
      <c r="L526" t="str">
        <f>INDEX(products!$A$1:$G$49,MATCH($F526,products!$A$1:$A$49,0),MATCH(L$1,products!$A$1:$G$1,0))</f>
        <v>D</v>
      </c>
      <c r="M526" s="5">
        <f>INDEX(products!$A$1:$G$49,MATCH($F526,products!$A$1:$A$49,0),MATCH(M$1,products!$A$1:$G$1,0))</f>
        <v>0.5</v>
      </c>
      <c r="N526" s="7">
        <f>INDEX(products!$A$1:$G$49,MATCH($F526,products!$A$1:$A$49,0),MATCH(N$1,products!$A$1:$G$1,0))</f>
        <v>7.77</v>
      </c>
      <c r="O526" s="7">
        <f t="shared" si="8"/>
        <v>31.08</v>
      </c>
      <c r="P526" t="str" cm="1">
        <f t="array" ref="P526">_xlfn.IFS(K526="Rob","Robusta",K526="Exc","Excelsa",K526="Ara","Arabica",K526="Lib","Liberica")</f>
        <v>Liberica</v>
      </c>
      <c r="Q526" t="str" cm="1">
        <f t="array" ref="Q526">_xlfn.IFS(L526="M","Medium",L526="L","Light",L526="D","Dark")</f>
        <v>Dark</v>
      </c>
      <c r="R526" t="str">
        <f>_xlfn.XLOOKUP(Orders[[#This Row],[Customer ID]],customers!$A$1:$A$1001,customers!$I$1:$I$1001)</f>
        <v>No</v>
      </c>
    </row>
    <row r="527" spans="1:18" x14ac:dyDescent="0.35">
      <c r="A527" s="2" t="s">
        <v>5861</v>
      </c>
      <c r="B527" s="4">
        <v>44703</v>
      </c>
      <c r="C527" s="23">
        <f>Orders[[#This Row],[Order Date]]</f>
        <v>44703</v>
      </c>
      <c r="D527" s="2">
        <f>YEAR(Orders[[#This Row],[Order Date]])</f>
        <v>2022</v>
      </c>
      <c r="E527" s="2" t="s">
        <v>5862</v>
      </c>
      <c r="F527" t="s">
        <v>6178</v>
      </c>
      <c r="G527" s="20">
        <v>4</v>
      </c>
      <c r="H527" s="2" t="str">
        <f>INDEX(customers!$A$1:$I$1001,MATCH($E527,customers!$A$1:$A$1001,),MATCH($H$1,customers!$A$1:$I$1,0))</f>
        <v>Johnath Fairebrother</v>
      </c>
      <c r="I527" s="2" t="str">
        <f>IF(INDEX(customers!$A$1:$I$1001,MATCH($E527,customers!$A$1:$A$1001,0),3)=0,"",INDEX(customers!$A$1:$I$1001,MATCH($E527,customers!$A$1:$A$1001,0),3))</f>
        <v/>
      </c>
      <c r="J527" s="2" t="str">
        <f>_xlfn.XLOOKUP(E527,customers!$A$1:$A$1001,customers!$G$1:$G$1001)</f>
        <v>United States</v>
      </c>
      <c r="K527" t="str">
        <f>INDEX(products!$A$1:$G$49,MATCH($F527,products!$A$1:$A$49,0),MATCH(K$1,products!$A$1:$G$1,0))</f>
        <v>Rob</v>
      </c>
      <c r="L527" t="str">
        <f>INDEX(products!$A$1:$G$49,MATCH($F527,products!$A$1:$A$49,0),MATCH(L$1,products!$A$1:$G$1,0))</f>
        <v>L</v>
      </c>
      <c r="M527" s="5">
        <f>INDEX(products!$A$1:$G$49,MATCH($F527,products!$A$1:$A$49,0),MATCH(M$1,products!$A$1:$G$1,0))</f>
        <v>0.2</v>
      </c>
      <c r="N527" s="7">
        <f>INDEX(products!$A$1:$G$49,MATCH($F527,products!$A$1:$A$49,0),MATCH(N$1,products!$A$1:$G$1,0))</f>
        <v>3.5849999999999995</v>
      </c>
      <c r="O527" s="7">
        <f t="shared" si="8"/>
        <v>14.339999999999998</v>
      </c>
      <c r="P527" t="str" cm="1">
        <f t="array" ref="P527">_xlfn.IFS(K527="Rob","Robusta",K527="Exc","Excelsa",K527="Ara","Arabica",K527="Lib","Liberica")</f>
        <v>Robusta</v>
      </c>
      <c r="Q527" t="str" cm="1">
        <f t="array" ref="Q527">_xlfn.IFS(L527="M","Medium",L527="L","Light",L527="D","Dark")</f>
        <v>Light</v>
      </c>
      <c r="R527" t="str">
        <f>_xlfn.XLOOKUP(Orders[[#This Row],[Customer ID]],customers!$A$1:$A$1001,customers!$I$1:$I$1001)</f>
        <v>Yes</v>
      </c>
    </row>
    <row r="528" spans="1:18" x14ac:dyDescent="0.35">
      <c r="A528" s="2" t="s">
        <v>4699</v>
      </c>
      <c r="B528" s="4">
        <v>44557</v>
      </c>
      <c r="C528" s="23">
        <f>Orders[[#This Row],[Order Date]]</f>
        <v>44557</v>
      </c>
      <c r="D528" s="2">
        <f>YEAR(Orders[[#This Row],[Order Date]])</f>
        <v>2021</v>
      </c>
      <c r="E528" s="2" t="s">
        <v>4700</v>
      </c>
      <c r="F528" t="s">
        <v>6144</v>
      </c>
      <c r="G528" s="20">
        <v>2</v>
      </c>
      <c r="H528" s="2" t="str">
        <f>INDEX(customers!$A$1:$I$1001,MATCH($E528,customers!$A$1:$A$1001,),MATCH($H$1,customers!$A$1:$I$1,0))</f>
        <v>Jordana Halden</v>
      </c>
      <c r="I528" s="2" t="str">
        <f>IF(INDEX(customers!$A$1:$I$1001,MATCH($E528,customers!$A$1:$A$1001,0),3)=0,"",INDEX(customers!$A$1:$I$1001,MATCH($E528,customers!$A$1:$A$1001,0),3))</f>
        <v>jhaldenkp@comcast.net</v>
      </c>
      <c r="J528" s="2" t="str">
        <f>_xlfn.XLOOKUP(E528,customers!$A$1:$A$1001,customers!$G$1:$G$1001)</f>
        <v>Ireland</v>
      </c>
      <c r="K528" t="str">
        <f>INDEX(products!$A$1:$G$49,MATCH($F528,products!$A$1:$A$49,0),MATCH(K$1,products!$A$1:$G$1,0))</f>
        <v>Exc</v>
      </c>
      <c r="L528" t="str">
        <f>INDEX(products!$A$1:$G$49,MATCH($F528,products!$A$1:$A$49,0),MATCH(L$1,products!$A$1:$G$1,0))</f>
        <v>D</v>
      </c>
      <c r="M528" s="5">
        <f>INDEX(products!$A$1:$G$49,MATCH($F528,products!$A$1:$A$49,0),MATCH(M$1,products!$A$1:$G$1,0))</f>
        <v>0.5</v>
      </c>
      <c r="N528" s="7">
        <f>INDEX(products!$A$1:$G$49,MATCH($F528,products!$A$1:$A$49,0),MATCH(N$1,products!$A$1:$G$1,0))</f>
        <v>7.29</v>
      </c>
      <c r="O528" s="7">
        <f t="shared" si="8"/>
        <v>14.58</v>
      </c>
      <c r="P528" t="str" cm="1">
        <f t="array" ref="P528">_xlfn.IFS(K528="Rob","Robusta",K528="Exc","Excelsa",K528="Ara","Arabica",K528="Lib","Liberica")</f>
        <v>Excelsa</v>
      </c>
      <c r="Q528" t="str" cm="1">
        <f t="array" ref="Q528">_xlfn.IFS(L528="M","Medium",L528="L","Light",L528="D","Dark")</f>
        <v>Dark</v>
      </c>
      <c r="R528" t="str">
        <f>_xlfn.XLOOKUP(Orders[[#This Row],[Customer ID]],customers!$A$1:$A$1001,customers!$I$1:$I$1001)</f>
        <v>No</v>
      </c>
    </row>
    <row r="529" spans="1:18" x14ac:dyDescent="0.35">
      <c r="A529" s="2" t="s">
        <v>3900</v>
      </c>
      <c r="B529" s="4">
        <v>44148</v>
      </c>
      <c r="C529" s="23">
        <f>Orders[[#This Row],[Order Date]]</f>
        <v>44148</v>
      </c>
      <c r="D529" s="2">
        <f>YEAR(Orders[[#This Row],[Order Date]])</f>
        <v>2020</v>
      </c>
      <c r="E529" s="2" t="s">
        <v>3901</v>
      </c>
      <c r="F529" t="s">
        <v>6165</v>
      </c>
      <c r="G529" s="20">
        <v>4</v>
      </c>
      <c r="H529" s="2" t="str">
        <f>INDEX(customers!$A$1:$I$1001,MATCH($E529,customers!$A$1:$A$1001,),MATCH($H$1,customers!$A$1:$I$1,0))</f>
        <v>Jorge Bettison</v>
      </c>
      <c r="I529" s="2" t="str">
        <f>IF(INDEX(customers!$A$1:$I$1001,MATCH($E529,customers!$A$1:$A$1001,0),3)=0,"",INDEX(customers!$A$1:$I$1001,MATCH($E529,customers!$A$1:$A$1001,0),3))</f>
        <v/>
      </c>
      <c r="J529" s="2" t="str">
        <f>_xlfn.XLOOKUP(E529,customers!$A$1:$A$1001,customers!$G$1:$G$1001)</f>
        <v>Ireland</v>
      </c>
      <c r="K529" t="str">
        <f>INDEX(products!$A$1:$G$49,MATCH($F529,products!$A$1:$A$49,0),MATCH(K$1,products!$A$1:$G$1,0))</f>
        <v>Lib</v>
      </c>
      <c r="L529" t="str">
        <f>INDEX(products!$A$1:$G$49,MATCH($F529,products!$A$1:$A$49,0),MATCH(L$1,products!$A$1:$G$1,0))</f>
        <v>D</v>
      </c>
      <c r="M529" s="5">
        <f>INDEX(products!$A$1:$G$49,MATCH($F529,products!$A$1:$A$49,0),MATCH(M$1,products!$A$1:$G$1,0))</f>
        <v>2.5</v>
      </c>
      <c r="N529" s="7">
        <f>INDEX(products!$A$1:$G$49,MATCH($F529,products!$A$1:$A$49,0),MATCH(N$1,products!$A$1:$G$1,0))</f>
        <v>29.784999999999997</v>
      </c>
      <c r="O529" s="7">
        <f t="shared" si="8"/>
        <v>119.13999999999999</v>
      </c>
      <c r="P529" t="str" cm="1">
        <f t="array" ref="P529">_xlfn.IFS(K529="Rob","Robusta",K529="Exc","Excelsa",K529="Ara","Arabica",K529="Lib","Liberica")</f>
        <v>Liberica</v>
      </c>
      <c r="Q529" t="str" cm="1">
        <f t="array" ref="Q529">_xlfn.IFS(L529="M","Medium",L529="L","Light",L529="D","Dark")</f>
        <v>Dark</v>
      </c>
      <c r="R529" t="str">
        <f>_xlfn.XLOOKUP(Orders[[#This Row],[Customer ID]],customers!$A$1:$A$1001,customers!$I$1:$I$1001)</f>
        <v>No</v>
      </c>
    </row>
    <row r="530" spans="1:18" x14ac:dyDescent="0.35">
      <c r="A530" s="2" t="s">
        <v>4466</v>
      </c>
      <c r="B530" s="4">
        <v>44716</v>
      </c>
      <c r="C530" s="23">
        <f>Orders[[#This Row],[Order Date]]</f>
        <v>44716</v>
      </c>
      <c r="D530" s="2">
        <f>YEAR(Orders[[#This Row],[Order Date]])</f>
        <v>2022</v>
      </c>
      <c r="E530" s="2" t="s">
        <v>4467</v>
      </c>
      <c r="F530" t="s">
        <v>6153</v>
      </c>
      <c r="G530" s="20">
        <v>6</v>
      </c>
      <c r="H530" s="2" t="str">
        <f>INDEX(customers!$A$1:$I$1001,MATCH($E530,customers!$A$1:$A$1001,),MATCH($H$1,customers!$A$1:$I$1,0))</f>
        <v>Josefina Ferens</v>
      </c>
      <c r="I530" s="2" t="str">
        <f>IF(INDEX(customers!$A$1:$I$1001,MATCH($E530,customers!$A$1:$A$1001,0),3)=0,"",INDEX(customers!$A$1:$I$1001,MATCH($E530,customers!$A$1:$A$1001,0),3))</f>
        <v/>
      </c>
      <c r="J530" s="2" t="str">
        <f>_xlfn.XLOOKUP(E530,customers!$A$1:$A$1001,customers!$G$1:$G$1001)</f>
        <v>United States</v>
      </c>
      <c r="K530" t="str">
        <f>INDEX(products!$A$1:$G$49,MATCH($F530,products!$A$1:$A$49,0),MATCH(K$1,products!$A$1:$G$1,0))</f>
        <v>Exc</v>
      </c>
      <c r="L530" t="str">
        <f>INDEX(products!$A$1:$G$49,MATCH($F530,products!$A$1:$A$49,0),MATCH(L$1,products!$A$1:$G$1,0))</f>
        <v>D</v>
      </c>
      <c r="M530" s="5">
        <f>INDEX(products!$A$1:$G$49,MATCH($F530,products!$A$1:$A$49,0),MATCH(M$1,products!$A$1:$G$1,0))</f>
        <v>0.2</v>
      </c>
      <c r="N530" s="7">
        <f>INDEX(products!$A$1:$G$49,MATCH($F530,products!$A$1:$A$49,0),MATCH(N$1,products!$A$1:$G$1,0))</f>
        <v>3.645</v>
      </c>
      <c r="O530" s="7">
        <f t="shared" si="8"/>
        <v>21.87</v>
      </c>
      <c r="P530" t="str" cm="1">
        <f t="array" ref="P530">_xlfn.IFS(K530="Rob","Robusta",K530="Exc","Excelsa",K530="Ara","Arabica",K530="Lib","Liberica")</f>
        <v>Excelsa</v>
      </c>
      <c r="Q530" t="str" cm="1">
        <f t="array" ref="Q530">_xlfn.IFS(L530="M","Medium",L530="L","Light",L530="D","Dark")</f>
        <v>Dark</v>
      </c>
      <c r="R530" t="str">
        <f>_xlfn.XLOOKUP(Orders[[#This Row],[Customer ID]],customers!$A$1:$A$1001,customers!$I$1:$I$1001)</f>
        <v>Yes</v>
      </c>
    </row>
    <row r="531" spans="1:18" x14ac:dyDescent="0.35">
      <c r="A531" s="2" t="s">
        <v>2464</v>
      </c>
      <c r="B531" s="4">
        <v>43592</v>
      </c>
      <c r="C531" s="23">
        <f>Orders[[#This Row],[Order Date]]</f>
        <v>43592</v>
      </c>
      <c r="D531" s="2">
        <f>YEAR(Orders[[#This Row],[Order Date]])</f>
        <v>2019</v>
      </c>
      <c r="E531" s="2" t="s">
        <v>2465</v>
      </c>
      <c r="F531" t="s">
        <v>6158</v>
      </c>
      <c r="G531" s="20">
        <v>4</v>
      </c>
      <c r="H531" s="2" t="str">
        <f>INDEX(customers!$A$1:$I$1001,MATCH($E531,customers!$A$1:$A$1001,),MATCH($H$1,customers!$A$1:$I$1,0))</f>
        <v>Joshuah Awdry</v>
      </c>
      <c r="I531" s="2" t="str">
        <f>IF(INDEX(customers!$A$1:$I$1001,MATCH($E531,customers!$A$1:$A$1001,0),3)=0,"",INDEX(customers!$A$1:$I$1001,MATCH($E531,customers!$A$1:$A$1001,0),3))</f>
        <v>jawdry9q@utexas.edu</v>
      </c>
      <c r="J531" s="2" t="str">
        <f>_xlfn.XLOOKUP(E531,customers!$A$1:$A$1001,customers!$G$1:$G$1001)</f>
        <v>United States</v>
      </c>
      <c r="K531" t="str">
        <f>INDEX(products!$A$1:$G$49,MATCH($F531,products!$A$1:$A$49,0),MATCH(K$1,products!$A$1:$G$1,0))</f>
        <v>Ara</v>
      </c>
      <c r="L531" t="str">
        <f>INDEX(products!$A$1:$G$49,MATCH($F531,products!$A$1:$A$49,0),MATCH(L$1,products!$A$1:$G$1,0))</f>
        <v>D</v>
      </c>
      <c r="M531" s="5">
        <f>INDEX(products!$A$1:$G$49,MATCH($F531,products!$A$1:$A$49,0),MATCH(M$1,products!$A$1:$G$1,0))</f>
        <v>0.5</v>
      </c>
      <c r="N531" s="7">
        <f>INDEX(products!$A$1:$G$49,MATCH($F531,products!$A$1:$A$49,0),MATCH(N$1,products!$A$1:$G$1,0))</f>
        <v>5.97</v>
      </c>
      <c r="O531" s="7">
        <f t="shared" si="8"/>
        <v>23.88</v>
      </c>
      <c r="P531" t="str" cm="1">
        <f t="array" ref="P531">_xlfn.IFS(K531="Rob","Robusta",K531="Exc","Excelsa",K531="Ara","Arabica",K531="Lib","Liberica")</f>
        <v>Arabica</v>
      </c>
      <c r="Q531" t="str" cm="1">
        <f t="array" ref="Q531">_xlfn.IFS(L531="M","Medium",L531="L","Light",L531="D","Dark")</f>
        <v>Dark</v>
      </c>
      <c r="R531" t="str">
        <f>_xlfn.XLOOKUP(Orders[[#This Row],[Customer ID]],customers!$A$1:$A$1001,customers!$I$1:$I$1001)</f>
        <v>No</v>
      </c>
    </row>
    <row r="532" spans="1:18" x14ac:dyDescent="0.35">
      <c r="A532" s="2" t="s">
        <v>2609</v>
      </c>
      <c r="B532" s="4">
        <v>44097</v>
      </c>
      <c r="C532" s="23">
        <f>Orders[[#This Row],[Order Date]]</f>
        <v>44097</v>
      </c>
      <c r="D532" s="2">
        <f>YEAR(Orders[[#This Row],[Order Date]])</f>
        <v>2020</v>
      </c>
      <c r="E532" s="2" t="s">
        <v>2610</v>
      </c>
      <c r="F532" t="s">
        <v>6146</v>
      </c>
      <c r="G532" s="20">
        <v>1</v>
      </c>
      <c r="H532" s="2" t="str">
        <f>INDEX(customers!$A$1:$I$1001,MATCH($E532,customers!$A$1:$A$1001,),MATCH($H$1,customers!$A$1:$I$1,0))</f>
        <v>Judd De Leek</v>
      </c>
      <c r="I532" s="2" t="str">
        <f>IF(INDEX(customers!$A$1:$I$1001,MATCH($E532,customers!$A$1:$A$1001,0),3)=0,"",INDEX(customers!$A$1:$I$1001,MATCH($E532,customers!$A$1:$A$1001,0),3))</f>
        <v>jdeag@xrea.com</v>
      </c>
      <c r="J532" s="2" t="str">
        <f>_xlfn.XLOOKUP(E532,customers!$A$1:$A$1001,customers!$G$1:$G$1001)</f>
        <v>United States</v>
      </c>
      <c r="K532" t="str">
        <f>INDEX(products!$A$1:$G$49,MATCH($F532,products!$A$1:$A$49,0),MATCH(K$1,products!$A$1:$G$1,0))</f>
        <v>Rob</v>
      </c>
      <c r="L532" t="str">
        <f>INDEX(products!$A$1:$G$49,MATCH($F532,products!$A$1:$A$49,0),MATCH(L$1,products!$A$1:$G$1,0))</f>
        <v>M</v>
      </c>
      <c r="M532" s="5">
        <f>INDEX(products!$A$1:$G$49,MATCH($F532,products!$A$1:$A$49,0),MATCH(M$1,products!$A$1:$G$1,0))</f>
        <v>0.5</v>
      </c>
      <c r="N532" s="7">
        <f>INDEX(products!$A$1:$G$49,MATCH($F532,products!$A$1:$A$49,0),MATCH(N$1,products!$A$1:$G$1,0))</f>
        <v>5.97</v>
      </c>
      <c r="O532" s="7">
        <f t="shared" si="8"/>
        <v>5.97</v>
      </c>
      <c r="P532" t="str" cm="1">
        <f t="array" ref="P532">_xlfn.IFS(K532="Rob","Robusta",K532="Exc","Excelsa",K532="Ara","Arabica",K532="Lib","Liberica")</f>
        <v>Robusta</v>
      </c>
      <c r="Q532" t="str" cm="1">
        <f t="array" ref="Q532">_xlfn.IFS(L532="M","Medium",L532="L","Light",L532="D","Dark")</f>
        <v>Medium</v>
      </c>
      <c r="R532" t="str">
        <f>_xlfn.XLOOKUP(Orders[[#This Row],[Customer ID]],customers!$A$1:$A$1001,customers!$I$1:$I$1001)</f>
        <v>Yes</v>
      </c>
    </row>
    <row r="533" spans="1:18" x14ac:dyDescent="0.35">
      <c r="A533" s="2" t="s">
        <v>4875</v>
      </c>
      <c r="B533" s="4">
        <v>44540</v>
      </c>
      <c r="C533" s="23">
        <f>Orders[[#This Row],[Order Date]]</f>
        <v>44540</v>
      </c>
      <c r="D533" s="2">
        <f>YEAR(Orders[[#This Row],[Order Date]])</f>
        <v>2021</v>
      </c>
      <c r="E533" s="2" t="s">
        <v>4876</v>
      </c>
      <c r="F533" t="s">
        <v>6157</v>
      </c>
      <c r="G533" s="20">
        <v>3</v>
      </c>
      <c r="H533" s="2" t="str">
        <f>INDEX(customers!$A$1:$I$1001,MATCH($E533,customers!$A$1:$A$1001,),MATCH($H$1,customers!$A$1:$I$1,0))</f>
        <v>Jule Deehan</v>
      </c>
      <c r="I533" s="2" t="str">
        <f>IF(INDEX(customers!$A$1:$I$1001,MATCH($E533,customers!$A$1:$A$1001,0),3)=0,"",INDEX(customers!$A$1:$I$1001,MATCH($E533,customers!$A$1:$A$1001,0),3))</f>
        <v>jdeehanlk@about.me</v>
      </c>
      <c r="J533" s="2" t="str">
        <f>_xlfn.XLOOKUP(E533,customers!$A$1:$A$1001,customers!$G$1:$G$1001)</f>
        <v>United States</v>
      </c>
      <c r="K533" t="str">
        <f>INDEX(products!$A$1:$G$49,MATCH($F533,products!$A$1:$A$49,0),MATCH(K$1,products!$A$1:$G$1,0))</f>
        <v>Ara</v>
      </c>
      <c r="L533" t="str">
        <f>INDEX(products!$A$1:$G$49,MATCH($F533,products!$A$1:$A$49,0),MATCH(L$1,products!$A$1:$G$1,0))</f>
        <v>M</v>
      </c>
      <c r="M533" s="5">
        <f>INDEX(products!$A$1:$G$49,MATCH($F533,products!$A$1:$A$49,0),MATCH(M$1,products!$A$1:$G$1,0))</f>
        <v>0.5</v>
      </c>
      <c r="N533" s="7">
        <f>INDEX(products!$A$1:$G$49,MATCH($F533,products!$A$1:$A$49,0),MATCH(N$1,products!$A$1:$G$1,0))</f>
        <v>6.75</v>
      </c>
      <c r="O533" s="7">
        <f t="shared" si="8"/>
        <v>20.25</v>
      </c>
      <c r="P533" t="str" cm="1">
        <f t="array" ref="P533">_xlfn.IFS(K533="Rob","Robusta",K533="Exc","Excelsa",K533="Ara","Arabica",K533="Lib","Liberica")</f>
        <v>Arabica</v>
      </c>
      <c r="Q533" t="str" cm="1">
        <f t="array" ref="Q533">_xlfn.IFS(L533="M","Medium",L533="L","Light",L533="D","Dark")</f>
        <v>Medium</v>
      </c>
      <c r="R533" t="str">
        <f>_xlfn.XLOOKUP(Orders[[#This Row],[Customer ID]],customers!$A$1:$A$1001,customers!$I$1:$I$1001)</f>
        <v>No</v>
      </c>
    </row>
    <row r="534" spans="1:18" x14ac:dyDescent="0.35">
      <c r="A534" s="2" t="s">
        <v>1289</v>
      </c>
      <c r="B534" s="4">
        <v>44678</v>
      </c>
      <c r="C534" s="23">
        <f>Orders[[#This Row],[Order Date]]</f>
        <v>44678</v>
      </c>
      <c r="D534" s="2">
        <f>YEAR(Orders[[#This Row],[Order Date]])</f>
        <v>2022</v>
      </c>
      <c r="E534" s="2" t="s">
        <v>1290</v>
      </c>
      <c r="F534" t="s">
        <v>6148</v>
      </c>
      <c r="G534" s="20">
        <v>4</v>
      </c>
      <c r="H534" s="2" t="str">
        <f>INDEX(customers!$A$1:$I$1001,MATCH($E534,customers!$A$1:$A$1001,),MATCH($H$1,customers!$A$1:$I$1,0))</f>
        <v>Julio Armytage</v>
      </c>
      <c r="I534" s="2" t="str">
        <f>IF(INDEX(customers!$A$1:$I$1001,MATCH($E534,customers!$A$1:$A$1001,0),3)=0,"",INDEX(customers!$A$1:$I$1001,MATCH($E534,customers!$A$1:$A$1001,0),3))</f>
        <v/>
      </c>
      <c r="J534" s="2" t="str">
        <f>_xlfn.XLOOKUP(E534,customers!$A$1:$A$1001,customers!$G$1:$G$1001)</f>
        <v>Ireland</v>
      </c>
      <c r="K534" t="str">
        <f>INDEX(products!$A$1:$G$49,MATCH($F534,products!$A$1:$A$49,0),MATCH(K$1,products!$A$1:$G$1,0))</f>
        <v>Exc</v>
      </c>
      <c r="L534" t="str">
        <f>INDEX(products!$A$1:$G$49,MATCH($F534,products!$A$1:$A$49,0),MATCH(L$1,products!$A$1:$G$1,0))</f>
        <v>L</v>
      </c>
      <c r="M534" s="5">
        <f>INDEX(products!$A$1:$G$49,MATCH($F534,products!$A$1:$A$49,0),MATCH(M$1,products!$A$1:$G$1,0))</f>
        <v>2.5</v>
      </c>
      <c r="N534" s="7">
        <f>INDEX(products!$A$1:$G$49,MATCH($F534,products!$A$1:$A$49,0),MATCH(N$1,products!$A$1:$G$1,0))</f>
        <v>34.154999999999994</v>
      </c>
      <c r="O534" s="7">
        <f t="shared" si="8"/>
        <v>136.61999999999998</v>
      </c>
      <c r="P534" t="str" cm="1">
        <f t="array" ref="P534">_xlfn.IFS(K534="Rob","Robusta",K534="Exc","Excelsa",K534="Ara","Arabica",K534="Lib","Liberica")</f>
        <v>Excelsa</v>
      </c>
      <c r="Q534" t="str" cm="1">
        <f t="array" ref="Q534">_xlfn.IFS(L534="M","Medium",L534="L","Light",L534="D","Dark")</f>
        <v>Light</v>
      </c>
      <c r="R534" t="str">
        <f>_xlfn.XLOOKUP(Orders[[#This Row],[Customer ID]],customers!$A$1:$A$1001,customers!$I$1:$I$1001)</f>
        <v>Yes</v>
      </c>
    </row>
    <row r="535" spans="1:18" x14ac:dyDescent="0.35">
      <c r="A535" s="2" t="s">
        <v>3136</v>
      </c>
      <c r="B535" s="4">
        <v>44023</v>
      </c>
      <c r="C535" s="23">
        <f>Orders[[#This Row],[Order Date]]</f>
        <v>44023</v>
      </c>
      <c r="D535" s="2">
        <f>YEAR(Orders[[#This Row],[Order Date]])</f>
        <v>2020</v>
      </c>
      <c r="E535" s="2" t="s">
        <v>3137</v>
      </c>
      <c r="F535" t="s">
        <v>6141</v>
      </c>
      <c r="G535" s="20">
        <v>3</v>
      </c>
      <c r="H535" s="2" t="str">
        <f>INDEX(customers!$A$1:$I$1001,MATCH($E535,customers!$A$1:$A$1001,),MATCH($H$1,customers!$A$1:$I$1,0))</f>
        <v>Julius Mccaull</v>
      </c>
      <c r="I535" s="2" t="str">
        <f>IF(INDEX(customers!$A$1:$I$1001,MATCH($E535,customers!$A$1:$A$1001,0),3)=0,"",INDEX(customers!$A$1:$I$1001,MATCH($E535,customers!$A$1:$A$1001,0),3))</f>
        <v>jmccaulld0@parallels.com</v>
      </c>
      <c r="J535" s="2" t="str">
        <f>_xlfn.XLOOKUP(E535,customers!$A$1:$A$1001,customers!$G$1:$G$1001)</f>
        <v>United States</v>
      </c>
      <c r="K535" t="str">
        <f>INDEX(products!$A$1:$G$49,MATCH($F535,products!$A$1:$A$49,0),MATCH(K$1,products!$A$1:$G$1,0))</f>
        <v>Exc</v>
      </c>
      <c r="L535" t="str">
        <f>INDEX(products!$A$1:$G$49,MATCH($F535,products!$A$1:$A$49,0),MATCH(L$1,products!$A$1:$G$1,0))</f>
        <v>M</v>
      </c>
      <c r="M535" s="5">
        <f>INDEX(products!$A$1:$G$49,MATCH($F535,products!$A$1:$A$49,0),MATCH(M$1,products!$A$1:$G$1,0))</f>
        <v>1</v>
      </c>
      <c r="N535" s="7">
        <f>INDEX(products!$A$1:$G$49,MATCH($F535,products!$A$1:$A$49,0),MATCH(N$1,products!$A$1:$G$1,0))</f>
        <v>13.75</v>
      </c>
      <c r="O535" s="7">
        <f t="shared" si="8"/>
        <v>41.25</v>
      </c>
      <c r="P535" t="str" cm="1">
        <f t="array" ref="P535">_xlfn.IFS(K535="Rob","Robusta",K535="Exc","Excelsa",K535="Ara","Arabica",K535="Lib","Liberica")</f>
        <v>Excelsa</v>
      </c>
      <c r="Q535" t="str" cm="1">
        <f t="array" ref="Q535">_xlfn.IFS(L535="M","Medium",L535="L","Light",L535="D","Dark")</f>
        <v>Medium</v>
      </c>
      <c r="R535" t="str">
        <f>_xlfn.XLOOKUP(Orders[[#This Row],[Customer ID]],customers!$A$1:$A$1001,customers!$I$1:$I$1001)</f>
        <v>Yes</v>
      </c>
    </row>
    <row r="536" spans="1:18" x14ac:dyDescent="0.35">
      <c r="A536" s="2" t="s">
        <v>6007</v>
      </c>
      <c r="B536" s="4">
        <v>43643</v>
      </c>
      <c r="C536" s="23">
        <f>Orders[[#This Row],[Order Date]]</f>
        <v>43643</v>
      </c>
      <c r="D536" s="2">
        <f>YEAR(Orders[[#This Row],[Order Date]])</f>
        <v>2019</v>
      </c>
      <c r="E536" s="2" t="s">
        <v>6008</v>
      </c>
      <c r="F536" t="s">
        <v>6142</v>
      </c>
      <c r="G536" s="20">
        <v>5</v>
      </c>
      <c r="H536" s="2" t="str">
        <f>INDEX(customers!$A$1:$I$1001,MATCH($E536,customers!$A$1:$A$1001,),MATCH($H$1,customers!$A$1:$I$1,0))</f>
        <v>Kacy Canto</v>
      </c>
      <c r="I536" s="2" t="str">
        <f>IF(INDEX(customers!$A$1:$I$1001,MATCH($E536,customers!$A$1:$A$1001,0),3)=0,"",INDEX(customers!$A$1:$I$1001,MATCH($E536,customers!$A$1:$A$1001,0),3))</f>
        <v>kcantor4@gmpg.org</v>
      </c>
      <c r="J536" s="2" t="str">
        <f>_xlfn.XLOOKUP(E536,customers!$A$1:$A$1001,customers!$G$1:$G$1001)</f>
        <v>United States</v>
      </c>
      <c r="K536" t="str">
        <f>INDEX(products!$A$1:$G$49,MATCH($F536,products!$A$1:$A$49,0),MATCH(K$1,products!$A$1:$G$1,0))</f>
        <v>Rob</v>
      </c>
      <c r="L536" t="str">
        <f>INDEX(products!$A$1:$G$49,MATCH($F536,products!$A$1:$A$49,0),MATCH(L$1,products!$A$1:$G$1,0))</f>
        <v>L</v>
      </c>
      <c r="M536" s="5">
        <f>INDEX(products!$A$1:$G$49,MATCH($F536,products!$A$1:$A$49,0),MATCH(M$1,products!$A$1:$G$1,0))</f>
        <v>2.5</v>
      </c>
      <c r="N536" s="7">
        <f>INDEX(products!$A$1:$G$49,MATCH($F536,products!$A$1:$A$49,0),MATCH(N$1,products!$A$1:$G$1,0))</f>
        <v>27.484999999999996</v>
      </c>
      <c r="O536" s="7">
        <f t="shared" si="8"/>
        <v>137.42499999999998</v>
      </c>
      <c r="P536" t="str" cm="1">
        <f t="array" ref="P536">_xlfn.IFS(K536="Rob","Robusta",K536="Exc","Excelsa",K536="Ara","Arabica",K536="Lib","Liberica")</f>
        <v>Robusta</v>
      </c>
      <c r="Q536" t="str" cm="1">
        <f t="array" ref="Q536">_xlfn.IFS(L536="M","Medium",L536="L","Light",L536="D","Dark")</f>
        <v>Light</v>
      </c>
      <c r="R536" t="str">
        <f>_xlfn.XLOOKUP(Orders[[#This Row],[Customer ID]],customers!$A$1:$A$1001,customers!$I$1:$I$1001)</f>
        <v>Yes</v>
      </c>
    </row>
    <row r="537" spans="1:18" x14ac:dyDescent="0.35">
      <c r="A537" s="2" t="s">
        <v>4943</v>
      </c>
      <c r="B537" s="4">
        <v>44771</v>
      </c>
      <c r="C537" s="23">
        <f>Orders[[#This Row],[Order Date]]</f>
        <v>44771</v>
      </c>
      <c r="D537" s="2">
        <f>YEAR(Orders[[#This Row],[Order Date]])</f>
        <v>2022</v>
      </c>
      <c r="E537" s="2" t="s">
        <v>4944</v>
      </c>
      <c r="F537" t="s">
        <v>6151</v>
      </c>
      <c r="G537" s="20">
        <v>2</v>
      </c>
      <c r="H537" s="2" t="str">
        <f>INDEX(customers!$A$1:$I$1001,MATCH($E537,customers!$A$1:$A$1001,),MATCH($H$1,customers!$A$1:$I$1,0))</f>
        <v>Kaela Nottram</v>
      </c>
      <c r="I537" s="2" t="str">
        <f>IF(INDEX(customers!$A$1:$I$1001,MATCH($E537,customers!$A$1:$A$1001,0),3)=0,"",INDEX(customers!$A$1:$I$1001,MATCH($E537,customers!$A$1:$A$1001,0),3))</f>
        <v>knottramlw@odnoklassniki.ru</v>
      </c>
      <c r="J537" s="2" t="str">
        <f>_xlfn.XLOOKUP(E537,customers!$A$1:$A$1001,customers!$G$1:$G$1001)</f>
        <v>Ireland</v>
      </c>
      <c r="K537" t="str">
        <f>INDEX(products!$A$1:$G$49,MATCH($F537,products!$A$1:$A$49,0),MATCH(K$1,products!$A$1:$G$1,0))</f>
        <v>Rob</v>
      </c>
      <c r="L537" t="str">
        <f>INDEX(products!$A$1:$G$49,MATCH($F537,products!$A$1:$A$49,0),MATCH(L$1,products!$A$1:$G$1,0))</f>
        <v>M</v>
      </c>
      <c r="M537" s="5">
        <f>INDEX(products!$A$1:$G$49,MATCH($F537,products!$A$1:$A$49,0),MATCH(M$1,products!$A$1:$G$1,0))</f>
        <v>2.5</v>
      </c>
      <c r="N537" s="7">
        <f>INDEX(products!$A$1:$G$49,MATCH($F537,products!$A$1:$A$49,0),MATCH(N$1,products!$A$1:$G$1,0))</f>
        <v>22.884999999999998</v>
      </c>
      <c r="O537" s="7">
        <f t="shared" si="8"/>
        <v>45.769999999999996</v>
      </c>
      <c r="P537" t="str" cm="1">
        <f t="array" ref="P537">_xlfn.IFS(K537="Rob","Robusta",K537="Exc","Excelsa",K537="Ara","Arabica",K537="Lib","Liberica")</f>
        <v>Robusta</v>
      </c>
      <c r="Q537" t="str" cm="1">
        <f t="array" ref="Q537">_xlfn.IFS(L537="M","Medium",L537="L","Light",L537="D","Dark")</f>
        <v>Medium</v>
      </c>
      <c r="R537" t="str">
        <f>_xlfn.XLOOKUP(Orders[[#This Row],[Customer ID]],customers!$A$1:$A$1001,customers!$I$1:$I$1001)</f>
        <v>Yes</v>
      </c>
    </row>
    <row r="538" spans="1:18" x14ac:dyDescent="0.35">
      <c r="A538" s="2" t="s">
        <v>2538</v>
      </c>
      <c r="B538" s="4">
        <v>44282</v>
      </c>
      <c r="C538" s="23">
        <f>Orders[[#This Row],[Order Date]]</f>
        <v>44282</v>
      </c>
      <c r="D538" s="2">
        <f>YEAR(Orders[[#This Row],[Order Date]])</f>
        <v>2021</v>
      </c>
      <c r="E538" s="2" t="s">
        <v>2539</v>
      </c>
      <c r="F538" t="s">
        <v>6162</v>
      </c>
      <c r="G538" s="20">
        <v>6</v>
      </c>
      <c r="H538" s="2" t="str">
        <f>INDEX(customers!$A$1:$I$1001,MATCH($E538,customers!$A$1:$A$1001,),MATCH($H$1,customers!$A$1:$I$1,0))</f>
        <v>Kaja Loxton</v>
      </c>
      <c r="I538" s="2" t="str">
        <f>IF(INDEX(customers!$A$1:$I$1001,MATCH($E538,customers!$A$1:$A$1001,0),3)=0,"",INDEX(customers!$A$1:$I$1001,MATCH($E538,customers!$A$1:$A$1001,0),3))</f>
        <v>kloxtona3@opensource.org</v>
      </c>
      <c r="J538" s="2" t="str">
        <f>_xlfn.XLOOKUP(E538,customers!$A$1:$A$1001,customers!$G$1:$G$1001)</f>
        <v>United States</v>
      </c>
      <c r="K538" t="str">
        <f>INDEX(products!$A$1:$G$49,MATCH($F538,products!$A$1:$A$49,0),MATCH(K$1,products!$A$1:$G$1,0))</f>
        <v>Lib</v>
      </c>
      <c r="L538" t="str">
        <f>INDEX(products!$A$1:$G$49,MATCH($F538,products!$A$1:$A$49,0),MATCH(L$1,products!$A$1:$G$1,0))</f>
        <v>M</v>
      </c>
      <c r="M538" s="5">
        <f>INDEX(products!$A$1:$G$49,MATCH($F538,products!$A$1:$A$49,0),MATCH(M$1,products!$A$1:$G$1,0))</f>
        <v>1</v>
      </c>
      <c r="N538" s="7">
        <f>INDEX(products!$A$1:$G$49,MATCH($F538,products!$A$1:$A$49,0),MATCH(N$1,products!$A$1:$G$1,0))</f>
        <v>14.55</v>
      </c>
      <c r="O538" s="7">
        <f t="shared" si="8"/>
        <v>87.300000000000011</v>
      </c>
      <c r="P538" t="str" cm="1">
        <f t="array" ref="P538">_xlfn.IFS(K538="Rob","Robusta",K538="Exc","Excelsa",K538="Ara","Arabica",K538="Lib","Liberica")</f>
        <v>Liberica</v>
      </c>
      <c r="Q538" t="str" cm="1">
        <f t="array" ref="Q538">_xlfn.IFS(L538="M","Medium",L538="L","Light",L538="D","Dark")</f>
        <v>Medium</v>
      </c>
      <c r="R538" t="str">
        <f>_xlfn.XLOOKUP(Orders[[#This Row],[Customer ID]],customers!$A$1:$A$1001,customers!$I$1:$I$1001)</f>
        <v>No</v>
      </c>
    </row>
    <row r="539" spans="1:18" x14ac:dyDescent="0.35">
      <c r="A539" s="2" t="s">
        <v>5748</v>
      </c>
      <c r="B539" s="4">
        <v>43546</v>
      </c>
      <c r="C539" s="23">
        <f>Orders[[#This Row],[Order Date]]</f>
        <v>43546</v>
      </c>
      <c r="D539" s="2">
        <f>YEAR(Orders[[#This Row],[Order Date]])</f>
        <v>2019</v>
      </c>
      <c r="E539" s="2" t="s">
        <v>5749</v>
      </c>
      <c r="F539" t="s">
        <v>6183</v>
      </c>
      <c r="G539" s="20">
        <v>1</v>
      </c>
      <c r="H539" s="2" t="str">
        <f>INDEX(customers!$A$1:$I$1001,MATCH($E539,customers!$A$1:$A$1001,),MATCH($H$1,customers!$A$1:$I$1,0))</f>
        <v>Kameko Philbrick</v>
      </c>
      <c r="I539" s="2" t="str">
        <f>IF(INDEX(customers!$A$1:$I$1001,MATCH($E539,customers!$A$1:$A$1001,0),3)=0,"",INDEX(customers!$A$1:$I$1001,MATCH($E539,customers!$A$1:$A$1001,0),3))</f>
        <v>kphilbrickpu@cdc.gov</v>
      </c>
      <c r="J539" s="2" t="str">
        <f>_xlfn.XLOOKUP(E539,customers!$A$1:$A$1001,customers!$G$1:$G$1001)</f>
        <v>United States</v>
      </c>
      <c r="K539" t="str">
        <f>INDEX(products!$A$1:$G$49,MATCH($F539,products!$A$1:$A$49,0),MATCH(K$1,products!$A$1:$G$1,0))</f>
        <v>Exc</v>
      </c>
      <c r="L539" t="str">
        <f>INDEX(products!$A$1:$G$49,MATCH($F539,products!$A$1:$A$49,0),MATCH(L$1,products!$A$1:$G$1,0))</f>
        <v>D</v>
      </c>
      <c r="M539" s="5">
        <f>INDEX(products!$A$1:$G$49,MATCH($F539,products!$A$1:$A$49,0),MATCH(M$1,products!$A$1:$G$1,0))</f>
        <v>1</v>
      </c>
      <c r="N539" s="7">
        <f>INDEX(products!$A$1:$G$49,MATCH($F539,products!$A$1:$A$49,0),MATCH(N$1,products!$A$1:$G$1,0))</f>
        <v>12.15</v>
      </c>
      <c r="O539" s="7">
        <f t="shared" si="8"/>
        <v>12.15</v>
      </c>
      <c r="P539" t="str" cm="1">
        <f t="array" ref="P539">_xlfn.IFS(K539="Rob","Robusta",K539="Exc","Excelsa",K539="Ara","Arabica",K539="Lib","Liberica")</f>
        <v>Excelsa</v>
      </c>
      <c r="Q539" t="str" cm="1">
        <f t="array" ref="Q539">_xlfn.IFS(L539="M","Medium",L539="L","Light",L539="D","Dark")</f>
        <v>Dark</v>
      </c>
      <c r="R539" t="str">
        <f>_xlfn.XLOOKUP(Orders[[#This Row],[Customer ID]],customers!$A$1:$A$1001,customers!$I$1:$I$1001)</f>
        <v>Yes</v>
      </c>
    </row>
    <row r="540" spans="1:18" x14ac:dyDescent="0.35">
      <c r="A540" s="2" t="s">
        <v>4670</v>
      </c>
      <c r="B540" s="4">
        <v>44643</v>
      </c>
      <c r="C540" s="23">
        <f>Orders[[#This Row],[Order Date]]</f>
        <v>44643</v>
      </c>
      <c r="D540" s="2">
        <f>YEAR(Orders[[#This Row],[Order Date]])</f>
        <v>2022</v>
      </c>
      <c r="E540" s="2" t="s">
        <v>4671</v>
      </c>
      <c r="F540" t="s">
        <v>6173</v>
      </c>
      <c r="G540" s="20">
        <v>4</v>
      </c>
      <c r="H540" s="2" t="str">
        <f>INDEX(customers!$A$1:$I$1001,MATCH($E540,customers!$A$1:$A$1001,),MATCH($H$1,customers!$A$1:$I$1,0))</f>
        <v>Kandace Cragell</v>
      </c>
      <c r="I540" s="2" t="str">
        <f>IF(INDEX(customers!$A$1:$I$1001,MATCH($E540,customers!$A$1:$A$1001,0),3)=0,"",INDEX(customers!$A$1:$I$1001,MATCH($E540,customers!$A$1:$A$1001,0),3))</f>
        <v>kcragellkk@google.com</v>
      </c>
      <c r="J540" s="2" t="str">
        <f>_xlfn.XLOOKUP(E540,customers!$A$1:$A$1001,customers!$G$1:$G$1001)</f>
        <v>Ireland</v>
      </c>
      <c r="K540" t="str">
        <f>INDEX(products!$A$1:$G$49,MATCH($F540,products!$A$1:$A$49,0),MATCH(K$1,products!$A$1:$G$1,0))</f>
        <v>Rob</v>
      </c>
      <c r="L540" t="str">
        <f>INDEX(products!$A$1:$G$49,MATCH($F540,products!$A$1:$A$49,0),MATCH(L$1,products!$A$1:$G$1,0))</f>
        <v>L</v>
      </c>
      <c r="M540" s="5">
        <f>INDEX(products!$A$1:$G$49,MATCH($F540,products!$A$1:$A$49,0),MATCH(M$1,products!$A$1:$G$1,0))</f>
        <v>0.5</v>
      </c>
      <c r="N540" s="7">
        <f>INDEX(products!$A$1:$G$49,MATCH($F540,products!$A$1:$A$49,0),MATCH(N$1,products!$A$1:$G$1,0))</f>
        <v>7.169999999999999</v>
      </c>
      <c r="O540" s="7">
        <f t="shared" si="8"/>
        <v>28.679999999999996</v>
      </c>
      <c r="P540" t="str" cm="1">
        <f t="array" ref="P540">_xlfn.IFS(K540="Rob","Robusta",K540="Exc","Excelsa",K540="Ara","Arabica",K540="Lib","Liberica")</f>
        <v>Robusta</v>
      </c>
      <c r="Q540" t="str" cm="1">
        <f t="array" ref="Q540">_xlfn.IFS(L540="M","Medium",L540="L","Light",L540="D","Dark")</f>
        <v>Light</v>
      </c>
      <c r="R540" t="str">
        <f>_xlfn.XLOOKUP(Orders[[#This Row],[Customer ID]],customers!$A$1:$A$1001,customers!$I$1:$I$1001)</f>
        <v>No</v>
      </c>
    </row>
    <row r="541" spans="1:18" x14ac:dyDescent="0.35">
      <c r="A541" s="2" t="s">
        <v>5158</v>
      </c>
      <c r="B541" s="4">
        <v>44283</v>
      </c>
      <c r="C541" s="23">
        <f>Orders[[#This Row],[Order Date]]</f>
        <v>44283</v>
      </c>
      <c r="D541" s="2">
        <f>YEAR(Orders[[#This Row],[Order Date]])</f>
        <v>2021</v>
      </c>
      <c r="E541" s="2" t="s">
        <v>5159</v>
      </c>
      <c r="F541" t="s">
        <v>6139</v>
      </c>
      <c r="G541" s="20">
        <v>5</v>
      </c>
      <c r="H541" s="2" t="str">
        <f>INDEX(customers!$A$1:$I$1001,MATCH($E541,customers!$A$1:$A$1001,),MATCH($H$1,customers!$A$1:$I$1,0))</f>
        <v>Kandy Heddan</v>
      </c>
      <c r="I541" s="2" t="str">
        <f>IF(INDEX(customers!$A$1:$I$1001,MATCH($E541,customers!$A$1:$A$1001,0),3)=0,"",INDEX(customers!$A$1:$I$1001,MATCH($E541,customers!$A$1:$A$1001,0),3))</f>
        <v>kheddanmy@icq.com</v>
      </c>
      <c r="J541" s="2" t="str">
        <f>_xlfn.XLOOKUP(E541,customers!$A$1:$A$1001,customers!$G$1:$G$1001)</f>
        <v>United States</v>
      </c>
      <c r="K541" t="str">
        <f>INDEX(products!$A$1:$G$49,MATCH($F541,products!$A$1:$A$49,0),MATCH(K$1,products!$A$1:$G$1,0))</f>
        <v>Exc</v>
      </c>
      <c r="L541" t="str">
        <f>INDEX(products!$A$1:$G$49,MATCH($F541,products!$A$1:$A$49,0),MATCH(L$1,products!$A$1:$G$1,0))</f>
        <v>M</v>
      </c>
      <c r="M541" s="5">
        <f>INDEX(products!$A$1:$G$49,MATCH($F541,products!$A$1:$A$49,0),MATCH(M$1,products!$A$1:$G$1,0))</f>
        <v>0.5</v>
      </c>
      <c r="N541" s="7">
        <f>INDEX(products!$A$1:$G$49,MATCH($F541,products!$A$1:$A$49,0),MATCH(N$1,products!$A$1:$G$1,0))</f>
        <v>8.25</v>
      </c>
      <c r="O541" s="7">
        <f t="shared" si="8"/>
        <v>41.25</v>
      </c>
      <c r="P541" t="str" cm="1">
        <f t="array" ref="P541">_xlfn.IFS(K541="Rob","Robusta",K541="Exc","Excelsa",K541="Ara","Arabica",K541="Lib","Liberica")</f>
        <v>Excelsa</v>
      </c>
      <c r="Q541" t="str" cm="1">
        <f t="array" ref="Q541">_xlfn.IFS(L541="M","Medium",L541="L","Light",L541="D","Dark")</f>
        <v>Medium</v>
      </c>
      <c r="R541" t="str">
        <f>_xlfn.XLOOKUP(Orders[[#This Row],[Customer ID]],customers!$A$1:$A$1001,customers!$I$1:$I$1001)</f>
        <v>Yes</v>
      </c>
    </row>
    <row r="542" spans="1:18" x14ac:dyDescent="0.35">
      <c r="A542" s="2" t="s">
        <v>1389</v>
      </c>
      <c r="B542" s="4">
        <v>43837</v>
      </c>
      <c r="C542" s="23">
        <f>Orders[[#This Row],[Order Date]]</f>
        <v>43837</v>
      </c>
      <c r="D542" s="2">
        <f>YEAR(Orders[[#This Row],[Order Date]])</f>
        <v>2020</v>
      </c>
      <c r="E542" s="2" t="s">
        <v>1390</v>
      </c>
      <c r="F542" t="s">
        <v>6139</v>
      </c>
      <c r="G542" s="20">
        <v>4</v>
      </c>
      <c r="H542" s="2" t="str">
        <f>INDEX(customers!$A$1:$I$1001,MATCH($E542,customers!$A$1:$A$1001,),MATCH($H$1,customers!$A$1:$I$1,0))</f>
        <v>Kari Swede</v>
      </c>
      <c r="I542" s="2" t="str">
        <f>IF(INDEX(customers!$A$1:$I$1001,MATCH($E542,customers!$A$1:$A$1001,0),3)=0,"",INDEX(customers!$A$1:$I$1001,MATCH($E542,customers!$A$1:$A$1001,0),3))</f>
        <v>kswede4g@addthis.com</v>
      </c>
      <c r="J542" s="2" t="str">
        <f>_xlfn.XLOOKUP(E542,customers!$A$1:$A$1001,customers!$G$1:$G$1001)</f>
        <v>United States</v>
      </c>
      <c r="K542" t="str">
        <f>INDEX(products!$A$1:$G$49,MATCH($F542,products!$A$1:$A$49,0),MATCH(K$1,products!$A$1:$G$1,0))</f>
        <v>Exc</v>
      </c>
      <c r="L542" t="str">
        <f>INDEX(products!$A$1:$G$49,MATCH($F542,products!$A$1:$A$49,0),MATCH(L$1,products!$A$1:$G$1,0))</f>
        <v>M</v>
      </c>
      <c r="M542" s="5">
        <f>INDEX(products!$A$1:$G$49,MATCH($F542,products!$A$1:$A$49,0),MATCH(M$1,products!$A$1:$G$1,0))</f>
        <v>0.5</v>
      </c>
      <c r="N542" s="7">
        <f>INDEX(products!$A$1:$G$49,MATCH($F542,products!$A$1:$A$49,0),MATCH(N$1,products!$A$1:$G$1,0))</f>
        <v>8.25</v>
      </c>
      <c r="O542" s="7">
        <f t="shared" si="8"/>
        <v>33</v>
      </c>
      <c r="P542" t="str" cm="1">
        <f t="array" ref="P542">_xlfn.IFS(K542="Rob","Robusta",K542="Exc","Excelsa",K542="Ara","Arabica",K542="Lib","Liberica")</f>
        <v>Excelsa</v>
      </c>
      <c r="Q542" t="str" cm="1">
        <f t="array" ref="Q542">_xlfn.IFS(L542="M","Medium",L542="L","Light",L542="D","Dark")</f>
        <v>Medium</v>
      </c>
      <c r="R542" t="str">
        <f>_xlfn.XLOOKUP(Orders[[#This Row],[Customer ID]],customers!$A$1:$A$1001,customers!$I$1:$I$1001)</f>
        <v>No</v>
      </c>
    </row>
    <row r="543" spans="1:18" x14ac:dyDescent="0.35">
      <c r="A543" s="2" t="s">
        <v>3418</v>
      </c>
      <c r="B543" s="4">
        <v>44194</v>
      </c>
      <c r="C543" s="23">
        <f>Orders[[#This Row],[Order Date]]</f>
        <v>44194</v>
      </c>
      <c r="D543" s="2">
        <f>YEAR(Orders[[#This Row],[Order Date]])</f>
        <v>2020</v>
      </c>
      <c r="E543" s="2" t="s">
        <v>3419</v>
      </c>
      <c r="F543" t="s">
        <v>6185</v>
      </c>
      <c r="G543" s="20">
        <v>5</v>
      </c>
      <c r="H543" s="2" t="str">
        <f>INDEX(customers!$A$1:$I$1001,MATCH($E543,customers!$A$1:$A$1001,),MATCH($H$1,customers!$A$1:$I$1,0))</f>
        <v>Karl Imorts</v>
      </c>
      <c r="I543" s="2" t="str">
        <f>IF(INDEX(customers!$A$1:$I$1001,MATCH($E543,customers!$A$1:$A$1001,0),3)=0,"",INDEX(customers!$A$1:$I$1001,MATCH($E543,customers!$A$1:$A$1001,0),3))</f>
        <v>kimortsee@alexa.com</v>
      </c>
      <c r="J543" s="2" t="str">
        <f>_xlfn.XLOOKUP(E543,customers!$A$1:$A$1001,customers!$G$1:$G$1001)</f>
        <v>United States</v>
      </c>
      <c r="K543" t="str">
        <f>INDEX(products!$A$1:$G$49,MATCH($F543,products!$A$1:$A$49,0),MATCH(K$1,products!$A$1:$G$1,0))</f>
        <v>Exc</v>
      </c>
      <c r="L543" t="str">
        <f>INDEX(products!$A$1:$G$49,MATCH($F543,products!$A$1:$A$49,0),MATCH(L$1,products!$A$1:$G$1,0))</f>
        <v>D</v>
      </c>
      <c r="M543" s="5">
        <f>INDEX(products!$A$1:$G$49,MATCH($F543,products!$A$1:$A$49,0),MATCH(M$1,products!$A$1:$G$1,0))</f>
        <v>2.5</v>
      </c>
      <c r="N543" s="7">
        <f>INDEX(products!$A$1:$G$49,MATCH($F543,products!$A$1:$A$49,0),MATCH(N$1,products!$A$1:$G$1,0))</f>
        <v>27.945</v>
      </c>
      <c r="O543" s="7">
        <f t="shared" si="8"/>
        <v>139.72499999999999</v>
      </c>
      <c r="P543" t="str" cm="1">
        <f t="array" ref="P543">_xlfn.IFS(K543="Rob","Robusta",K543="Exc","Excelsa",K543="Ara","Arabica",K543="Lib","Liberica")</f>
        <v>Excelsa</v>
      </c>
      <c r="Q543" t="str" cm="1">
        <f t="array" ref="Q543">_xlfn.IFS(L543="M","Medium",L543="L","Light",L543="D","Dark")</f>
        <v>Dark</v>
      </c>
      <c r="R543" t="str">
        <f>_xlfn.XLOOKUP(Orders[[#This Row],[Customer ID]],customers!$A$1:$A$1001,customers!$I$1:$I$1001)</f>
        <v>No</v>
      </c>
    </row>
    <row r="544" spans="1:18" x14ac:dyDescent="0.35">
      <c r="A544" s="2" t="s">
        <v>2079</v>
      </c>
      <c r="B544" s="4">
        <v>44210</v>
      </c>
      <c r="C544" s="23">
        <f>Orders[[#This Row],[Order Date]]</f>
        <v>44210</v>
      </c>
      <c r="D544" s="2">
        <f>YEAR(Orders[[#This Row],[Order Date]])</f>
        <v>2021</v>
      </c>
      <c r="E544" s="2" t="s">
        <v>2080</v>
      </c>
      <c r="F544" t="s">
        <v>6171</v>
      </c>
      <c r="G544" s="20">
        <v>4</v>
      </c>
      <c r="H544" s="2" t="str">
        <f>INDEX(customers!$A$1:$I$1001,MATCH($E544,customers!$A$1:$A$1001,),MATCH($H$1,customers!$A$1:$I$1,0))</f>
        <v>Karlan Karby</v>
      </c>
      <c r="I544" s="2" t="str">
        <f>IF(INDEX(customers!$A$1:$I$1001,MATCH($E544,customers!$A$1:$A$1001,0),3)=0,"",INDEX(customers!$A$1:$I$1001,MATCH($E544,customers!$A$1:$A$1001,0),3))</f>
        <v>kkarby7t@sbwire.com</v>
      </c>
      <c r="J544" s="2" t="str">
        <f>_xlfn.XLOOKUP(E544,customers!$A$1:$A$1001,customers!$G$1:$G$1001)</f>
        <v>United States</v>
      </c>
      <c r="K544" t="str">
        <f>INDEX(products!$A$1:$G$49,MATCH($F544,products!$A$1:$A$49,0),MATCH(K$1,products!$A$1:$G$1,0))</f>
        <v>Exc</v>
      </c>
      <c r="L544" t="str">
        <f>INDEX(products!$A$1:$G$49,MATCH($F544,products!$A$1:$A$49,0),MATCH(L$1,products!$A$1:$G$1,0))</f>
        <v>L</v>
      </c>
      <c r="M544" s="5">
        <f>INDEX(products!$A$1:$G$49,MATCH($F544,products!$A$1:$A$49,0),MATCH(M$1,products!$A$1:$G$1,0))</f>
        <v>1</v>
      </c>
      <c r="N544" s="7">
        <f>INDEX(products!$A$1:$G$49,MATCH($F544,products!$A$1:$A$49,0),MATCH(N$1,products!$A$1:$G$1,0))</f>
        <v>14.85</v>
      </c>
      <c r="O544" s="7">
        <f t="shared" si="8"/>
        <v>59.4</v>
      </c>
      <c r="P544" t="str" cm="1">
        <f t="array" ref="P544">_xlfn.IFS(K544="Rob","Robusta",K544="Exc","Excelsa",K544="Ara","Arabica",K544="Lib","Liberica")</f>
        <v>Excelsa</v>
      </c>
      <c r="Q544" t="str" cm="1">
        <f t="array" ref="Q544">_xlfn.IFS(L544="M","Medium",L544="L","Light",L544="D","Dark")</f>
        <v>Light</v>
      </c>
      <c r="R544" t="str">
        <f>_xlfn.XLOOKUP(Orders[[#This Row],[Customer ID]],customers!$A$1:$A$1001,customers!$I$1:$I$1001)</f>
        <v>Yes</v>
      </c>
    </row>
    <row r="545" spans="1:18" x14ac:dyDescent="0.35">
      <c r="A545" s="2" t="s">
        <v>778</v>
      </c>
      <c r="B545" s="4">
        <v>43600</v>
      </c>
      <c r="C545" s="23">
        <f>Orders[[#This Row],[Order Date]]</f>
        <v>43600</v>
      </c>
      <c r="D545" s="2">
        <f>YEAR(Orders[[#This Row],[Order Date]])</f>
        <v>2019</v>
      </c>
      <c r="E545" s="2" t="s">
        <v>779</v>
      </c>
      <c r="F545" t="s">
        <v>6164</v>
      </c>
      <c r="G545" s="20">
        <v>4</v>
      </c>
      <c r="H545" s="2" t="str">
        <f>INDEX(customers!$A$1:$I$1001,MATCH($E545,customers!$A$1:$A$1001,),MATCH($H$1,customers!$A$1:$I$1,0))</f>
        <v>Karry Flanders</v>
      </c>
      <c r="I545" s="2" t="str">
        <f>IF(INDEX(customers!$A$1:$I$1001,MATCH($E545,customers!$A$1:$A$1001,0),3)=0,"",INDEX(customers!$A$1:$I$1001,MATCH($E545,customers!$A$1:$A$1001,0),3))</f>
        <v>kflanders1f@over-blog.com</v>
      </c>
      <c r="J545" s="2" t="str">
        <f>_xlfn.XLOOKUP(E545,customers!$A$1:$A$1001,customers!$G$1:$G$1001)</f>
        <v>Ireland</v>
      </c>
      <c r="K545" t="str">
        <f>INDEX(products!$A$1:$G$49,MATCH($F545,products!$A$1:$A$49,0),MATCH(K$1,products!$A$1:$G$1,0))</f>
        <v>Lib</v>
      </c>
      <c r="L545" t="str">
        <f>INDEX(products!$A$1:$G$49,MATCH($F545,products!$A$1:$A$49,0),MATCH(L$1,products!$A$1:$G$1,0))</f>
        <v>L</v>
      </c>
      <c r="M545" s="5">
        <f>INDEX(products!$A$1:$G$49,MATCH($F545,products!$A$1:$A$49,0),MATCH(M$1,products!$A$1:$G$1,0))</f>
        <v>2.5</v>
      </c>
      <c r="N545" s="7">
        <f>INDEX(products!$A$1:$G$49,MATCH($F545,products!$A$1:$A$49,0),MATCH(N$1,products!$A$1:$G$1,0))</f>
        <v>36.454999999999998</v>
      </c>
      <c r="O545" s="7">
        <f t="shared" si="8"/>
        <v>145.82</v>
      </c>
      <c r="P545" t="str" cm="1">
        <f t="array" ref="P545">_xlfn.IFS(K545="Rob","Robusta",K545="Exc","Excelsa",K545="Ara","Arabica",K545="Lib","Liberica")</f>
        <v>Liberica</v>
      </c>
      <c r="Q545" t="str" cm="1">
        <f t="array" ref="Q545">_xlfn.IFS(L545="M","Medium",L545="L","Light",L545="D","Dark")</f>
        <v>Light</v>
      </c>
      <c r="R545" t="str">
        <f>_xlfn.XLOOKUP(Orders[[#This Row],[Customer ID]],customers!$A$1:$A$1001,customers!$I$1:$I$1001)</f>
        <v>Yes</v>
      </c>
    </row>
    <row r="546" spans="1:18" x14ac:dyDescent="0.35">
      <c r="A546" s="2" t="s">
        <v>4961</v>
      </c>
      <c r="B546" s="4">
        <v>43954</v>
      </c>
      <c r="C546" s="23">
        <f>Orders[[#This Row],[Order Date]]</f>
        <v>43954</v>
      </c>
      <c r="D546" s="2">
        <f>YEAR(Orders[[#This Row],[Order Date]])</f>
        <v>2020</v>
      </c>
      <c r="E546" s="2" t="s">
        <v>4962</v>
      </c>
      <c r="F546" t="s">
        <v>6145</v>
      </c>
      <c r="G546" s="20">
        <v>5</v>
      </c>
      <c r="H546" s="2" t="str">
        <f>INDEX(customers!$A$1:$I$1001,MATCH($E546,customers!$A$1:$A$1001,),MATCH($H$1,customers!$A$1:$I$1,0))</f>
        <v>Karylin Huddart</v>
      </c>
      <c r="I546" s="2" t="str">
        <f>IF(INDEX(customers!$A$1:$I$1001,MATCH($E546,customers!$A$1:$A$1001,0),3)=0,"",INDEX(customers!$A$1:$I$1001,MATCH($E546,customers!$A$1:$A$1001,0),3))</f>
        <v>khuddartlz@about.com</v>
      </c>
      <c r="J546" s="2" t="str">
        <f>_xlfn.XLOOKUP(E546,customers!$A$1:$A$1001,customers!$G$1:$G$1001)</f>
        <v>United States</v>
      </c>
      <c r="K546" t="str">
        <f>INDEX(products!$A$1:$G$49,MATCH($F546,products!$A$1:$A$49,0),MATCH(K$1,products!$A$1:$G$1,0))</f>
        <v>Lib</v>
      </c>
      <c r="L546" t="str">
        <f>INDEX(products!$A$1:$G$49,MATCH($F546,products!$A$1:$A$49,0),MATCH(L$1,products!$A$1:$G$1,0))</f>
        <v>L</v>
      </c>
      <c r="M546" s="5">
        <f>INDEX(products!$A$1:$G$49,MATCH($F546,products!$A$1:$A$49,0),MATCH(M$1,products!$A$1:$G$1,0))</f>
        <v>0.2</v>
      </c>
      <c r="N546" s="7">
        <f>INDEX(products!$A$1:$G$49,MATCH($F546,products!$A$1:$A$49,0),MATCH(N$1,products!$A$1:$G$1,0))</f>
        <v>4.7549999999999999</v>
      </c>
      <c r="O546" s="7">
        <f t="shared" si="8"/>
        <v>23.774999999999999</v>
      </c>
      <c r="P546" t="str" cm="1">
        <f t="array" ref="P546">_xlfn.IFS(K546="Rob","Robusta",K546="Exc","Excelsa",K546="Ara","Arabica",K546="Lib","Liberica")</f>
        <v>Liberica</v>
      </c>
      <c r="Q546" t="str" cm="1">
        <f t="array" ref="Q546">_xlfn.IFS(L546="M","Medium",L546="L","Light",L546="D","Dark")</f>
        <v>Light</v>
      </c>
      <c r="R546" t="str">
        <f>_xlfn.XLOOKUP(Orders[[#This Row],[Customer ID]],customers!$A$1:$A$1001,customers!$I$1:$I$1001)</f>
        <v>Yes</v>
      </c>
    </row>
    <row r="547" spans="1:18" x14ac:dyDescent="0.35">
      <c r="A547" s="2" t="s">
        <v>1492</v>
      </c>
      <c r="B547" s="4">
        <v>43746</v>
      </c>
      <c r="C547" s="23">
        <f>Orders[[#This Row],[Order Date]]</f>
        <v>43746</v>
      </c>
      <c r="D547" s="2">
        <f>YEAR(Orders[[#This Row],[Order Date]])</f>
        <v>2019</v>
      </c>
      <c r="E547" s="2" t="s">
        <v>1493</v>
      </c>
      <c r="F547" t="s">
        <v>6140</v>
      </c>
      <c r="G547" s="20">
        <v>2</v>
      </c>
      <c r="H547" s="2" t="str">
        <f>INDEX(customers!$A$1:$I$1001,MATCH($E547,customers!$A$1:$A$1001,),MATCH($H$1,customers!$A$1:$I$1,0))</f>
        <v>Katerina Melloi</v>
      </c>
      <c r="I547" s="2" t="str">
        <f>IF(INDEX(customers!$A$1:$I$1001,MATCH($E547,customers!$A$1:$A$1001,0),3)=0,"",INDEX(customers!$A$1:$I$1001,MATCH($E547,customers!$A$1:$A$1001,0),3))</f>
        <v>kmelloi4y@imdb.com</v>
      </c>
      <c r="J547" s="2" t="str">
        <f>_xlfn.XLOOKUP(E547,customers!$A$1:$A$1001,customers!$G$1:$G$1001)</f>
        <v>United States</v>
      </c>
      <c r="K547" t="str">
        <f>INDEX(products!$A$1:$G$49,MATCH($F547,products!$A$1:$A$49,0),MATCH(K$1,products!$A$1:$G$1,0))</f>
        <v>Ara</v>
      </c>
      <c r="L547" t="str">
        <f>INDEX(products!$A$1:$G$49,MATCH($F547,products!$A$1:$A$49,0),MATCH(L$1,products!$A$1:$G$1,0))</f>
        <v>L</v>
      </c>
      <c r="M547" s="5">
        <f>INDEX(products!$A$1:$G$49,MATCH($F547,products!$A$1:$A$49,0),MATCH(M$1,products!$A$1:$G$1,0))</f>
        <v>1</v>
      </c>
      <c r="N547" s="7">
        <f>INDEX(products!$A$1:$G$49,MATCH($F547,products!$A$1:$A$49,0),MATCH(N$1,products!$A$1:$G$1,0))</f>
        <v>12.95</v>
      </c>
      <c r="O547" s="7">
        <f t="shared" si="8"/>
        <v>25.9</v>
      </c>
      <c r="P547" t="str" cm="1">
        <f t="array" ref="P547">_xlfn.IFS(K547="Rob","Robusta",K547="Exc","Excelsa",K547="Ara","Arabica",K547="Lib","Liberica")</f>
        <v>Arabica</v>
      </c>
      <c r="Q547" t="str" cm="1">
        <f t="array" ref="Q547">_xlfn.IFS(L547="M","Medium",L547="L","Light",L547="D","Dark")</f>
        <v>Light</v>
      </c>
      <c r="R547" t="str">
        <f>_xlfn.XLOOKUP(Orders[[#This Row],[Customer ID]],customers!$A$1:$A$1001,customers!$I$1:$I$1001)</f>
        <v>No</v>
      </c>
    </row>
    <row r="548" spans="1:18" x14ac:dyDescent="0.35">
      <c r="A548" s="2" t="s">
        <v>5046</v>
      </c>
      <c r="B548" s="4">
        <v>44241</v>
      </c>
      <c r="C548" s="23">
        <f>Orders[[#This Row],[Order Date]]</f>
        <v>44241</v>
      </c>
      <c r="D548" s="2">
        <f>YEAR(Orders[[#This Row],[Order Date]])</f>
        <v>2021</v>
      </c>
      <c r="E548" s="2" t="s">
        <v>5047</v>
      </c>
      <c r="F548" t="s">
        <v>6150</v>
      </c>
      <c r="G548" s="20">
        <v>2</v>
      </c>
      <c r="H548" s="2" t="str">
        <f>INDEX(customers!$A$1:$I$1001,MATCH($E548,customers!$A$1:$A$1001,),MATCH($H$1,customers!$A$1:$I$1,0))</f>
        <v>Kathleen Diable</v>
      </c>
      <c r="I548" s="2" t="str">
        <f>IF(INDEX(customers!$A$1:$I$1001,MATCH($E548,customers!$A$1:$A$1001,0),3)=0,"",INDEX(customers!$A$1:$I$1001,MATCH($E548,customers!$A$1:$A$1001,0),3))</f>
        <v/>
      </c>
      <c r="J548" s="2" t="str">
        <f>_xlfn.XLOOKUP(E548,customers!$A$1:$A$1001,customers!$G$1:$G$1001)</f>
        <v>United Kingdom</v>
      </c>
      <c r="K548" t="str">
        <f>INDEX(products!$A$1:$G$49,MATCH($F548,products!$A$1:$A$49,0),MATCH(K$1,products!$A$1:$G$1,0))</f>
        <v>Lib</v>
      </c>
      <c r="L548" t="str">
        <f>INDEX(products!$A$1:$G$49,MATCH($F548,products!$A$1:$A$49,0),MATCH(L$1,products!$A$1:$G$1,0))</f>
        <v>D</v>
      </c>
      <c r="M548" s="5">
        <f>INDEX(products!$A$1:$G$49,MATCH($F548,products!$A$1:$A$49,0),MATCH(M$1,products!$A$1:$G$1,0))</f>
        <v>0.2</v>
      </c>
      <c r="N548" s="7">
        <f>INDEX(products!$A$1:$G$49,MATCH($F548,products!$A$1:$A$49,0),MATCH(N$1,products!$A$1:$G$1,0))</f>
        <v>3.8849999999999998</v>
      </c>
      <c r="O548" s="7">
        <f t="shared" si="8"/>
        <v>7.77</v>
      </c>
      <c r="P548" t="str" cm="1">
        <f t="array" ref="P548">_xlfn.IFS(K548="Rob","Robusta",K548="Exc","Excelsa",K548="Ara","Arabica",K548="Lib","Liberica")</f>
        <v>Liberica</v>
      </c>
      <c r="Q548" t="str" cm="1">
        <f t="array" ref="Q548">_xlfn.IFS(L548="M","Medium",L548="L","Light",L548="D","Dark")</f>
        <v>Dark</v>
      </c>
      <c r="R548" t="str">
        <f>_xlfn.XLOOKUP(Orders[[#This Row],[Customer ID]],customers!$A$1:$A$1001,customers!$I$1:$I$1001)</f>
        <v>Yes</v>
      </c>
    </row>
    <row r="549" spans="1:18" x14ac:dyDescent="0.35">
      <c r="A549" s="2" t="s">
        <v>3225</v>
      </c>
      <c r="B549" s="4">
        <v>44479</v>
      </c>
      <c r="C549" s="23">
        <f>Orders[[#This Row],[Order Date]]</f>
        <v>44479</v>
      </c>
      <c r="D549" s="2">
        <f>YEAR(Orders[[#This Row],[Order Date]])</f>
        <v>2021</v>
      </c>
      <c r="E549" s="2" t="s">
        <v>3226</v>
      </c>
      <c r="F549" t="s">
        <v>6161</v>
      </c>
      <c r="G549" s="20">
        <v>6</v>
      </c>
      <c r="H549" s="2" t="str">
        <f>INDEX(customers!$A$1:$I$1001,MATCH($E549,customers!$A$1:$A$1001,),MATCH($H$1,customers!$A$1:$I$1,0))</f>
        <v>Keefer Cake</v>
      </c>
      <c r="I549" s="2" t="str">
        <f>IF(INDEX(customers!$A$1:$I$1001,MATCH($E549,customers!$A$1:$A$1001,0),3)=0,"",INDEX(customers!$A$1:$I$1001,MATCH($E549,customers!$A$1:$A$1001,0),3))</f>
        <v>kcakedg@huffingtonpost.com</v>
      </c>
      <c r="J549" s="2" t="str">
        <f>_xlfn.XLOOKUP(E549,customers!$A$1:$A$1001,customers!$G$1:$G$1001)</f>
        <v>United States</v>
      </c>
      <c r="K549" t="str">
        <f>INDEX(products!$A$1:$G$49,MATCH($F549,products!$A$1:$A$49,0),MATCH(K$1,products!$A$1:$G$1,0))</f>
        <v>Lib</v>
      </c>
      <c r="L549" t="str">
        <f>INDEX(products!$A$1:$G$49,MATCH($F549,products!$A$1:$A$49,0),MATCH(L$1,products!$A$1:$G$1,0))</f>
        <v>L</v>
      </c>
      <c r="M549" s="5">
        <f>INDEX(products!$A$1:$G$49,MATCH($F549,products!$A$1:$A$49,0),MATCH(M$1,products!$A$1:$G$1,0))</f>
        <v>0.5</v>
      </c>
      <c r="N549" s="7">
        <f>INDEX(products!$A$1:$G$49,MATCH($F549,products!$A$1:$A$49,0),MATCH(N$1,products!$A$1:$G$1,0))</f>
        <v>9.51</v>
      </c>
      <c r="O549" s="7">
        <f t="shared" si="8"/>
        <v>57.06</v>
      </c>
      <c r="P549" t="str" cm="1">
        <f t="array" ref="P549">_xlfn.IFS(K549="Rob","Robusta",K549="Exc","Excelsa",K549="Ara","Arabica",K549="Lib","Liberica")</f>
        <v>Liberica</v>
      </c>
      <c r="Q549" t="str" cm="1">
        <f t="array" ref="Q549">_xlfn.IFS(L549="M","Medium",L549="L","Light",L549="D","Dark")</f>
        <v>Light</v>
      </c>
      <c r="R549" t="str">
        <f>_xlfn.XLOOKUP(Orders[[#This Row],[Customer ID]],customers!$A$1:$A$1001,customers!$I$1:$I$1001)</f>
        <v>No</v>
      </c>
    </row>
    <row r="550" spans="1:18" x14ac:dyDescent="0.35">
      <c r="A550" s="2" t="s">
        <v>2169</v>
      </c>
      <c r="B550" s="4">
        <v>43872</v>
      </c>
      <c r="C550" s="23">
        <f>Orders[[#This Row],[Order Date]]</f>
        <v>43872</v>
      </c>
      <c r="D550" s="2">
        <f>YEAR(Orders[[#This Row],[Order Date]])</f>
        <v>2020</v>
      </c>
      <c r="E550" s="2" t="s">
        <v>2170</v>
      </c>
      <c r="F550" t="s">
        <v>6184</v>
      </c>
      <c r="G550" s="20">
        <v>6</v>
      </c>
      <c r="H550" s="2" t="str">
        <f>INDEX(customers!$A$1:$I$1001,MATCH($E550,customers!$A$1:$A$1001,),MATCH($H$1,customers!$A$1:$I$1,0))</f>
        <v>Ken Lestrange</v>
      </c>
      <c r="I550" s="2" t="str">
        <f>IF(INDEX(customers!$A$1:$I$1001,MATCH($E550,customers!$A$1:$A$1001,0),3)=0,"",INDEX(customers!$A$1:$I$1001,MATCH($E550,customers!$A$1:$A$1001,0),3))</f>
        <v>klestrange8a@lulu.com</v>
      </c>
      <c r="J550" s="2" t="str">
        <f>_xlfn.XLOOKUP(E550,customers!$A$1:$A$1001,customers!$G$1:$G$1001)</f>
        <v>United States</v>
      </c>
      <c r="K550" t="str">
        <f>INDEX(products!$A$1:$G$49,MATCH($F550,products!$A$1:$A$49,0),MATCH(K$1,products!$A$1:$G$1,0))</f>
        <v>Exc</v>
      </c>
      <c r="L550" t="str">
        <f>INDEX(products!$A$1:$G$49,MATCH($F550,products!$A$1:$A$49,0),MATCH(L$1,products!$A$1:$G$1,0))</f>
        <v>L</v>
      </c>
      <c r="M550" s="5">
        <f>INDEX(products!$A$1:$G$49,MATCH($F550,products!$A$1:$A$49,0),MATCH(M$1,products!$A$1:$G$1,0))</f>
        <v>0.2</v>
      </c>
      <c r="N550" s="7">
        <f>INDEX(products!$A$1:$G$49,MATCH($F550,products!$A$1:$A$49,0),MATCH(N$1,products!$A$1:$G$1,0))</f>
        <v>4.4550000000000001</v>
      </c>
      <c r="O550" s="7">
        <f t="shared" si="8"/>
        <v>26.73</v>
      </c>
      <c r="P550" t="str" cm="1">
        <f t="array" ref="P550">_xlfn.IFS(K550="Rob","Robusta",K550="Exc","Excelsa",K550="Ara","Arabica",K550="Lib","Liberica")</f>
        <v>Excelsa</v>
      </c>
      <c r="Q550" t="str" cm="1">
        <f t="array" ref="Q550">_xlfn.IFS(L550="M","Medium",L550="L","Light",L550="D","Dark")</f>
        <v>Light</v>
      </c>
      <c r="R550" t="str">
        <f>_xlfn.XLOOKUP(Orders[[#This Row],[Customer ID]],customers!$A$1:$A$1001,customers!$I$1:$I$1001)</f>
        <v>Yes</v>
      </c>
    </row>
    <row r="551" spans="1:18" x14ac:dyDescent="0.35">
      <c r="A551" s="2" t="s">
        <v>3266</v>
      </c>
      <c r="B551" s="4">
        <v>44101</v>
      </c>
      <c r="C551" s="23">
        <f>Orders[[#This Row],[Order Date]]</f>
        <v>44101</v>
      </c>
      <c r="D551" s="2">
        <f>YEAR(Orders[[#This Row],[Order Date]])</f>
        <v>2020</v>
      </c>
      <c r="E551" s="2" t="s">
        <v>3267</v>
      </c>
      <c r="F551" t="s">
        <v>6150</v>
      </c>
      <c r="G551" s="20">
        <v>6</v>
      </c>
      <c r="H551" s="2" t="str">
        <f>INDEX(customers!$A$1:$I$1001,MATCH($E551,customers!$A$1:$A$1001,),MATCH($H$1,customers!$A$1:$I$1,0))</f>
        <v>Kendra Backshell</v>
      </c>
      <c r="I551" s="2" t="str">
        <f>IF(INDEX(customers!$A$1:$I$1001,MATCH($E551,customers!$A$1:$A$1001,0),3)=0,"",INDEX(customers!$A$1:$I$1001,MATCH($E551,customers!$A$1:$A$1001,0),3))</f>
        <v/>
      </c>
      <c r="J551" s="2" t="str">
        <f>_xlfn.XLOOKUP(E551,customers!$A$1:$A$1001,customers!$G$1:$G$1001)</f>
        <v>United States</v>
      </c>
      <c r="K551" t="str">
        <f>INDEX(products!$A$1:$G$49,MATCH($F551,products!$A$1:$A$49,0),MATCH(K$1,products!$A$1:$G$1,0))</f>
        <v>Lib</v>
      </c>
      <c r="L551" t="str">
        <f>INDEX(products!$A$1:$G$49,MATCH($F551,products!$A$1:$A$49,0),MATCH(L$1,products!$A$1:$G$1,0))</f>
        <v>D</v>
      </c>
      <c r="M551" s="5">
        <f>INDEX(products!$A$1:$G$49,MATCH($F551,products!$A$1:$A$49,0),MATCH(M$1,products!$A$1:$G$1,0))</f>
        <v>0.2</v>
      </c>
      <c r="N551" s="7">
        <f>INDEX(products!$A$1:$G$49,MATCH($F551,products!$A$1:$A$49,0),MATCH(N$1,products!$A$1:$G$1,0))</f>
        <v>3.8849999999999998</v>
      </c>
      <c r="O551" s="7">
        <f t="shared" si="8"/>
        <v>23.31</v>
      </c>
      <c r="P551" t="str" cm="1">
        <f t="array" ref="P551">_xlfn.IFS(K551="Rob","Robusta",K551="Exc","Excelsa",K551="Ara","Arabica",K551="Lib","Liberica")</f>
        <v>Liberica</v>
      </c>
      <c r="Q551" t="str" cm="1">
        <f t="array" ref="Q551">_xlfn.IFS(L551="M","Medium",L551="L","Light",L551="D","Dark")</f>
        <v>Dark</v>
      </c>
      <c r="R551" t="str">
        <f>_xlfn.XLOOKUP(Orders[[#This Row],[Customer ID]],customers!$A$1:$A$1001,customers!$I$1:$I$1001)</f>
        <v>No</v>
      </c>
    </row>
    <row r="552" spans="1:18" x14ac:dyDescent="0.35">
      <c r="A552" s="2" t="s">
        <v>1643</v>
      </c>
      <c r="B552" s="4">
        <v>43883</v>
      </c>
      <c r="C552" s="23">
        <f>Orders[[#This Row],[Order Date]]</f>
        <v>43883</v>
      </c>
      <c r="D552" s="2">
        <f>YEAR(Orders[[#This Row],[Order Date]])</f>
        <v>2020</v>
      </c>
      <c r="E552" s="2" t="s">
        <v>1644</v>
      </c>
      <c r="F552" t="s">
        <v>6163</v>
      </c>
      <c r="G552" s="20">
        <v>3</v>
      </c>
      <c r="H552" s="2" t="str">
        <f>INDEX(customers!$A$1:$I$1001,MATCH($E552,customers!$A$1:$A$1001,),MATCH($H$1,customers!$A$1:$I$1,0))</f>
        <v>Kendra Glison</v>
      </c>
      <c r="I552" s="2" t="str">
        <f>IF(INDEX(customers!$A$1:$I$1001,MATCH($E552,customers!$A$1:$A$1001,0),3)=0,"",INDEX(customers!$A$1:$I$1001,MATCH($E552,customers!$A$1:$A$1001,0),3))</f>
        <v/>
      </c>
      <c r="J552" s="2" t="str">
        <f>_xlfn.XLOOKUP(E552,customers!$A$1:$A$1001,customers!$G$1:$G$1001)</f>
        <v>United States</v>
      </c>
      <c r="K552" t="str">
        <f>INDEX(products!$A$1:$G$49,MATCH($F552,products!$A$1:$A$49,0),MATCH(K$1,products!$A$1:$G$1,0))</f>
        <v>Rob</v>
      </c>
      <c r="L552" t="str">
        <f>INDEX(products!$A$1:$G$49,MATCH($F552,products!$A$1:$A$49,0),MATCH(L$1,products!$A$1:$G$1,0))</f>
        <v>D</v>
      </c>
      <c r="M552" s="5">
        <f>INDEX(products!$A$1:$G$49,MATCH($F552,products!$A$1:$A$49,0),MATCH(M$1,products!$A$1:$G$1,0))</f>
        <v>0.2</v>
      </c>
      <c r="N552" s="7">
        <f>INDEX(products!$A$1:$G$49,MATCH($F552,products!$A$1:$A$49,0),MATCH(N$1,products!$A$1:$G$1,0))</f>
        <v>2.6849999999999996</v>
      </c>
      <c r="O552" s="7">
        <f t="shared" si="8"/>
        <v>8.0549999999999997</v>
      </c>
      <c r="P552" t="str" cm="1">
        <f t="array" ref="P552">_xlfn.IFS(K552="Rob","Robusta",K552="Exc","Excelsa",K552="Ara","Arabica",K552="Lib","Liberica")</f>
        <v>Robusta</v>
      </c>
      <c r="Q552" t="str" cm="1">
        <f t="array" ref="Q552">_xlfn.IFS(L552="M","Medium",L552="L","Light",L552="D","Dark")</f>
        <v>Dark</v>
      </c>
      <c r="R552" t="str">
        <f>_xlfn.XLOOKUP(Orders[[#This Row],[Customer ID]],customers!$A$1:$A$1001,customers!$I$1:$I$1001)</f>
        <v>Yes</v>
      </c>
    </row>
    <row r="553" spans="1:18" x14ac:dyDescent="0.35">
      <c r="A553" s="2" t="s">
        <v>3643</v>
      </c>
      <c r="B553" s="4">
        <v>44225</v>
      </c>
      <c r="C553" s="23">
        <f>Orders[[#This Row],[Order Date]]</f>
        <v>44225</v>
      </c>
      <c r="D553" s="2">
        <f>YEAR(Orders[[#This Row],[Order Date]])</f>
        <v>2021</v>
      </c>
      <c r="E553" s="2" t="s">
        <v>3644</v>
      </c>
      <c r="F553" t="s">
        <v>6150</v>
      </c>
      <c r="G553" s="20">
        <v>4</v>
      </c>
      <c r="H553" s="2" t="str">
        <f>INDEX(customers!$A$1:$I$1001,MATCH($E553,customers!$A$1:$A$1001,),MATCH($H$1,customers!$A$1:$I$1,0))</f>
        <v>Kenton Wetherick</v>
      </c>
      <c r="I553" s="2" t="str">
        <f>IF(INDEX(customers!$A$1:$I$1001,MATCH($E553,customers!$A$1:$A$1001,0),3)=0,"",INDEX(customers!$A$1:$I$1001,MATCH($E553,customers!$A$1:$A$1001,0),3))</f>
        <v/>
      </c>
      <c r="J553" s="2" t="str">
        <f>_xlfn.XLOOKUP(E553,customers!$A$1:$A$1001,customers!$G$1:$G$1001)</f>
        <v>United States</v>
      </c>
      <c r="K553" t="str">
        <f>INDEX(products!$A$1:$G$49,MATCH($F553,products!$A$1:$A$49,0),MATCH(K$1,products!$A$1:$G$1,0))</f>
        <v>Lib</v>
      </c>
      <c r="L553" t="str">
        <f>INDEX(products!$A$1:$G$49,MATCH($F553,products!$A$1:$A$49,0),MATCH(L$1,products!$A$1:$G$1,0))</f>
        <v>D</v>
      </c>
      <c r="M553" s="5">
        <f>INDEX(products!$A$1:$G$49,MATCH($F553,products!$A$1:$A$49,0),MATCH(M$1,products!$A$1:$G$1,0))</f>
        <v>0.2</v>
      </c>
      <c r="N553" s="7">
        <f>INDEX(products!$A$1:$G$49,MATCH($F553,products!$A$1:$A$49,0),MATCH(N$1,products!$A$1:$G$1,0))</f>
        <v>3.8849999999999998</v>
      </c>
      <c r="O553" s="7">
        <f t="shared" si="8"/>
        <v>15.54</v>
      </c>
      <c r="P553" t="str" cm="1">
        <f t="array" ref="P553">_xlfn.IFS(K553="Rob","Robusta",K553="Exc","Excelsa",K553="Ara","Arabica",K553="Lib","Liberica")</f>
        <v>Liberica</v>
      </c>
      <c r="Q553" t="str" cm="1">
        <f t="array" ref="Q553">_xlfn.IFS(L553="M","Medium",L553="L","Light",L553="D","Dark")</f>
        <v>Dark</v>
      </c>
      <c r="R553" t="str">
        <f>_xlfn.XLOOKUP(Orders[[#This Row],[Customer ID]],customers!$A$1:$A$1001,customers!$I$1:$I$1001)</f>
        <v>Yes</v>
      </c>
    </row>
    <row r="554" spans="1:18" x14ac:dyDescent="0.35">
      <c r="A554" s="2" t="s">
        <v>2112</v>
      </c>
      <c r="B554" s="4">
        <v>44697</v>
      </c>
      <c r="C554" s="23">
        <f>Orders[[#This Row],[Order Date]]</f>
        <v>44697</v>
      </c>
      <c r="D554" s="2">
        <f>YEAR(Orders[[#This Row],[Order Date]])</f>
        <v>2022</v>
      </c>
      <c r="E554" s="2" t="s">
        <v>2113</v>
      </c>
      <c r="F554" t="s">
        <v>6178</v>
      </c>
      <c r="G554" s="20">
        <v>4</v>
      </c>
      <c r="H554" s="2" t="str">
        <f>INDEX(customers!$A$1:$I$1001,MATCH($E554,customers!$A$1:$A$1001,),MATCH($H$1,customers!$A$1:$I$1,0))</f>
        <v>Kerr Patise</v>
      </c>
      <c r="I554" s="2" t="str">
        <f>IF(INDEX(customers!$A$1:$I$1001,MATCH($E554,customers!$A$1:$A$1001,0),3)=0,"",INDEX(customers!$A$1:$I$1001,MATCH($E554,customers!$A$1:$A$1001,0),3))</f>
        <v>kpatise7z@jigsy.com</v>
      </c>
      <c r="J554" s="2" t="str">
        <f>_xlfn.XLOOKUP(E554,customers!$A$1:$A$1001,customers!$G$1:$G$1001)</f>
        <v>United States</v>
      </c>
      <c r="K554" t="str">
        <f>INDEX(products!$A$1:$G$49,MATCH($F554,products!$A$1:$A$49,0),MATCH(K$1,products!$A$1:$G$1,0))</f>
        <v>Rob</v>
      </c>
      <c r="L554" t="str">
        <f>INDEX(products!$A$1:$G$49,MATCH($F554,products!$A$1:$A$49,0),MATCH(L$1,products!$A$1:$G$1,0))</f>
        <v>L</v>
      </c>
      <c r="M554" s="5">
        <f>INDEX(products!$A$1:$G$49,MATCH($F554,products!$A$1:$A$49,0),MATCH(M$1,products!$A$1:$G$1,0))</f>
        <v>0.2</v>
      </c>
      <c r="N554" s="7">
        <f>INDEX(products!$A$1:$G$49,MATCH($F554,products!$A$1:$A$49,0),MATCH(N$1,products!$A$1:$G$1,0))</f>
        <v>3.5849999999999995</v>
      </c>
      <c r="O554" s="7">
        <f t="shared" si="8"/>
        <v>14.339999999999998</v>
      </c>
      <c r="P554" t="str" cm="1">
        <f t="array" ref="P554">_xlfn.IFS(K554="Rob","Robusta",K554="Exc","Excelsa",K554="Ara","Arabica",K554="Lib","Liberica")</f>
        <v>Robusta</v>
      </c>
      <c r="Q554" t="str" cm="1">
        <f t="array" ref="Q554">_xlfn.IFS(L554="M","Medium",L554="L","Light",L554="D","Dark")</f>
        <v>Light</v>
      </c>
      <c r="R554" t="str">
        <f>_xlfn.XLOOKUP(Orders[[#This Row],[Customer ID]],customers!$A$1:$A$1001,customers!$I$1:$I$1001)</f>
        <v>No</v>
      </c>
    </row>
    <row r="555" spans="1:18" x14ac:dyDescent="0.35">
      <c r="A555" s="2" t="s">
        <v>1753</v>
      </c>
      <c r="B555" s="4">
        <v>43836</v>
      </c>
      <c r="C555" s="23">
        <f>Orders[[#This Row],[Order Date]]</f>
        <v>43836</v>
      </c>
      <c r="D555" s="2">
        <f>YEAR(Orders[[#This Row],[Order Date]])</f>
        <v>2020</v>
      </c>
      <c r="E555" s="2" t="s">
        <v>1754</v>
      </c>
      <c r="F555" t="s">
        <v>6165</v>
      </c>
      <c r="G555" s="20">
        <v>4</v>
      </c>
      <c r="H555" s="2" t="str">
        <f>INDEX(customers!$A$1:$I$1001,MATCH($E555,customers!$A$1:$A$1001,),MATCH($H$1,customers!$A$1:$I$1,0))</f>
        <v>Ketty Bromehead</v>
      </c>
      <c r="I555" s="2" t="str">
        <f>IF(INDEX(customers!$A$1:$I$1001,MATCH($E555,customers!$A$1:$A$1001,0),3)=0,"",INDEX(customers!$A$1:$I$1001,MATCH($E555,customers!$A$1:$A$1001,0),3))</f>
        <v>kbromehead68@un.org</v>
      </c>
      <c r="J555" s="2" t="str">
        <f>_xlfn.XLOOKUP(E555,customers!$A$1:$A$1001,customers!$G$1:$G$1001)</f>
        <v>United States</v>
      </c>
      <c r="K555" t="str">
        <f>INDEX(products!$A$1:$G$49,MATCH($F555,products!$A$1:$A$49,0),MATCH(K$1,products!$A$1:$G$1,0))</f>
        <v>Lib</v>
      </c>
      <c r="L555" t="str">
        <f>INDEX(products!$A$1:$G$49,MATCH($F555,products!$A$1:$A$49,0),MATCH(L$1,products!$A$1:$G$1,0))</f>
        <v>D</v>
      </c>
      <c r="M555" s="5">
        <f>INDEX(products!$A$1:$G$49,MATCH($F555,products!$A$1:$A$49,0),MATCH(M$1,products!$A$1:$G$1,0))</f>
        <v>2.5</v>
      </c>
      <c r="N555" s="7">
        <f>INDEX(products!$A$1:$G$49,MATCH($F555,products!$A$1:$A$49,0),MATCH(N$1,products!$A$1:$G$1,0))</f>
        <v>29.784999999999997</v>
      </c>
      <c r="O555" s="7">
        <f t="shared" si="8"/>
        <v>119.13999999999999</v>
      </c>
      <c r="P555" t="str" cm="1">
        <f t="array" ref="P555">_xlfn.IFS(K555="Rob","Robusta",K555="Exc","Excelsa",K555="Ara","Arabica",K555="Lib","Liberica")</f>
        <v>Liberica</v>
      </c>
      <c r="Q555" t="str" cm="1">
        <f t="array" ref="Q555">_xlfn.IFS(L555="M","Medium",L555="L","Light",L555="D","Dark")</f>
        <v>Dark</v>
      </c>
      <c r="R555" t="str">
        <f>_xlfn.XLOOKUP(Orders[[#This Row],[Customer ID]],customers!$A$1:$A$1001,customers!$I$1:$I$1001)</f>
        <v>Yes</v>
      </c>
    </row>
    <row r="556" spans="1:18" x14ac:dyDescent="0.35">
      <c r="A556" s="2" t="s">
        <v>4377</v>
      </c>
      <c r="B556" s="4">
        <v>43579</v>
      </c>
      <c r="C556" s="23">
        <f>Orders[[#This Row],[Order Date]]</f>
        <v>43579</v>
      </c>
      <c r="D556" s="2">
        <f>YEAR(Orders[[#This Row],[Order Date]])</f>
        <v>2019</v>
      </c>
      <c r="E556" s="2" t="s">
        <v>4378</v>
      </c>
      <c r="F556" t="s">
        <v>6140</v>
      </c>
      <c r="G556" s="20">
        <v>5</v>
      </c>
      <c r="H556" s="2" t="str">
        <f>INDEX(customers!$A$1:$I$1001,MATCH($E556,customers!$A$1:$A$1001,),MATCH($H$1,customers!$A$1:$I$1,0))</f>
        <v>Kevan Grinsted</v>
      </c>
      <c r="I556" s="2" t="str">
        <f>IF(INDEX(customers!$A$1:$I$1001,MATCH($E556,customers!$A$1:$A$1001,0),3)=0,"",INDEX(customers!$A$1:$I$1001,MATCH($E556,customers!$A$1:$A$1001,0),3))</f>
        <v>kgrinstedj4@google.com.br</v>
      </c>
      <c r="J556" s="2" t="str">
        <f>_xlfn.XLOOKUP(E556,customers!$A$1:$A$1001,customers!$G$1:$G$1001)</f>
        <v>Ireland</v>
      </c>
      <c r="K556" t="str">
        <f>INDEX(products!$A$1:$G$49,MATCH($F556,products!$A$1:$A$49,0),MATCH(K$1,products!$A$1:$G$1,0))</f>
        <v>Ara</v>
      </c>
      <c r="L556" t="str">
        <f>INDEX(products!$A$1:$G$49,MATCH($F556,products!$A$1:$A$49,0),MATCH(L$1,products!$A$1:$G$1,0))</f>
        <v>L</v>
      </c>
      <c r="M556" s="5">
        <f>INDEX(products!$A$1:$G$49,MATCH($F556,products!$A$1:$A$49,0),MATCH(M$1,products!$A$1:$G$1,0))</f>
        <v>1</v>
      </c>
      <c r="N556" s="7">
        <f>INDEX(products!$A$1:$G$49,MATCH($F556,products!$A$1:$A$49,0),MATCH(N$1,products!$A$1:$G$1,0))</f>
        <v>12.95</v>
      </c>
      <c r="O556" s="7">
        <f t="shared" si="8"/>
        <v>64.75</v>
      </c>
      <c r="P556" t="str" cm="1">
        <f t="array" ref="P556">_xlfn.IFS(K556="Rob","Robusta",K556="Exc","Excelsa",K556="Ara","Arabica",K556="Lib","Liberica")</f>
        <v>Arabica</v>
      </c>
      <c r="Q556" t="str" cm="1">
        <f t="array" ref="Q556">_xlfn.IFS(L556="M","Medium",L556="L","Light",L556="D","Dark")</f>
        <v>Light</v>
      </c>
      <c r="R556" t="str">
        <f>_xlfn.XLOOKUP(Orders[[#This Row],[Customer ID]],customers!$A$1:$A$1001,customers!$I$1:$I$1001)</f>
        <v>No</v>
      </c>
    </row>
    <row r="557" spans="1:18" x14ac:dyDescent="0.35">
      <c r="A557" s="2" t="s">
        <v>5507</v>
      </c>
      <c r="B557" s="4">
        <v>44002</v>
      </c>
      <c r="C557" s="23">
        <f>Orders[[#This Row],[Order Date]]</f>
        <v>44002</v>
      </c>
      <c r="D557" s="2">
        <f>YEAR(Orders[[#This Row],[Order Date]])</f>
        <v>2020</v>
      </c>
      <c r="E557" s="2" t="s">
        <v>5508</v>
      </c>
      <c r="F557" t="s">
        <v>6184</v>
      </c>
      <c r="G557" s="20">
        <v>3</v>
      </c>
      <c r="H557" s="2" t="str">
        <f>INDEX(customers!$A$1:$I$1001,MATCH($E557,customers!$A$1:$A$1001,),MATCH($H$1,customers!$A$1:$I$1,0))</f>
        <v>Kienan Ferson</v>
      </c>
      <c r="I557" s="2" t="str">
        <f>IF(INDEX(customers!$A$1:$I$1001,MATCH($E557,customers!$A$1:$A$1001,0),3)=0,"",INDEX(customers!$A$1:$I$1001,MATCH($E557,customers!$A$1:$A$1001,0),3))</f>
        <v>kfersonon@g.co</v>
      </c>
      <c r="J557" s="2" t="str">
        <f>_xlfn.XLOOKUP(E557,customers!$A$1:$A$1001,customers!$G$1:$G$1001)</f>
        <v>United States</v>
      </c>
      <c r="K557" t="str">
        <f>INDEX(products!$A$1:$G$49,MATCH($F557,products!$A$1:$A$49,0),MATCH(K$1,products!$A$1:$G$1,0))</f>
        <v>Exc</v>
      </c>
      <c r="L557" t="str">
        <f>INDEX(products!$A$1:$G$49,MATCH($F557,products!$A$1:$A$49,0),MATCH(L$1,products!$A$1:$G$1,0))</f>
        <v>L</v>
      </c>
      <c r="M557" s="5">
        <f>INDEX(products!$A$1:$G$49,MATCH($F557,products!$A$1:$A$49,0),MATCH(M$1,products!$A$1:$G$1,0))</f>
        <v>0.2</v>
      </c>
      <c r="N557" s="7">
        <f>INDEX(products!$A$1:$G$49,MATCH($F557,products!$A$1:$A$49,0),MATCH(N$1,products!$A$1:$G$1,0))</f>
        <v>4.4550000000000001</v>
      </c>
      <c r="O557" s="7">
        <f t="shared" si="8"/>
        <v>13.365</v>
      </c>
      <c r="P557" t="str" cm="1">
        <f t="array" ref="P557">_xlfn.IFS(K557="Rob","Robusta",K557="Exc","Excelsa",K557="Ara","Arabica",K557="Lib","Liberica")</f>
        <v>Excelsa</v>
      </c>
      <c r="Q557" t="str" cm="1">
        <f t="array" ref="Q557">_xlfn.IFS(L557="M","Medium",L557="L","Light",L557="D","Dark")</f>
        <v>Light</v>
      </c>
      <c r="R557" t="str">
        <f>_xlfn.XLOOKUP(Orders[[#This Row],[Customer ID]],customers!$A$1:$A$1001,customers!$I$1:$I$1001)</f>
        <v>No</v>
      </c>
    </row>
    <row r="558" spans="1:18" x14ac:dyDescent="0.35">
      <c r="A558" s="2" t="s">
        <v>3854</v>
      </c>
      <c r="B558" s="4">
        <v>44523</v>
      </c>
      <c r="C558" s="23">
        <f>Orders[[#This Row],[Order Date]]</f>
        <v>44523</v>
      </c>
      <c r="D558" s="2">
        <f>YEAR(Orders[[#This Row],[Order Date]])</f>
        <v>2021</v>
      </c>
      <c r="E558" s="2" t="s">
        <v>3855</v>
      </c>
      <c r="F558" t="s">
        <v>6157</v>
      </c>
      <c r="G558" s="20">
        <v>5</v>
      </c>
      <c r="H558" s="2" t="str">
        <f>INDEX(customers!$A$1:$I$1001,MATCH($E558,customers!$A$1:$A$1001,),MATCH($H$1,customers!$A$1:$I$1,0))</f>
        <v>Kienan Scholard</v>
      </c>
      <c r="I558" s="2" t="str">
        <f>IF(INDEX(customers!$A$1:$I$1001,MATCH($E558,customers!$A$1:$A$1001,0),3)=0,"",INDEX(customers!$A$1:$I$1001,MATCH($E558,customers!$A$1:$A$1001,0),3))</f>
        <v>kscholardgk@sbwire.com</v>
      </c>
      <c r="J558" s="2" t="str">
        <f>_xlfn.XLOOKUP(E558,customers!$A$1:$A$1001,customers!$G$1:$G$1001)</f>
        <v>United States</v>
      </c>
      <c r="K558" t="str">
        <f>INDEX(products!$A$1:$G$49,MATCH($F558,products!$A$1:$A$49,0),MATCH(K$1,products!$A$1:$G$1,0))</f>
        <v>Ara</v>
      </c>
      <c r="L558" t="str">
        <f>INDEX(products!$A$1:$G$49,MATCH($F558,products!$A$1:$A$49,0),MATCH(L$1,products!$A$1:$G$1,0))</f>
        <v>M</v>
      </c>
      <c r="M558" s="5">
        <f>INDEX(products!$A$1:$G$49,MATCH($F558,products!$A$1:$A$49,0),MATCH(M$1,products!$A$1:$G$1,0))</f>
        <v>0.5</v>
      </c>
      <c r="N558" s="7">
        <f>INDEX(products!$A$1:$G$49,MATCH($F558,products!$A$1:$A$49,0),MATCH(N$1,products!$A$1:$G$1,0))</f>
        <v>6.75</v>
      </c>
      <c r="O558" s="7">
        <f t="shared" si="8"/>
        <v>33.75</v>
      </c>
      <c r="P558" t="str" cm="1">
        <f t="array" ref="P558">_xlfn.IFS(K558="Rob","Robusta",K558="Exc","Excelsa",K558="Ara","Arabica",K558="Lib","Liberica")</f>
        <v>Arabica</v>
      </c>
      <c r="Q558" t="str" cm="1">
        <f t="array" ref="Q558">_xlfn.IFS(L558="M","Medium",L558="L","Light",L558="D","Dark")</f>
        <v>Medium</v>
      </c>
      <c r="R558" t="str">
        <f>_xlfn.XLOOKUP(Orders[[#This Row],[Customer ID]],customers!$A$1:$A$1001,customers!$I$1:$I$1001)</f>
        <v>No</v>
      </c>
    </row>
    <row r="559" spans="1:18" x14ac:dyDescent="0.35">
      <c r="A559" s="2" t="s">
        <v>3542</v>
      </c>
      <c r="B559" s="4">
        <v>43584</v>
      </c>
      <c r="C559" s="23">
        <f>Orders[[#This Row],[Order Date]]</f>
        <v>43584</v>
      </c>
      <c r="D559" s="2">
        <f>YEAR(Orders[[#This Row],[Order Date]])</f>
        <v>2019</v>
      </c>
      <c r="E559" s="2" t="s">
        <v>3543</v>
      </c>
      <c r="F559" t="s">
        <v>6170</v>
      </c>
      <c r="G559" s="20">
        <v>4</v>
      </c>
      <c r="H559" s="2" t="str">
        <f>INDEX(customers!$A$1:$I$1001,MATCH($E559,customers!$A$1:$A$1001,),MATCH($H$1,customers!$A$1:$I$1,0))</f>
        <v>Killian Osler</v>
      </c>
      <c r="I559" s="2" t="str">
        <f>IF(INDEX(customers!$A$1:$I$1001,MATCH($E559,customers!$A$1:$A$1001,0),3)=0,"",INDEX(customers!$A$1:$I$1001,MATCH($E559,customers!$A$1:$A$1001,0),3))</f>
        <v>koslerf0@gmpg.org</v>
      </c>
      <c r="J559" s="2" t="str">
        <f>_xlfn.XLOOKUP(E559,customers!$A$1:$A$1001,customers!$G$1:$G$1001)</f>
        <v>United States</v>
      </c>
      <c r="K559" t="str">
        <f>INDEX(products!$A$1:$G$49,MATCH($F559,products!$A$1:$A$49,0),MATCH(K$1,products!$A$1:$G$1,0))</f>
        <v>Lib</v>
      </c>
      <c r="L559" t="str">
        <f>INDEX(products!$A$1:$G$49,MATCH($F559,products!$A$1:$A$49,0),MATCH(L$1,products!$A$1:$G$1,0))</f>
        <v>L</v>
      </c>
      <c r="M559" s="5">
        <f>INDEX(products!$A$1:$G$49,MATCH($F559,products!$A$1:$A$49,0),MATCH(M$1,products!$A$1:$G$1,0))</f>
        <v>1</v>
      </c>
      <c r="N559" s="7">
        <f>INDEX(products!$A$1:$G$49,MATCH($F559,products!$A$1:$A$49,0),MATCH(N$1,products!$A$1:$G$1,0))</f>
        <v>15.85</v>
      </c>
      <c r="O559" s="7">
        <f t="shared" si="8"/>
        <v>63.4</v>
      </c>
      <c r="P559" t="str" cm="1">
        <f t="array" ref="P559">_xlfn.IFS(K559="Rob","Robusta",K559="Exc","Excelsa",K559="Ara","Arabica",K559="Lib","Liberica")</f>
        <v>Liberica</v>
      </c>
      <c r="Q559" t="str" cm="1">
        <f t="array" ref="Q559">_xlfn.IFS(L559="M","Medium",L559="L","Light",L559="D","Dark")</f>
        <v>Light</v>
      </c>
      <c r="R559" t="str">
        <f>_xlfn.XLOOKUP(Orders[[#This Row],[Customer ID]],customers!$A$1:$A$1001,customers!$I$1:$I$1001)</f>
        <v>Yes</v>
      </c>
    </row>
    <row r="560" spans="1:18" x14ac:dyDescent="0.35">
      <c r="A560" s="2" t="s">
        <v>6041</v>
      </c>
      <c r="B560" s="4">
        <v>44785</v>
      </c>
      <c r="C560" s="23">
        <f>Orders[[#This Row],[Order Date]]</f>
        <v>44785</v>
      </c>
      <c r="D560" s="2">
        <f>YEAR(Orders[[#This Row],[Order Date]])</f>
        <v>2022</v>
      </c>
      <c r="E560" s="2" t="s">
        <v>6042</v>
      </c>
      <c r="F560" t="s">
        <v>6179</v>
      </c>
      <c r="G560" s="20">
        <v>2</v>
      </c>
      <c r="H560" s="2" t="str">
        <f>INDEX(customers!$A$1:$I$1001,MATCH($E560,customers!$A$1:$A$1001,),MATCH($H$1,customers!$A$1:$I$1,0))</f>
        <v>Kim Kemery</v>
      </c>
      <c r="I560" s="2" t="str">
        <f>IF(INDEX(customers!$A$1:$I$1001,MATCH($E560,customers!$A$1:$A$1001,0),3)=0,"",INDEX(customers!$A$1:$I$1001,MATCH($E560,customers!$A$1:$A$1001,0),3))</f>
        <v>kkemeryra@t.co</v>
      </c>
      <c r="J560" s="2" t="str">
        <f>_xlfn.XLOOKUP(E560,customers!$A$1:$A$1001,customers!$G$1:$G$1001)</f>
        <v>United States</v>
      </c>
      <c r="K560" t="str">
        <f>INDEX(products!$A$1:$G$49,MATCH($F560,products!$A$1:$A$49,0),MATCH(K$1,products!$A$1:$G$1,0))</f>
        <v>Rob</v>
      </c>
      <c r="L560" t="str">
        <f>INDEX(products!$A$1:$G$49,MATCH($F560,products!$A$1:$A$49,0),MATCH(L$1,products!$A$1:$G$1,0))</f>
        <v>L</v>
      </c>
      <c r="M560" s="5">
        <f>INDEX(products!$A$1:$G$49,MATCH($F560,products!$A$1:$A$49,0),MATCH(M$1,products!$A$1:$G$1,0))</f>
        <v>1</v>
      </c>
      <c r="N560" s="7">
        <f>INDEX(products!$A$1:$G$49,MATCH($F560,products!$A$1:$A$49,0),MATCH(N$1,products!$A$1:$G$1,0))</f>
        <v>11.95</v>
      </c>
      <c r="O560" s="7">
        <f t="shared" si="8"/>
        <v>23.9</v>
      </c>
      <c r="P560" t="str" cm="1">
        <f t="array" ref="P560">_xlfn.IFS(K560="Rob","Robusta",K560="Exc","Excelsa",K560="Ara","Arabica",K560="Lib","Liberica")</f>
        <v>Robusta</v>
      </c>
      <c r="Q560" t="str" cm="1">
        <f t="array" ref="Q560">_xlfn.IFS(L560="M","Medium",L560="L","Light",L560="D","Dark")</f>
        <v>Light</v>
      </c>
      <c r="R560" t="str">
        <f>_xlfn.XLOOKUP(Orders[[#This Row],[Customer ID]],customers!$A$1:$A$1001,customers!$I$1:$I$1001)</f>
        <v>Yes</v>
      </c>
    </row>
    <row r="561" spans="1:18" x14ac:dyDescent="0.35">
      <c r="A561" s="2" t="s">
        <v>1579</v>
      </c>
      <c r="B561" s="4">
        <v>44644</v>
      </c>
      <c r="C561" s="23">
        <f>Orders[[#This Row],[Order Date]]</f>
        <v>44644</v>
      </c>
      <c r="D561" s="2">
        <f>YEAR(Orders[[#This Row],[Order Date]])</f>
        <v>2022</v>
      </c>
      <c r="E561" s="2" t="s">
        <v>1580</v>
      </c>
      <c r="F561" t="s">
        <v>6171</v>
      </c>
      <c r="G561" s="20">
        <v>3</v>
      </c>
      <c r="H561" s="2" t="str">
        <f>INDEX(customers!$A$1:$I$1001,MATCH($E561,customers!$A$1:$A$1001,),MATCH($H$1,customers!$A$1:$I$1,0))</f>
        <v>Kimberli Mustchin</v>
      </c>
      <c r="I561" s="2" t="str">
        <f>IF(INDEX(customers!$A$1:$I$1001,MATCH($E561,customers!$A$1:$A$1001,0),3)=0,"",INDEX(customers!$A$1:$I$1001,MATCH($E561,customers!$A$1:$A$1001,0),3))</f>
        <v/>
      </c>
      <c r="J561" s="2" t="str">
        <f>_xlfn.XLOOKUP(E561,customers!$A$1:$A$1001,customers!$G$1:$G$1001)</f>
        <v>United States</v>
      </c>
      <c r="K561" t="str">
        <f>INDEX(products!$A$1:$G$49,MATCH($F561,products!$A$1:$A$49,0),MATCH(K$1,products!$A$1:$G$1,0))</f>
        <v>Exc</v>
      </c>
      <c r="L561" t="str">
        <f>INDEX(products!$A$1:$G$49,MATCH($F561,products!$A$1:$A$49,0),MATCH(L$1,products!$A$1:$G$1,0))</f>
        <v>L</v>
      </c>
      <c r="M561" s="5">
        <f>INDEX(products!$A$1:$G$49,MATCH($F561,products!$A$1:$A$49,0),MATCH(M$1,products!$A$1:$G$1,0))</f>
        <v>1</v>
      </c>
      <c r="N561" s="7">
        <f>INDEX(products!$A$1:$G$49,MATCH($F561,products!$A$1:$A$49,0),MATCH(N$1,products!$A$1:$G$1,0))</f>
        <v>14.85</v>
      </c>
      <c r="O561" s="7">
        <f t="shared" si="8"/>
        <v>44.55</v>
      </c>
      <c r="P561" t="str" cm="1">
        <f t="array" ref="P561">_xlfn.IFS(K561="Rob","Robusta",K561="Exc","Excelsa",K561="Ara","Arabica",K561="Lib","Liberica")</f>
        <v>Excelsa</v>
      </c>
      <c r="Q561" t="str" cm="1">
        <f t="array" ref="Q561">_xlfn.IFS(L561="M","Medium",L561="L","Light",L561="D","Dark")</f>
        <v>Light</v>
      </c>
      <c r="R561" t="str">
        <f>_xlfn.XLOOKUP(Orders[[#This Row],[Customer ID]],customers!$A$1:$A$1001,customers!$I$1:$I$1001)</f>
        <v>No</v>
      </c>
    </row>
    <row r="562" spans="1:18" x14ac:dyDescent="0.35">
      <c r="A562" s="2" t="s">
        <v>913</v>
      </c>
      <c r="B562" s="4">
        <v>44400</v>
      </c>
      <c r="C562" s="23">
        <f>Orders[[#This Row],[Order Date]]</f>
        <v>44400</v>
      </c>
      <c r="D562" s="2">
        <f>YEAR(Orders[[#This Row],[Order Date]])</f>
        <v>2021</v>
      </c>
      <c r="E562" s="2" t="s">
        <v>914</v>
      </c>
      <c r="F562" t="s">
        <v>6177</v>
      </c>
      <c r="G562" s="20">
        <v>6</v>
      </c>
      <c r="H562" s="2" t="str">
        <f>INDEX(customers!$A$1:$I$1001,MATCH($E562,customers!$A$1:$A$1001,),MATCH($H$1,customers!$A$1:$I$1,0))</f>
        <v>Kipper Boorn</v>
      </c>
      <c r="I562" s="2" t="str">
        <f>IF(INDEX(customers!$A$1:$I$1001,MATCH($E562,customers!$A$1:$A$1001,0),3)=0,"",INDEX(customers!$A$1:$I$1001,MATCH($E562,customers!$A$1:$A$1001,0),3))</f>
        <v>kboorn23@ezinearticles.com</v>
      </c>
      <c r="J562" s="2" t="str">
        <f>_xlfn.XLOOKUP(E562,customers!$A$1:$A$1001,customers!$G$1:$G$1001)</f>
        <v>Ireland</v>
      </c>
      <c r="K562" t="str">
        <f>INDEX(products!$A$1:$G$49,MATCH($F562,products!$A$1:$A$49,0),MATCH(K$1,products!$A$1:$G$1,0))</f>
        <v>Rob</v>
      </c>
      <c r="L562" t="str">
        <f>INDEX(products!$A$1:$G$49,MATCH($F562,products!$A$1:$A$49,0),MATCH(L$1,products!$A$1:$G$1,0))</f>
        <v>D</v>
      </c>
      <c r="M562" s="5">
        <f>INDEX(products!$A$1:$G$49,MATCH($F562,products!$A$1:$A$49,0),MATCH(M$1,products!$A$1:$G$1,0))</f>
        <v>1</v>
      </c>
      <c r="N562" s="7">
        <f>INDEX(products!$A$1:$G$49,MATCH($F562,products!$A$1:$A$49,0),MATCH(N$1,products!$A$1:$G$1,0))</f>
        <v>8.9499999999999993</v>
      </c>
      <c r="O562" s="7">
        <f t="shared" si="8"/>
        <v>53.699999999999996</v>
      </c>
      <c r="P562" t="str" cm="1">
        <f t="array" ref="P562">_xlfn.IFS(K562="Rob","Robusta",K562="Exc","Excelsa",K562="Ara","Arabica",K562="Lib","Liberica")</f>
        <v>Robusta</v>
      </c>
      <c r="Q562" t="str" cm="1">
        <f t="array" ref="Q562">_xlfn.IFS(L562="M","Medium",L562="L","Light",L562="D","Dark")</f>
        <v>Dark</v>
      </c>
      <c r="R562" t="str">
        <f>_xlfn.XLOOKUP(Orders[[#This Row],[Customer ID]],customers!$A$1:$A$1001,customers!$I$1:$I$1001)</f>
        <v>Yes</v>
      </c>
    </row>
    <row r="563" spans="1:18" x14ac:dyDescent="0.35">
      <c r="A563" s="2" t="s">
        <v>5525</v>
      </c>
      <c r="B563" s="4">
        <v>44646</v>
      </c>
      <c r="C563" s="23">
        <f>Orders[[#This Row],[Order Date]]</f>
        <v>44646</v>
      </c>
      <c r="D563" s="2">
        <f>YEAR(Orders[[#This Row],[Order Date]])</f>
        <v>2022</v>
      </c>
      <c r="E563" s="2" t="s">
        <v>5526</v>
      </c>
      <c r="F563" t="s">
        <v>6149</v>
      </c>
      <c r="G563" s="20">
        <v>1</v>
      </c>
      <c r="H563" s="2" t="str">
        <f>INDEX(customers!$A$1:$I$1001,MATCH($E563,customers!$A$1:$A$1001,),MATCH($H$1,customers!$A$1:$I$1,0))</f>
        <v>Kippie Marrison</v>
      </c>
      <c r="I563" s="2" t="str">
        <f>IF(INDEX(customers!$A$1:$I$1001,MATCH($E563,customers!$A$1:$A$1001,0),3)=0,"",INDEX(customers!$A$1:$I$1001,MATCH($E563,customers!$A$1:$A$1001,0),3))</f>
        <v>kmarrisonoq@dropbox.com</v>
      </c>
      <c r="J563" s="2" t="str">
        <f>_xlfn.XLOOKUP(E563,customers!$A$1:$A$1001,customers!$G$1:$G$1001)</f>
        <v>United States</v>
      </c>
      <c r="K563" t="str">
        <f>INDEX(products!$A$1:$G$49,MATCH($F563,products!$A$1:$A$49,0),MATCH(K$1,products!$A$1:$G$1,0))</f>
        <v>Rob</v>
      </c>
      <c r="L563" t="str">
        <f>INDEX(products!$A$1:$G$49,MATCH($F563,products!$A$1:$A$49,0),MATCH(L$1,products!$A$1:$G$1,0))</f>
        <v>D</v>
      </c>
      <c r="M563" s="5">
        <f>INDEX(products!$A$1:$G$49,MATCH($F563,products!$A$1:$A$49,0),MATCH(M$1,products!$A$1:$G$1,0))</f>
        <v>2.5</v>
      </c>
      <c r="N563" s="7">
        <f>INDEX(products!$A$1:$G$49,MATCH($F563,products!$A$1:$A$49,0),MATCH(N$1,products!$A$1:$G$1,0))</f>
        <v>20.584999999999997</v>
      </c>
      <c r="O563" s="7">
        <f t="shared" si="8"/>
        <v>20.584999999999997</v>
      </c>
      <c r="P563" t="str" cm="1">
        <f t="array" ref="P563">_xlfn.IFS(K563="Rob","Robusta",K563="Exc","Excelsa",K563="Ara","Arabica",K563="Lib","Liberica")</f>
        <v>Robusta</v>
      </c>
      <c r="Q563" t="str" cm="1">
        <f t="array" ref="Q563">_xlfn.IFS(L563="M","Medium",L563="L","Light",L563="D","Dark")</f>
        <v>Dark</v>
      </c>
      <c r="R563" t="str">
        <f>_xlfn.XLOOKUP(Orders[[#This Row],[Customer ID]],customers!$A$1:$A$1001,customers!$I$1:$I$1001)</f>
        <v>Yes</v>
      </c>
    </row>
    <row r="564" spans="1:18" x14ac:dyDescent="0.35">
      <c r="A564" s="2" t="s">
        <v>5477</v>
      </c>
      <c r="B564" s="4">
        <v>43647</v>
      </c>
      <c r="C564" s="23">
        <f>Orders[[#This Row],[Order Date]]</f>
        <v>43647</v>
      </c>
      <c r="D564" s="2">
        <f>YEAR(Orders[[#This Row],[Order Date]])</f>
        <v>2019</v>
      </c>
      <c r="E564" s="2" t="s">
        <v>5526</v>
      </c>
      <c r="F564" t="s">
        <v>6168</v>
      </c>
      <c r="G564" s="20">
        <v>5</v>
      </c>
      <c r="H564" s="2" t="str">
        <f>INDEX(customers!$A$1:$I$1001,MATCH($E564,customers!$A$1:$A$1001,),MATCH($H$1,customers!$A$1:$I$1,0))</f>
        <v>Kippie Marrison</v>
      </c>
      <c r="I564" s="2" t="str">
        <f>IF(INDEX(customers!$A$1:$I$1001,MATCH($E564,customers!$A$1:$A$1001,0),3)=0,"",INDEX(customers!$A$1:$I$1001,MATCH($E564,customers!$A$1:$A$1001,0),3))</f>
        <v>kmarrisonoq@dropbox.com</v>
      </c>
      <c r="J564" s="2" t="str">
        <f>_xlfn.XLOOKUP(E564,customers!$A$1:$A$1001,customers!$G$1:$G$1001)</f>
        <v>United States</v>
      </c>
      <c r="K564" t="str">
        <f>INDEX(products!$A$1:$G$49,MATCH($F564,products!$A$1:$A$49,0),MATCH(K$1,products!$A$1:$G$1,0))</f>
        <v>Ara</v>
      </c>
      <c r="L564" t="str">
        <f>INDEX(products!$A$1:$G$49,MATCH($F564,products!$A$1:$A$49,0),MATCH(L$1,products!$A$1:$G$1,0))</f>
        <v>D</v>
      </c>
      <c r="M564" s="5">
        <f>INDEX(products!$A$1:$G$49,MATCH($F564,products!$A$1:$A$49,0),MATCH(M$1,products!$A$1:$G$1,0))</f>
        <v>2.5</v>
      </c>
      <c r="N564" s="7">
        <f>INDEX(products!$A$1:$G$49,MATCH($F564,products!$A$1:$A$49,0),MATCH(N$1,products!$A$1:$G$1,0))</f>
        <v>22.884999999999998</v>
      </c>
      <c r="O564" s="7">
        <f t="shared" si="8"/>
        <v>114.42499999999998</v>
      </c>
      <c r="P564" t="str" cm="1">
        <f t="array" ref="P564">_xlfn.IFS(K564="Rob","Robusta",K564="Exc","Excelsa",K564="Ara","Arabica",K564="Lib","Liberica")</f>
        <v>Arabica</v>
      </c>
      <c r="Q564" t="str" cm="1">
        <f t="array" ref="Q564">_xlfn.IFS(L564="M","Medium",L564="L","Light",L564="D","Dark")</f>
        <v>Dark</v>
      </c>
      <c r="R564" t="str">
        <f>_xlfn.XLOOKUP(Orders[[#This Row],[Customer ID]],customers!$A$1:$A$1001,customers!$I$1:$I$1001)</f>
        <v>Yes</v>
      </c>
    </row>
    <row r="565" spans="1:18" x14ac:dyDescent="0.35">
      <c r="A565" s="2" t="s">
        <v>2824</v>
      </c>
      <c r="B565" s="4">
        <v>43802</v>
      </c>
      <c r="C565" s="23">
        <f>Orders[[#This Row],[Order Date]]</f>
        <v>43802</v>
      </c>
      <c r="D565" s="2">
        <f>YEAR(Orders[[#This Row],[Order Date]])</f>
        <v>2019</v>
      </c>
      <c r="E565" s="2" t="s">
        <v>2825</v>
      </c>
      <c r="F565" t="s">
        <v>6178</v>
      </c>
      <c r="G565" s="20">
        <v>3</v>
      </c>
      <c r="H565" s="2" t="str">
        <f>INDEX(customers!$A$1:$I$1001,MATCH($E565,customers!$A$1:$A$1001,),MATCH($H$1,customers!$A$1:$I$1,0))</f>
        <v>Kiri Avramow</v>
      </c>
      <c r="I565" s="2" t="str">
        <f>IF(INDEX(customers!$A$1:$I$1001,MATCH($E565,customers!$A$1:$A$1001,0),3)=0,"",INDEX(customers!$A$1:$I$1001,MATCH($E565,customers!$A$1:$A$1001,0),3))</f>
        <v/>
      </c>
      <c r="J565" s="2" t="str">
        <f>_xlfn.XLOOKUP(E565,customers!$A$1:$A$1001,customers!$G$1:$G$1001)</f>
        <v>United States</v>
      </c>
      <c r="K565" t="str">
        <f>INDEX(products!$A$1:$G$49,MATCH($F565,products!$A$1:$A$49,0),MATCH(K$1,products!$A$1:$G$1,0))</f>
        <v>Rob</v>
      </c>
      <c r="L565" t="str">
        <f>INDEX(products!$A$1:$G$49,MATCH($F565,products!$A$1:$A$49,0),MATCH(L$1,products!$A$1:$G$1,0))</f>
        <v>L</v>
      </c>
      <c r="M565" s="5">
        <f>INDEX(products!$A$1:$G$49,MATCH($F565,products!$A$1:$A$49,0),MATCH(M$1,products!$A$1:$G$1,0))</f>
        <v>0.2</v>
      </c>
      <c r="N565" s="7">
        <f>INDEX(products!$A$1:$G$49,MATCH($F565,products!$A$1:$A$49,0),MATCH(N$1,products!$A$1:$G$1,0))</f>
        <v>3.5849999999999995</v>
      </c>
      <c r="O565" s="7">
        <f t="shared" si="8"/>
        <v>10.754999999999999</v>
      </c>
      <c r="P565" t="str" cm="1">
        <f t="array" ref="P565">_xlfn.IFS(K565="Rob","Robusta",K565="Exc","Excelsa",K565="Ara","Arabica",K565="Lib","Liberica")</f>
        <v>Robusta</v>
      </c>
      <c r="Q565" t="str" cm="1">
        <f t="array" ref="Q565">_xlfn.IFS(L565="M","Medium",L565="L","Light",L565="D","Dark")</f>
        <v>Light</v>
      </c>
      <c r="R565" t="str">
        <f>_xlfn.XLOOKUP(Orders[[#This Row],[Customer ID]],customers!$A$1:$A$1001,customers!$I$1:$I$1001)</f>
        <v>Yes</v>
      </c>
    </row>
    <row r="566" spans="1:18" x14ac:dyDescent="0.35">
      <c r="A566" s="2" t="s">
        <v>2999</v>
      </c>
      <c r="B566" s="4">
        <v>43784</v>
      </c>
      <c r="C566" s="23">
        <f>Orders[[#This Row],[Order Date]]</f>
        <v>43784</v>
      </c>
      <c r="D566" s="2">
        <f>YEAR(Orders[[#This Row],[Order Date]])</f>
        <v>2019</v>
      </c>
      <c r="E566" s="2" t="s">
        <v>3000</v>
      </c>
      <c r="F566" t="s">
        <v>6181</v>
      </c>
      <c r="G566" s="20">
        <v>2</v>
      </c>
      <c r="H566" s="2" t="str">
        <f>INDEX(customers!$A$1:$I$1001,MATCH($E566,customers!$A$1:$A$1001,),MATCH($H$1,customers!$A$1:$I$1,0))</f>
        <v>Kizzie Warman</v>
      </c>
      <c r="I566" s="2" t="str">
        <f>IF(INDEX(customers!$A$1:$I$1001,MATCH($E566,customers!$A$1:$A$1001,0),3)=0,"",INDEX(customers!$A$1:$I$1001,MATCH($E566,customers!$A$1:$A$1001,0),3))</f>
        <v>kwarmancd@printfriendly.com</v>
      </c>
      <c r="J566" s="2" t="str">
        <f>_xlfn.XLOOKUP(E566,customers!$A$1:$A$1001,customers!$G$1:$G$1001)</f>
        <v>Ireland</v>
      </c>
      <c r="K566" t="str">
        <f>INDEX(products!$A$1:$G$49,MATCH($F566,products!$A$1:$A$49,0),MATCH(K$1,products!$A$1:$G$1,0))</f>
        <v>Lib</v>
      </c>
      <c r="L566" t="str">
        <f>INDEX(products!$A$1:$G$49,MATCH($F566,products!$A$1:$A$49,0),MATCH(L$1,products!$A$1:$G$1,0))</f>
        <v>M</v>
      </c>
      <c r="M566" s="5">
        <f>INDEX(products!$A$1:$G$49,MATCH($F566,products!$A$1:$A$49,0),MATCH(M$1,products!$A$1:$G$1,0))</f>
        <v>2.5</v>
      </c>
      <c r="N566" s="7">
        <f>INDEX(products!$A$1:$G$49,MATCH($F566,products!$A$1:$A$49,0),MATCH(N$1,products!$A$1:$G$1,0))</f>
        <v>33.464999999999996</v>
      </c>
      <c r="O566" s="7">
        <f t="shared" si="8"/>
        <v>66.929999999999993</v>
      </c>
      <c r="P566" t="str" cm="1">
        <f t="array" ref="P566">_xlfn.IFS(K566="Rob","Robusta",K566="Exc","Excelsa",K566="Ara","Arabica",K566="Lib","Liberica")</f>
        <v>Liberica</v>
      </c>
      <c r="Q566" t="str" cm="1">
        <f t="array" ref="Q566">_xlfn.IFS(L566="M","Medium",L566="L","Light",L566="D","Dark")</f>
        <v>Medium</v>
      </c>
      <c r="R566" t="str">
        <f>_xlfn.XLOOKUP(Orders[[#This Row],[Customer ID]],customers!$A$1:$A$1001,customers!$I$1:$I$1001)</f>
        <v>Yes</v>
      </c>
    </row>
    <row r="567" spans="1:18" x14ac:dyDescent="0.35">
      <c r="A567" s="2" t="s">
        <v>3242</v>
      </c>
      <c r="B567" s="4">
        <v>44093</v>
      </c>
      <c r="C567" s="23">
        <f>Orders[[#This Row],[Order Date]]</f>
        <v>44093</v>
      </c>
      <c r="D567" s="2">
        <f>YEAR(Orders[[#This Row],[Order Date]])</f>
        <v>2020</v>
      </c>
      <c r="E567" s="2" t="s">
        <v>3243</v>
      </c>
      <c r="F567" t="s">
        <v>6183</v>
      </c>
      <c r="G567" s="20">
        <v>6</v>
      </c>
      <c r="H567" s="2" t="str">
        <f>INDEX(customers!$A$1:$I$1001,MATCH($E567,customers!$A$1:$A$1001,),MATCH($H$1,customers!$A$1:$I$1,0))</f>
        <v>Klarika Egglestone</v>
      </c>
      <c r="I567" s="2" t="str">
        <f>IF(INDEX(customers!$A$1:$I$1001,MATCH($E567,customers!$A$1:$A$1001,0),3)=0,"",INDEX(customers!$A$1:$I$1001,MATCH($E567,customers!$A$1:$A$1001,0),3))</f>
        <v>kegglestonedj@sphinn.com</v>
      </c>
      <c r="J567" s="2" t="str">
        <f>_xlfn.XLOOKUP(E567,customers!$A$1:$A$1001,customers!$G$1:$G$1001)</f>
        <v>Ireland</v>
      </c>
      <c r="K567" t="str">
        <f>INDEX(products!$A$1:$G$49,MATCH($F567,products!$A$1:$A$49,0),MATCH(K$1,products!$A$1:$G$1,0))</f>
        <v>Exc</v>
      </c>
      <c r="L567" t="str">
        <f>INDEX(products!$A$1:$G$49,MATCH($F567,products!$A$1:$A$49,0),MATCH(L$1,products!$A$1:$G$1,0))</f>
        <v>D</v>
      </c>
      <c r="M567" s="5">
        <f>INDEX(products!$A$1:$G$49,MATCH($F567,products!$A$1:$A$49,0),MATCH(M$1,products!$A$1:$G$1,0))</f>
        <v>1</v>
      </c>
      <c r="N567" s="7">
        <f>INDEX(products!$A$1:$G$49,MATCH($F567,products!$A$1:$A$49,0),MATCH(N$1,products!$A$1:$G$1,0))</f>
        <v>12.15</v>
      </c>
      <c r="O567" s="7">
        <f t="shared" si="8"/>
        <v>72.900000000000006</v>
      </c>
      <c r="P567" t="str" cm="1">
        <f t="array" ref="P567">_xlfn.IFS(K567="Rob","Robusta",K567="Exc","Excelsa",K567="Ara","Arabica",K567="Lib","Liberica")</f>
        <v>Excelsa</v>
      </c>
      <c r="Q567" t="str" cm="1">
        <f t="array" ref="Q567">_xlfn.IFS(L567="M","Medium",L567="L","Light",L567="D","Dark")</f>
        <v>Dark</v>
      </c>
      <c r="R567" t="str">
        <f>_xlfn.XLOOKUP(Orders[[#This Row],[Customer ID]],customers!$A$1:$A$1001,customers!$I$1:$I$1001)</f>
        <v>No</v>
      </c>
    </row>
    <row r="568" spans="1:18" x14ac:dyDescent="0.35">
      <c r="A568" s="2" t="s">
        <v>5211</v>
      </c>
      <c r="B568" s="4">
        <v>44270</v>
      </c>
      <c r="C568" s="23">
        <f>Orders[[#This Row],[Order Date]]</f>
        <v>44270</v>
      </c>
      <c r="D568" s="2">
        <f>YEAR(Orders[[#This Row],[Order Date]])</f>
        <v>2021</v>
      </c>
      <c r="E568" s="2" t="s">
        <v>5212</v>
      </c>
      <c r="F568" t="s">
        <v>6176</v>
      </c>
      <c r="G568" s="20">
        <v>1</v>
      </c>
      <c r="H568" s="2" t="str">
        <f>INDEX(customers!$A$1:$I$1001,MATCH($E568,customers!$A$1:$A$1001,),MATCH($H$1,customers!$A$1:$I$1,0))</f>
        <v>Konstantine Thoumasson</v>
      </c>
      <c r="I568" s="2" t="str">
        <f>IF(INDEX(customers!$A$1:$I$1001,MATCH($E568,customers!$A$1:$A$1001,0),3)=0,"",INDEX(customers!$A$1:$I$1001,MATCH($E568,customers!$A$1:$A$1001,0),3))</f>
        <v>kthoumassonn7@bloglovin.com</v>
      </c>
      <c r="J568" s="2" t="str">
        <f>_xlfn.XLOOKUP(E568,customers!$A$1:$A$1001,customers!$G$1:$G$1001)</f>
        <v>United States</v>
      </c>
      <c r="K568" t="str">
        <f>INDEX(products!$A$1:$G$49,MATCH($F568,products!$A$1:$A$49,0),MATCH(K$1,products!$A$1:$G$1,0))</f>
        <v>Exc</v>
      </c>
      <c r="L568" t="str">
        <f>INDEX(products!$A$1:$G$49,MATCH($F568,products!$A$1:$A$49,0),MATCH(L$1,products!$A$1:$G$1,0))</f>
        <v>L</v>
      </c>
      <c r="M568" s="5">
        <f>INDEX(products!$A$1:$G$49,MATCH($F568,products!$A$1:$A$49,0),MATCH(M$1,products!$A$1:$G$1,0))</f>
        <v>0.5</v>
      </c>
      <c r="N568" s="7">
        <f>INDEX(products!$A$1:$G$49,MATCH($F568,products!$A$1:$A$49,0),MATCH(N$1,products!$A$1:$G$1,0))</f>
        <v>8.91</v>
      </c>
      <c r="O568" s="7">
        <f t="shared" si="8"/>
        <v>8.91</v>
      </c>
      <c r="P568" t="str" cm="1">
        <f t="array" ref="P568">_xlfn.IFS(K568="Rob","Robusta",K568="Exc","Excelsa",K568="Ara","Arabica",K568="Lib","Liberica")</f>
        <v>Excelsa</v>
      </c>
      <c r="Q568" t="str" cm="1">
        <f t="array" ref="Q568">_xlfn.IFS(L568="M","Medium",L568="L","Light",L568="D","Dark")</f>
        <v>Light</v>
      </c>
      <c r="R568" t="str">
        <f>_xlfn.XLOOKUP(Orders[[#This Row],[Customer ID]],customers!$A$1:$A$1001,customers!$I$1:$I$1001)</f>
        <v>Yes</v>
      </c>
    </row>
    <row r="569" spans="1:18" x14ac:dyDescent="0.35">
      <c r="A569" s="2" t="s">
        <v>2980</v>
      </c>
      <c r="B569" s="4">
        <v>44384</v>
      </c>
      <c r="C569" s="23">
        <f>Orders[[#This Row],[Order Date]]</f>
        <v>44384</v>
      </c>
      <c r="D569" s="2">
        <f>YEAR(Orders[[#This Row],[Order Date]])</f>
        <v>2021</v>
      </c>
      <c r="E569" s="2" t="s">
        <v>2981</v>
      </c>
      <c r="F569" t="s">
        <v>6173</v>
      </c>
      <c r="G569" s="20">
        <v>5</v>
      </c>
      <c r="H569" s="2" t="str">
        <f>INDEX(customers!$A$1:$I$1001,MATCH($E569,customers!$A$1:$A$1001,),MATCH($H$1,customers!$A$1:$I$1,0))</f>
        <v>Koralle Heads</v>
      </c>
      <c r="I569" s="2" t="str">
        <f>IF(INDEX(customers!$A$1:$I$1001,MATCH($E569,customers!$A$1:$A$1001,0),3)=0,"",INDEX(customers!$A$1:$I$1001,MATCH($E569,customers!$A$1:$A$1001,0),3))</f>
        <v>kheadsca@jalbum.net</v>
      </c>
      <c r="J569" s="2" t="str">
        <f>_xlfn.XLOOKUP(E569,customers!$A$1:$A$1001,customers!$G$1:$G$1001)</f>
        <v>United States</v>
      </c>
      <c r="K569" t="str">
        <f>INDEX(products!$A$1:$G$49,MATCH($F569,products!$A$1:$A$49,0),MATCH(K$1,products!$A$1:$G$1,0))</f>
        <v>Rob</v>
      </c>
      <c r="L569" t="str">
        <f>INDEX(products!$A$1:$G$49,MATCH($F569,products!$A$1:$A$49,0),MATCH(L$1,products!$A$1:$G$1,0))</f>
        <v>L</v>
      </c>
      <c r="M569" s="5">
        <f>INDEX(products!$A$1:$G$49,MATCH($F569,products!$A$1:$A$49,0),MATCH(M$1,products!$A$1:$G$1,0))</f>
        <v>0.5</v>
      </c>
      <c r="N569" s="7">
        <f>INDEX(products!$A$1:$G$49,MATCH($F569,products!$A$1:$A$49,0),MATCH(N$1,products!$A$1:$G$1,0))</f>
        <v>7.169999999999999</v>
      </c>
      <c r="O569" s="7">
        <f t="shared" si="8"/>
        <v>35.849999999999994</v>
      </c>
      <c r="P569" t="str" cm="1">
        <f t="array" ref="P569">_xlfn.IFS(K569="Rob","Robusta",K569="Exc","Excelsa",K569="Ara","Arabica",K569="Lib","Liberica")</f>
        <v>Robusta</v>
      </c>
      <c r="Q569" t="str" cm="1">
        <f t="array" ref="Q569">_xlfn.IFS(L569="M","Medium",L569="L","Light",L569="D","Dark")</f>
        <v>Light</v>
      </c>
      <c r="R569" t="str">
        <f>_xlfn.XLOOKUP(Orders[[#This Row],[Customer ID]],customers!$A$1:$A$1001,customers!$I$1:$I$1001)</f>
        <v>No</v>
      </c>
    </row>
    <row r="570" spans="1:18" x14ac:dyDescent="0.35">
      <c r="A570" s="2" t="s">
        <v>5050</v>
      </c>
      <c r="B570" s="4">
        <v>44543</v>
      </c>
      <c r="C570" s="23">
        <f>Orders[[#This Row],[Order Date]]</f>
        <v>44543</v>
      </c>
      <c r="D570" s="2">
        <f>YEAR(Orders[[#This Row],[Order Date]])</f>
        <v>2021</v>
      </c>
      <c r="E570" s="2" t="s">
        <v>5051</v>
      </c>
      <c r="F570" t="s">
        <v>6169</v>
      </c>
      <c r="G570" s="20">
        <v>3</v>
      </c>
      <c r="H570" s="2" t="str">
        <f>INDEX(customers!$A$1:$I$1001,MATCH($E570,customers!$A$1:$A$1001,),MATCH($H$1,customers!$A$1:$I$1,0))</f>
        <v>Koren Ferretti</v>
      </c>
      <c r="I570" s="2" t="str">
        <f>IF(INDEX(customers!$A$1:$I$1001,MATCH($E570,customers!$A$1:$A$1001,0),3)=0,"",INDEX(customers!$A$1:$I$1001,MATCH($E570,customers!$A$1:$A$1001,0),3))</f>
        <v>kferrettimf@huffingtonpost.com</v>
      </c>
      <c r="J570" s="2" t="str">
        <f>_xlfn.XLOOKUP(E570,customers!$A$1:$A$1001,customers!$G$1:$G$1001)</f>
        <v>Ireland</v>
      </c>
      <c r="K570" t="str">
        <f>INDEX(products!$A$1:$G$49,MATCH($F570,products!$A$1:$A$49,0),MATCH(K$1,products!$A$1:$G$1,0))</f>
        <v>Lib</v>
      </c>
      <c r="L570" t="str">
        <f>INDEX(products!$A$1:$G$49,MATCH($F570,products!$A$1:$A$49,0),MATCH(L$1,products!$A$1:$G$1,0))</f>
        <v>D</v>
      </c>
      <c r="M570" s="5">
        <f>INDEX(products!$A$1:$G$49,MATCH($F570,products!$A$1:$A$49,0),MATCH(M$1,products!$A$1:$G$1,0))</f>
        <v>0.5</v>
      </c>
      <c r="N570" s="7">
        <f>INDEX(products!$A$1:$G$49,MATCH($F570,products!$A$1:$A$49,0),MATCH(N$1,products!$A$1:$G$1,0))</f>
        <v>7.77</v>
      </c>
      <c r="O570" s="7">
        <f t="shared" si="8"/>
        <v>23.31</v>
      </c>
      <c r="P570" t="str" cm="1">
        <f t="array" ref="P570">_xlfn.IFS(K570="Rob","Robusta",K570="Exc","Excelsa",K570="Ara","Arabica",K570="Lib","Liberica")</f>
        <v>Liberica</v>
      </c>
      <c r="Q570" t="str" cm="1">
        <f t="array" ref="Q570">_xlfn.IFS(L570="M","Medium",L570="L","Light",L570="D","Dark")</f>
        <v>Dark</v>
      </c>
      <c r="R570" t="str">
        <f>_xlfn.XLOOKUP(Orders[[#This Row],[Customer ID]],customers!$A$1:$A$1001,customers!$I$1:$I$1001)</f>
        <v>No</v>
      </c>
    </row>
    <row r="571" spans="1:18" x14ac:dyDescent="0.35">
      <c r="A571" s="2" t="s">
        <v>6058</v>
      </c>
      <c r="B571" s="4">
        <v>44561</v>
      </c>
      <c r="C571" s="23">
        <f>Orders[[#This Row],[Order Date]]</f>
        <v>44561</v>
      </c>
      <c r="D571" s="2">
        <f>YEAR(Orders[[#This Row],[Order Date]])</f>
        <v>2021</v>
      </c>
      <c r="E571" s="2" t="s">
        <v>6059</v>
      </c>
      <c r="F571" t="s">
        <v>6179</v>
      </c>
      <c r="G571" s="20">
        <v>4</v>
      </c>
      <c r="H571" s="2" t="str">
        <f>INDEX(customers!$A$1:$I$1001,MATCH($E571,customers!$A$1:$A$1001,),MATCH($H$1,customers!$A$1:$I$1,0))</f>
        <v>Koressa O'Geneay</v>
      </c>
      <c r="I571" s="2" t="str">
        <f>IF(INDEX(customers!$A$1:$I$1001,MATCH($E571,customers!$A$1:$A$1001,0),3)=0,"",INDEX(customers!$A$1:$I$1001,MATCH($E571,customers!$A$1:$A$1001,0),3))</f>
        <v>kogeneayrd@utexas.edu</v>
      </c>
      <c r="J571" s="2" t="str">
        <f>_xlfn.XLOOKUP(E571,customers!$A$1:$A$1001,customers!$G$1:$G$1001)</f>
        <v>United States</v>
      </c>
      <c r="K571" t="str">
        <f>INDEX(products!$A$1:$G$49,MATCH($F571,products!$A$1:$A$49,0),MATCH(K$1,products!$A$1:$G$1,0))</f>
        <v>Rob</v>
      </c>
      <c r="L571" t="str">
        <f>INDEX(products!$A$1:$G$49,MATCH($F571,products!$A$1:$A$49,0),MATCH(L$1,products!$A$1:$G$1,0))</f>
        <v>L</v>
      </c>
      <c r="M571" s="5">
        <f>INDEX(products!$A$1:$G$49,MATCH($F571,products!$A$1:$A$49,0),MATCH(M$1,products!$A$1:$G$1,0))</f>
        <v>1</v>
      </c>
      <c r="N571" s="7">
        <f>INDEX(products!$A$1:$G$49,MATCH($F571,products!$A$1:$A$49,0),MATCH(N$1,products!$A$1:$G$1,0))</f>
        <v>11.95</v>
      </c>
      <c r="O571" s="7">
        <f t="shared" si="8"/>
        <v>47.8</v>
      </c>
      <c r="P571" t="str" cm="1">
        <f t="array" ref="P571">_xlfn.IFS(K571="Rob","Robusta",K571="Exc","Excelsa",K571="Ara","Arabica",K571="Lib","Liberica")</f>
        <v>Robusta</v>
      </c>
      <c r="Q571" t="str" cm="1">
        <f t="array" ref="Q571">_xlfn.IFS(L571="M","Medium",L571="L","Light",L571="D","Dark")</f>
        <v>Light</v>
      </c>
      <c r="R571" t="str">
        <f>_xlfn.XLOOKUP(Orders[[#This Row],[Customer ID]],customers!$A$1:$A$1001,customers!$I$1:$I$1001)</f>
        <v>No</v>
      </c>
    </row>
    <row r="572" spans="1:18" x14ac:dyDescent="0.35">
      <c r="A572" s="2" t="s">
        <v>3510</v>
      </c>
      <c r="B572" s="4">
        <v>44563</v>
      </c>
      <c r="C572" s="23">
        <f>Orders[[#This Row],[Order Date]]</f>
        <v>44563</v>
      </c>
      <c r="D572" s="2">
        <f>YEAR(Orders[[#This Row],[Order Date]])</f>
        <v>2022</v>
      </c>
      <c r="E572" s="2" t="s">
        <v>3511</v>
      </c>
      <c r="F572" t="s">
        <v>6151</v>
      </c>
      <c r="G572" s="20">
        <v>2</v>
      </c>
      <c r="H572" s="2" t="str">
        <f>INDEX(customers!$A$1:$I$1001,MATCH($E572,customers!$A$1:$A$1001,),MATCH($H$1,customers!$A$1:$I$1,0))</f>
        <v>Kris O'Cullen</v>
      </c>
      <c r="I572" s="2" t="str">
        <f>IF(INDEX(customers!$A$1:$I$1001,MATCH($E572,customers!$A$1:$A$1001,0),3)=0,"",INDEX(customers!$A$1:$I$1001,MATCH($E572,customers!$A$1:$A$1001,0),3))</f>
        <v>koculleneu@ca.gov</v>
      </c>
      <c r="J572" s="2" t="str">
        <f>_xlfn.XLOOKUP(E572,customers!$A$1:$A$1001,customers!$G$1:$G$1001)</f>
        <v>Ireland</v>
      </c>
      <c r="K572" t="str">
        <f>INDEX(products!$A$1:$G$49,MATCH($F572,products!$A$1:$A$49,0),MATCH(K$1,products!$A$1:$G$1,0))</f>
        <v>Rob</v>
      </c>
      <c r="L572" t="str">
        <f>INDEX(products!$A$1:$G$49,MATCH($F572,products!$A$1:$A$49,0),MATCH(L$1,products!$A$1:$G$1,0))</f>
        <v>M</v>
      </c>
      <c r="M572" s="5">
        <f>INDEX(products!$A$1:$G$49,MATCH($F572,products!$A$1:$A$49,0),MATCH(M$1,products!$A$1:$G$1,0))</f>
        <v>2.5</v>
      </c>
      <c r="N572" s="7">
        <f>INDEX(products!$A$1:$G$49,MATCH($F572,products!$A$1:$A$49,0),MATCH(N$1,products!$A$1:$G$1,0))</f>
        <v>22.884999999999998</v>
      </c>
      <c r="O572" s="7">
        <f t="shared" si="8"/>
        <v>45.769999999999996</v>
      </c>
      <c r="P572" t="str" cm="1">
        <f t="array" ref="P572">_xlfn.IFS(K572="Rob","Robusta",K572="Exc","Excelsa",K572="Ara","Arabica",K572="Lib","Liberica")</f>
        <v>Robusta</v>
      </c>
      <c r="Q572" t="str" cm="1">
        <f t="array" ref="Q572">_xlfn.IFS(L572="M","Medium",L572="L","Light",L572="D","Dark")</f>
        <v>Medium</v>
      </c>
      <c r="R572" t="str">
        <f>_xlfn.XLOOKUP(Orders[[#This Row],[Customer ID]],customers!$A$1:$A$1001,customers!$I$1:$I$1001)</f>
        <v>Yes</v>
      </c>
    </row>
    <row r="573" spans="1:18" x14ac:dyDescent="0.35">
      <c r="A573" s="2" t="s">
        <v>3866</v>
      </c>
      <c r="B573" s="4">
        <v>43471</v>
      </c>
      <c r="C573" s="23">
        <f>Orders[[#This Row],[Order Date]]</f>
        <v>43471</v>
      </c>
      <c r="D573" s="2">
        <f>YEAR(Orders[[#This Row],[Order Date]])</f>
        <v>2019</v>
      </c>
      <c r="E573" s="2" t="s">
        <v>3867</v>
      </c>
      <c r="F573" t="s">
        <v>6174</v>
      </c>
      <c r="G573" s="20">
        <v>4</v>
      </c>
      <c r="H573" s="2" t="str">
        <f>INDEX(customers!$A$1:$I$1001,MATCH($E573,customers!$A$1:$A$1001,),MATCH($H$1,customers!$A$1:$I$1,0))</f>
        <v>Krissie Hammett</v>
      </c>
      <c r="I573" s="2" t="str">
        <f>IF(INDEX(customers!$A$1:$I$1001,MATCH($E573,customers!$A$1:$A$1001,0),3)=0,"",INDEX(customers!$A$1:$I$1001,MATCH($E573,customers!$A$1:$A$1001,0),3))</f>
        <v>khammettgm@dmoz.org</v>
      </c>
      <c r="J573" s="2" t="str">
        <f>_xlfn.XLOOKUP(E573,customers!$A$1:$A$1001,customers!$G$1:$G$1001)</f>
        <v>United States</v>
      </c>
      <c r="K573" t="str">
        <f>INDEX(products!$A$1:$G$49,MATCH($F573,products!$A$1:$A$49,0),MATCH(K$1,products!$A$1:$G$1,0))</f>
        <v>Rob</v>
      </c>
      <c r="L573" t="str">
        <f>INDEX(products!$A$1:$G$49,MATCH($F573,products!$A$1:$A$49,0),MATCH(L$1,products!$A$1:$G$1,0))</f>
        <v>M</v>
      </c>
      <c r="M573" s="5">
        <f>INDEX(products!$A$1:$G$49,MATCH($F573,products!$A$1:$A$49,0),MATCH(M$1,products!$A$1:$G$1,0))</f>
        <v>0.2</v>
      </c>
      <c r="N573" s="7">
        <f>INDEX(products!$A$1:$G$49,MATCH($F573,products!$A$1:$A$49,0),MATCH(N$1,products!$A$1:$G$1,0))</f>
        <v>2.9849999999999999</v>
      </c>
      <c r="O573" s="7">
        <f t="shared" si="8"/>
        <v>11.94</v>
      </c>
      <c r="P573" t="str" cm="1">
        <f t="array" ref="P573">_xlfn.IFS(K573="Rob","Robusta",K573="Exc","Excelsa",K573="Ara","Arabica",K573="Lib","Liberica")</f>
        <v>Robusta</v>
      </c>
      <c r="Q573" t="str" cm="1">
        <f t="array" ref="Q573">_xlfn.IFS(L573="M","Medium",L573="L","Light",L573="D","Dark")</f>
        <v>Medium</v>
      </c>
      <c r="R573" t="str">
        <f>_xlfn.XLOOKUP(Orders[[#This Row],[Customer ID]],customers!$A$1:$A$1001,customers!$I$1:$I$1001)</f>
        <v>Yes</v>
      </c>
    </row>
    <row r="574" spans="1:18" x14ac:dyDescent="0.35">
      <c r="A574" s="2" t="s">
        <v>1783</v>
      </c>
      <c r="B574" s="4">
        <v>44282</v>
      </c>
      <c r="C574" s="23">
        <f>Orders[[#This Row],[Order Date]]</f>
        <v>44282</v>
      </c>
      <c r="D574" s="2">
        <f>YEAR(Orders[[#This Row],[Order Date]])</f>
        <v>2021</v>
      </c>
      <c r="E574" s="2" t="s">
        <v>1784</v>
      </c>
      <c r="F574" t="s">
        <v>6159</v>
      </c>
      <c r="G574" s="20">
        <v>2</v>
      </c>
      <c r="H574" s="2" t="str">
        <f>INDEX(customers!$A$1:$I$1001,MATCH($E574,customers!$A$1:$A$1001,),MATCH($H$1,customers!$A$1:$I$1,0))</f>
        <v>Kristos Streight</v>
      </c>
      <c r="I574" s="2" t="str">
        <f>IF(INDEX(customers!$A$1:$I$1001,MATCH($E574,customers!$A$1:$A$1001,0),3)=0,"",INDEX(customers!$A$1:$I$1001,MATCH($E574,customers!$A$1:$A$1001,0),3))</f>
        <v>kstreight6d@about.com</v>
      </c>
      <c r="J574" s="2" t="str">
        <f>_xlfn.XLOOKUP(E574,customers!$A$1:$A$1001,customers!$G$1:$G$1001)</f>
        <v>United States</v>
      </c>
      <c r="K574" t="str">
        <f>INDEX(products!$A$1:$G$49,MATCH($F574,products!$A$1:$A$49,0),MATCH(K$1,products!$A$1:$G$1,0))</f>
        <v>Lib</v>
      </c>
      <c r="L574" t="str">
        <f>INDEX(products!$A$1:$G$49,MATCH($F574,products!$A$1:$A$49,0),MATCH(L$1,products!$A$1:$G$1,0))</f>
        <v>M</v>
      </c>
      <c r="M574" s="5">
        <f>INDEX(products!$A$1:$G$49,MATCH($F574,products!$A$1:$A$49,0),MATCH(M$1,products!$A$1:$G$1,0))</f>
        <v>0.2</v>
      </c>
      <c r="N574" s="7">
        <f>INDEX(products!$A$1:$G$49,MATCH($F574,products!$A$1:$A$49,0),MATCH(N$1,products!$A$1:$G$1,0))</f>
        <v>4.3650000000000002</v>
      </c>
      <c r="O574" s="7">
        <f t="shared" si="8"/>
        <v>8.73</v>
      </c>
      <c r="P574" t="str" cm="1">
        <f t="array" ref="P574">_xlfn.IFS(K574="Rob","Robusta",K574="Exc","Excelsa",K574="Ara","Arabica",K574="Lib","Liberica")</f>
        <v>Liberica</v>
      </c>
      <c r="Q574" t="str" cm="1">
        <f t="array" ref="Q574">_xlfn.IFS(L574="M","Medium",L574="L","Light",L574="D","Dark")</f>
        <v>Medium</v>
      </c>
      <c r="R574" t="str">
        <f>_xlfn.XLOOKUP(Orders[[#This Row],[Customer ID]],customers!$A$1:$A$1001,customers!$I$1:$I$1001)</f>
        <v>No</v>
      </c>
    </row>
    <row r="575" spans="1:18" x14ac:dyDescent="0.35">
      <c r="A575" s="2" t="s">
        <v>3834</v>
      </c>
      <c r="B575" s="4">
        <v>44437</v>
      </c>
      <c r="C575" s="23">
        <f>Orders[[#This Row],[Order Date]]</f>
        <v>44437</v>
      </c>
      <c r="D575" s="2">
        <f>YEAR(Orders[[#This Row],[Order Date]])</f>
        <v>2021</v>
      </c>
      <c r="E575" s="2" t="s">
        <v>3835</v>
      </c>
      <c r="F575" t="s">
        <v>6175</v>
      </c>
      <c r="G575" s="20">
        <v>2</v>
      </c>
      <c r="H575" s="2" t="str">
        <f>INDEX(customers!$A$1:$I$1001,MATCH($E575,customers!$A$1:$A$1001,),MATCH($H$1,customers!$A$1:$I$1,0))</f>
        <v>Kylie Mowat</v>
      </c>
      <c r="I575" s="2" t="str">
        <f>IF(INDEX(customers!$A$1:$I$1001,MATCH($E575,customers!$A$1:$A$1001,0),3)=0,"",INDEX(customers!$A$1:$I$1001,MATCH($E575,customers!$A$1:$A$1001,0),3))</f>
        <v/>
      </c>
      <c r="J575" s="2" t="str">
        <f>_xlfn.XLOOKUP(E575,customers!$A$1:$A$1001,customers!$G$1:$G$1001)</f>
        <v>United States</v>
      </c>
      <c r="K575" t="str">
        <f>INDEX(products!$A$1:$G$49,MATCH($F575,products!$A$1:$A$49,0),MATCH(K$1,products!$A$1:$G$1,0))</f>
        <v>Ara</v>
      </c>
      <c r="L575" t="str">
        <f>INDEX(products!$A$1:$G$49,MATCH($F575,products!$A$1:$A$49,0),MATCH(L$1,products!$A$1:$G$1,0))</f>
        <v>M</v>
      </c>
      <c r="M575" s="5">
        <f>INDEX(products!$A$1:$G$49,MATCH($F575,products!$A$1:$A$49,0),MATCH(M$1,products!$A$1:$G$1,0))</f>
        <v>2.5</v>
      </c>
      <c r="N575" s="7">
        <f>INDEX(products!$A$1:$G$49,MATCH($F575,products!$A$1:$A$49,0),MATCH(N$1,products!$A$1:$G$1,0))</f>
        <v>25.874999999999996</v>
      </c>
      <c r="O575" s="7">
        <f t="shared" si="8"/>
        <v>51.749999999999993</v>
      </c>
      <c r="P575" t="str" cm="1">
        <f t="array" ref="P575">_xlfn.IFS(K575="Rob","Robusta",K575="Exc","Excelsa",K575="Ara","Arabica",K575="Lib","Liberica")</f>
        <v>Arabica</v>
      </c>
      <c r="Q575" t="str" cm="1">
        <f t="array" ref="Q575">_xlfn.IFS(L575="M","Medium",L575="L","Light",L575="D","Dark")</f>
        <v>Medium</v>
      </c>
      <c r="R575" t="str">
        <f>_xlfn.XLOOKUP(Orders[[#This Row],[Customer ID]],customers!$A$1:$A$1001,customers!$I$1:$I$1001)</f>
        <v>No</v>
      </c>
    </row>
    <row r="576" spans="1:18" x14ac:dyDescent="0.35">
      <c r="A576" s="2" t="s">
        <v>2894</v>
      </c>
      <c r="B576" s="4">
        <v>44224</v>
      </c>
      <c r="C576" s="23">
        <f>Orders[[#This Row],[Order Date]]</f>
        <v>44224</v>
      </c>
      <c r="D576" s="2">
        <f>YEAR(Orders[[#This Row],[Order Date]])</f>
        <v>2021</v>
      </c>
      <c r="E576" s="2" t="s">
        <v>2895</v>
      </c>
      <c r="F576" t="s">
        <v>6175</v>
      </c>
      <c r="G576" s="20">
        <v>3</v>
      </c>
      <c r="H576" s="2" t="str">
        <f>INDEX(customers!$A$1:$I$1001,MATCH($E576,customers!$A$1:$A$1001,),MATCH($H$1,customers!$A$1:$I$1,0))</f>
        <v>Kynthia Berick</v>
      </c>
      <c r="I576" s="2" t="str">
        <f>IF(INDEX(customers!$A$1:$I$1001,MATCH($E576,customers!$A$1:$A$1001,0),3)=0,"",INDEX(customers!$A$1:$I$1001,MATCH($E576,customers!$A$1:$A$1001,0),3))</f>
        <v/>
      </c>
      <c r="J576" s="2" t="str">
        <f>_xlfn.XLOOKUP(E576,customers!$A$1:$A$1001,customers!$G$1:$G$1001)</f>
        <v>United States</v>
      </c>
      <c r="K576" t="str">
        <f>INDEX(products!$A$1:$G$49,MATCH($F576,products!$A$1:$A$49,0),MATCH(K$1,products!$A$1:$G$1,0))</f>
        <v>Ara</v>
      </c>
      <c r="L576" t="str">
        <f>INDEX(products!$A$1:$G$49,MATCH($F576,products!$A$1:$A$49,0),MATCH(L$1,products!$A$1:$G$1,0))</f>
        <v>M</v>
      </c>
      <c r="M576" s="5">
        <f>INDEX(products!$A$1:$G$49,MATCH($F576,products!$A$1:$A$49,0),MATCH(M$1,products!$A$1:$G$1,0))</f>
        <v>2.5</v>
      </c>
      <c r="N576" s="7">
        <f>INDEX(products!$A$1:$G$49,MATCH($F576,products!$A$1:$A$49,0),MATCH(N$1,products!$A$1:$G$1,0))</f>
        <v>25.874999999999996</v>
      </c>
      <c r="O576" s="7">
        <f t="shared" si="8"/>
        <v>77.624999999999986</v>
      </c>
      <c r="P576" t="str" cm="1">
        <f t="array" ref="P576">_xlfn.IFS(K576="Rob","Robusta",K576="Exc","Excelsa",K576="Ara","Arabica",K576="Lib","Liberica")</f>
        <v>Arabica</v>
      </c>
      <c r="Q576" t="str" cm="1">
        <f t="array" ref="Q576">_xlfn.IFS(L576="M","Medium",L576="L","Light",L576="D","Dark")</f>
        <v>Medium</v>
      </c>
      <c r="R576" t="str">
        <f>_xlfn.XLOOKUP(Orders[[#This Row],[Customer ID]],customers!$A$1:$A$1001,customers!$I$1:$I$1001)</f>
        <v>Yes</v>
      </c>
    </row>
    <row r="577" spans="1:18" x14ac:dyDescent="0.35">
      <c r="A577" s="2" t="s">
        <v>4903</v>
      </c>
      <c r="B577" s="4">
        <v>43778</v>
      </c>
      <c r="C577" s="23">
        <f>Orders[[#This Row],[Order Date]]</f>
        <v>43778</v>
      </c>
      <c r="D577" s="2">
        <f>YEAR(Orders[[#This Row],[Order Date]])</f>
        <v>2019</v>
      </c>
      <c r="E577" s="2" t="s">
        <v>4904</v>
      </c>
      <c r="F577" t="s">
        <v>6164</v>
      </c>
      <c r="G577" s="20">
        <v>4</v>
      </c>
      <c r="H577" s="2" t="str">
        <f>INDEX(customers!$A$1:$I$1001,MATCH($E577,customers!$A$1:$A$1001,),MATCH($H$1,customers!$A$1:$I$1,0))</f>
        <v>Lacee Burtenshaw</v>
      </c>
      <c r="I577" s="2" t="str">
        <f>IF(INDEX(customers!$A$1:$I$1001,MATCH($E577,customers!$A$1:$A$1001,0),3)=0,"",INDEX(customers!$A$1:$I$1001,MATCH($E577,customers!$A$1:$A$1001,0),3))</f>
        <v>lburtenshawlp@shinystat.com</v>
      </c>
      <c r="J577" s="2" t="str">
        <f>_xlfn.XLOOKUP(E577,customers!$A$1:$A$1001,customers!$G$1:$G$1001)</f>
        <v>United States</v>
      </c>
      <c r="K577" t="str">
        <f>INDEX(products!$A$1:$G$49,MATCH($F577,products!$A$1:$A$49,0),MATCH(K$1,products!$A$1:$G$1,0))</f>
        <v>Lib</v>
      </c>
      <c r="L577" t="str">
        <f>INDEX(products!$A$1:$G$49,MATCH($F577,products!$A$1:$A$49,0),MATCH(L$1,products!$A$1:$G$1,0))</f>
        <v>L</v>
      </c>
      <c r="M577" s="5">
        <f>INDEX(products!$A$1:$G$49,MATCH($F577,products!$A$1:$A$49,0),MATCH(M$1,products!$A$1:$G$1,0))</f>
        <v>2.5</v>
      </c>
      <c r="N577" s="7">
        <f>INDEX(products!$A$1:$G$49,MATCH($F577,products!$A$1:$A$49,0),MATCH(N$1,products!$A$1:$G$1,0))</f>
        <v>36.454999999999998</v>
      </c>
      <c r="O577" s="7">
        <f t="shared" si="8"/>
        <v>145.82</v>
      </c>
      <c r="P577" t="str" cm="1">
        <f t="array" ref="P577">_xlfn.IFS(K577="Rob","Robusta",K577="Exc","Excelsa",K577="Ara","Arabica",K577="Lib","Liberica")</f>
        <v>Liberica</v>
      </c>
      <c r="Q577" t="str" cm="1">
        <f t="array" ref="Q577">_xlfn.IFS(L577="M","Medium",L577="L","Light",L577="D","Dark")</f>
        <v>Light</v>
      </c>
      <c r="R577" t="str">
        <f>_xlfn.XLOOKUP(Orders[[#This Row],[Customer ID]],customers!$A$1:$A$1001,customers!$I$1:$I$1001)</f>
        <v>No</v>
      </c>
    </row>
    <row r="578" spans="1:18" x14ac:dyDescent="0.35">
      <c r="A578" s="2" t="s">
        <v>2175</v>
      </c>
      <c r="B578" s="4">
        <v>43582</v>
      </c>
      <c r="C578" s="23">
        <f>Orders[[#This Row],[Order Date]]</f>
        <v>43582</v>
      </c>
      <c r="D578" s="2">
        <f>YEAR(Orders[[#This Row],[Order Date]])</f>
        <v>2019</v>
      </c>
      <c r="E578" s="2" t="s">
        <v>2176</v>
      </c>
      <c r="F578" t="s">
        <v>6148</v>
      </c>
      <c r="G578" s="20">
        <v>6</v>
      </c>
      <c r="H578" s="2" t="str">
        <f>INDEX(customers!$A$1:$I$1001,MATCH($E578,customers!$A$1:$A$1001,),MATCH($H$1,customers!$A$1:$I$1,0))</f>
        <v>Lacee Tanti</v>
      </c>
      <c r="I578" s="2" t="str">
        <f>IF(INDEX(customers!$A$1:$I$1001,MATCH($E578,customers!$A$1:$A$1001,0),3)=0,"",INDEX(customers!$A$1:$I$1001,MATCH($E578,customers!$A$1:$A$1001,0),3))</f>
        <v>ltanti8b@techcrunch.com</v>
      </c>
      <c r="J578" s="2" t="str">
        <f>_xlfn.XLOOKUP(E578,customers!$A$1:$A$1001,customers!$G$1:$G$1001)</f>
        <v>United States</v>
      </c>
      <c r="K578" t="str">
        <f>INDEX(products!$A$1:$G$49,MATCH($F578,products!$A$1:$A$49,0),MATCH(K$1,products!$A$1:$G$1,0))</f>
        <v>Exc</v>
      </c>
      <c r="L578" t="str">
        <f>INDEX(products!$A$1:$G$49,MATCH($F578,products!$A$1:$A$49,0),MATCH(L$1,products!$A$1:$G$1,0))</f>
        <v>L</v>
      </c>
      <c r="M578" s="5">
        <f>INDEX(products!$A$1:$G$49,MATCH($F578,products!$A$1:$A$49,0),MATCH(M$1,products!$A$1:$G$1,0))</f>
        <v>2.5</v>
      </c>
      <c r="N578" s="7">
        <f>INDEX(products!$A$1:$G$49,MATCH($F578,products!$A$1:$A$49,0),MATCH(N$1,products!$A$1:$G$1,0))</f>
        <v>34.154999999999994</v>
      </c>
      <c r="O578" s="7">
        <f t="shared" ref="O578:O641" si="9">N578*G578</f>
        <v>204.92999999999995</v>
      </c>
      <c r="P578" t="str" cm="1">
        <f t="array" ref="P578">_xlfn.IFS(K578="Rob","Robusta",K578="Exc","Excelsa",K578="Ara","Arabica",K578="Lib","Liberica")</f>
        <v>Excelsa</v>
      </c>
      <c r="Q578" t="str" cm="1">
        <f t="array" ref="Q578">_xlfn.IFS(L578="M","Medium",L578="L","Light",L578="D","Dark")</f>
        <v>Light</v>
      </c>
      <c r="R578" t="str">
        <f>_xlfn.XLOOKUP(Orders[[#This Row],[Customer ID]],customers!$A$1:$A$1001,customers!$I$1:$I$1001)</f>
        <v>Yes</v>
      </c>
    </row>
    <row r="579" spans="1:18" x14ac:dyDescent="0.35">
      <c r="A579" s="2" t="s">
        <v>3153</v>
      </c>
      <c r="B579" s="4">
        <v>44644</v>
      </c>
      <c r="C579" s="23">
        <f>Orders[[#This Row],[Order Date]]</f>
        <v>44644</v>
      </c>
      <c r="D579" s="2">
        <f>YEAR(Orders[[#This Row],[Order Date]])</f>
        <v>2022</v>
      </c>
      <c r="E579" s="2" t="s">
        <v>3154</v>
      </c>
      <c r="F579" t="s">
        <v>6181</v>
      </c>
      <c r="G579" s="20">
        <v>4</v>
      </c>
      <c r="H579" s="2" t="str">
        <f>INDEX(customers!$A$1:$I$1001,MATCH($E579,customers!$A$1:$A$1001,),MATCH($H$1,customers!$A$1:$I$1,0))</f>
        <v>Lamond Gheeraert</v>
      </c>
      <c r="I579" s="2" t="str">
        <f>IF(INDEX(customers!$A$1:$I$1001,MATCH($E579,customers!$A$1:$A$1001,0),3)=0,"",INDEX(customers!$A$1:$I$1001,MATCH($E579,customers!$A$1:$A$1001,0),3))</f>
        <v/>
      </c>
      <c r="J579" s="2" t="str">
        <f>_xlfn.XLOOKUP(E579,customers!$A$1:$A$1001,customers!$G$1:$G$1001)</f>
        <v>United States</v>
      </c>
      <c r="K579" t="str">
        <f>INDEX(products!$A$1:$G$49,MATCH($F579,products!$A$1:$A$49,0),MATCH(K$1,products!$A$1:$G$1,0))</f>
        <v>Lib</v>
      </c>
      <c r="L579" t="str">
        <f>INDEX(products!$A$1:$G$49,MATCH($F579,products!$A$1:$A$49,0),MATCH(L$1,products!$A$1:$G$1,0))</f>
        <v>M</v>
      </c>
      <c r="M579" s="5">
        <f>INDEX(products!$A$1:$G$49,MATCH($F579,products!$A$1:$A$49,0),MATCH(M$1,products!$A$1:$G$1,0))</f>
        <v>2.5</v>
      </c>
      <c r="N579" s="7">
        <f>INDEX(products!$A$1:$G$49,MATCH($F579,products!$A$1:$A$49,0),MATCH(N$1,products!$A$1:$G$1,0))</f>
        <v>33.464999999999996</v>
      </c>
      <c r="O579" s="7">
        <f t="shared" si="9"/>
        <v>133.85999999999999</v>
      </c>
      <c r="P579" t="str" cm="1">
        <f t="array" ref="P579">_xlfn.IFS(K579="Rob","Robusta",K579="Exc","Excelsa",K579="Ara","Arabica",K579="Lib","Liberica")</f>
        <v>Liberica</v>
      </c>
      <c r="Q579" t="str" cm="1">
        <f t="array" ref="Q579">_xlfn.IFS(L579="M","Medium",L579="L","Light",L579="D","Dark")</f>
        <v>Medium</v>
      </c>
      <c r="R579" t="str">
        <f>_xlfn.XLOOKUP(Orders[[#This Row],[Customer ID]],customers!$A$1:$A$1001,customers!$I$1:$I$1001)</f>
        <v>Yes</v>
      </c>
    </row>
    <row r="580" spans="1:18" x14ac:dyDescent="0.35">
      <c r="A580" s="2" t="s">
        <v>4342</v>
      </c>
      <c r="B580" s="4">
        <v>43827</v>
      </c>
      <c r="C580" s="23">
        <f>Orders[[#This Row],[Order Date]]</f>
        <v>43827</v>
      </c>
      <c r="D580" s="2">
        <f>YEAR(Orders[[#This Row],[Order Date]])</f>
        <v>2019</v>
      </c>
      <c r="E580" s="2" t="s">
        <v>4343</v>
      </c>
      <c r="F580" t="s">
        <v>6156</v>
      </c>
      <c r="G580" s="20">
        <v>2</v>
      </c>
      <c r="H580" s="2" t="str">
        <f>INDEX(customers!$A$1:$I$1001,MATCH($E580,customers!$A$1:$A$1001,),MATCH($H$1,customers!$A$1:$I$1,0))</f>
        <v>Laryssa Benediktovich</v>
      </c>
      <c r="I580" s="2" t="str">
        <f>IF(INDEX(customers!$A$1:$I$1001,MATCH($E580,customers!$A$1:$A$1001,0),3)=0,"",INDEX(customers!$A$1:$I$1001,MATCH($E580,customers!$A$1:$A$1001,0),3))</f>
        <v>lbenediktovichiy@wunderground.com</v>
      </c>
      <c r="J580" s="2" t="str">
        <f>_xlfn.XLOOKUP(E580,customers!$A$1:$A$1001,customers!$G$1:$G$1001)</f>
        <v>United States</v>
      </c>
      <c r="K580" t="str">
        <f>INDEX(products!$A$1:$G$49,MATCH($F580,products!$A$1:$A$49,0),MATCH(K$1,products!$A$1:$G$1,0))</f>
        <v>Exc</v>
      </c>
      <c r="L580" t="str">
        <f>INDEX(products!$A$1:$G$49,MATCH($F580,products!$A$1:$A$49,0),MATCH(L$1,products!$A$1:$G$1,0))</f>
        <v>M</v>
      </c>
      <c r="M580" s="5">
        <f>INDEX(products!$A$1:$G$49,MATCH($F580,products!$A$1:$A$49,0),MATCH(M$1,products!$A$1:$G$1,0))</f>
        <v>0.2</v>
      </c>
      <c r="N580" s="7">
        <f>INDEX(products!$A$1:$G$49,MATCH($F580,products!$A$1:$A$49,0),MATCH(N$1,products!$A$1:$G$1,0))</f>
        <v>4.125</v>
      </c>
      <c r="O580" s="7">
        <f t="shared" si="9"/>
        <v>8.25</v>
      </c>
      <c r="P580" t="str" cm="1">
        <f t="array" ref="P580">_xlfn.IFS(K580="Rob","Robusta",K580="Exc","Excelsa",K580="Ara","Arabica",K580="Lib","Liberica")</f>
        <v>Excelsa</v>
      </c>
      <c r="Q580" t="str" cm="1">
        <f t="array" ref="Q580">_xlfn.IFS(L580="M","Medium",L580="L","Light",L580="D","Dark")</f>
        <v>Medium</v>
      </c>
      <c r="R580" t="str">
        <f>_xlfn.XLOOKUP(Orders[[#This Row],[Customer ID]],customers!$A$1:$A$1001,customers!$I$1:$I$1001)</f>
        <v>Yes</v>
      </c>
    </row>
    <row r="581" spans="1:18" x14ac:dyDescent="0.35">
      <c r="A581" s="2" t="s">
        <v>3917</v>
      </c>
      <c r="B581" s="4">
        <v>44640</v>
      </c>
      <c r="C581" s="23">
        <f>Orders[[#This Row],[Order Date]]</f>
        <v>44640</v>
      </c>
      <c r="D581" s="2">
        <f>YEAR(Orders[[#This Row],[Order Date]])</f>
        <v>2022</v>
      </c>
      <c r="E581" s="2" t="s">
        <v>3918</v>
      </c>
      <c r="F581" t="s">
        <v>6153</v>
      </c>
      <c r="G581" s="20">
        <v>1</v>
      </c>
      <c r="H581" s="2" t="str">
        <f>INDEX(customers!$A$1:$I$1001,MATCH($E581,customers!$A$1:$A$1001,),MATCH($H$1,customers!$A$1:$I$1,0))</f>
        <v>Laurence Ellingham</v>
      </c>
      <c r="I581" s="2" t="str">
        <f>IF(INDEX(customers!$A$1:$I$1001,MATCH($E581,customers!$A$1:$A$1001,0),3)=0,"",INDEX(customers!$A$1:$I$1001,MATCH($E581,customers!$A$1:$A$1001,0),3))</f>
        <v>lellinghamgv@sciencedaily.com</v>
      </c>
      <c r="J581" s="2" t="str">
        <f>_xlfn.XLOOKUP(E581,customers!$A$1:$A$1001,customers!$G$1:$G$1001)</f>
        <v>United States</v>
      </c>
      <c r="K581" t="str">
        <f>INDEX(products!$A$1:$G$49,MATCH($F581,products!$A$1:$A$49,0),MATCH(K$1,products!$A$1:$G$1,0))</f>
        <v>Exc</v>
      </c>
      <c r="L581" t="str">
        <f>INDEX(products!$A$1:$G$49,MATCH($F581,products!$A$1:$A$49,0),MATCH(L$1,products!$A$1:$G$1,0))</f>
        <v>D</v>
      </c>
      <c r="M581" s="5">
        <f>INDEX(products!$A$1:$G$49,MATCH($F581,products!$A$1:$A$49,0),MATCH(M$1,products!$A$1:$G$1,0))</f>
        <v>0.2</v>
      </c>
      <c r="N581" s="7">
        <f>INDEX(products!$A$1:$G$49,MATCH($F581,products!$A$1:$A$49,0),MATCH(N$1,products!$A$1:$G$1,0))</f>
        <v>3.645</v>
      </c>
      <c r="O581" s="7">
        <f t="shared" si="9"/>
        <v>3.645</v>
      </c>
      <c r="P581" t="str" cm="1">
        <f t="array" ref="P581">_xlfn.IFS(K581="Rob","Robusta",K581="Exc","Excelsa",K581="Ara","Arabica",K581="Lib","Liberica")</f>
        <v>Excelsa</v>
      </c>
      <c r="Q581" t="str" cm="1">
        <f t="array" ref="Q581">_xlfn.IFS(L581="M","Medium",L581="L","Light",L581="D","Dark")</f>
        <v>Dark</v>
      </c>
      <c r="R581" t="str">
        <f>_xlfn.XLOOKUP(Orders[[#This Row],[Customer ID]],customers!$A$1:$A$1001,customers!$I$1:$I$1001)</f>
        <v>Yes</v>
      </c>
    </row>
    <row r="582" spans="1:18" x14ac:dyDescent="0.35">
      <c r="A582" s="2" t="s">
        <v>5614</v>
      </c>
      <c r="B582" s="4">
        <v>44588</v>
      </c>
      <c r="C582" s="23">
        <f>Orders[[#This Row],[Order Date]]</f>
        <v>44588</v>
      </c>
      <c r="D582" s="2">
        <f>YEAR(Orders[[#This Row],[Order Date]])</f>
        <v>2022</v>
      </c>
      <c r="E582" s="2" t="s">
        <v>5615</v>
      </c>
      <c r="F582" t="s">
        <v>6157</v>
      </c>
      <c r="G582" s="20">
        <v>4</v>
      </c>
      <c r="H582" s="2" t="str">
        <f>INDEX(customers!$A$1:$I$1001,MATCH($E582,customers!$A$1:$A$1001,),MATCH($H$1,customers!$A$1:$I$1,0))</f>
        <v>Lauritz Ledgley</v>
      </c>
      <c r="I582" s="2" t="str">
        <f>IF(INDEX(customers!$A$1:$I$1001,MATCH($E582,customers!$A$1:$A$1001,0),3)=0,"",INDEX(customers!$A$1:$I$1001,MATCH($E582,customers!$A$1:$A$1001,0),3))</f>
        <v>lledgleyp6@de.vu</v>
      </c>
      <c r="J582" s="2" t="str">
        <f>_xlfn.XLOOKUP(E582,customers!$A$1:$A$1001,customers!$G$1:$G$1001)</f>
        <v>United States</v>
      </c>
      <c r="K582" t="str">
        <f>INDEX(products!$A$1:$G$49,MATCH($F582,products!$A$1:$A$49,0),MATCH(K$1,products!$A$1:$G$1,0))</f>
        <v>Ara</v>
      </c>
      <c r="L582" t="str">
        <f>INDEX(products!$A$1:$G$49,MATCH($F582,products!$A$1:$A$49,0),MATCH(L$1,products!$A$1:$G$1,0))</f>
        <v>M</v>
      </c>
      <c r="M582" s="5">
        <f>INDEX(products!$A$1:$G$49,MATCH($F582,products!$A$1:$A$49,0),MATCH(M$1,products!$A$1:$G$1,0))</f>
        <v>0.5</v>
      </c>
      <c r="N582" s="7">
        <f>INDEX(products!$A$1:$G$49,MATCH($F582,products!$A$1:$A$49,0),MATCH(N$1,products!$A$1:$G$1,0))</f>
        <v>6.75</v>
      </c>
      <c r="O582" s="7">
        <f t="shared" si="9"/>
        <v>27</v>
      </c>
      <c r="P582" t="str" cm="1">
        <f t="array" ref="P582">_xlfn.IFS(K582="Rob","Robusta",K582="Exc","Excelsa",K582="Ara","Arabica",K582="Lib","Liberica")</f>
        <v>Arabica</v>
      </c>
      <c r="Q582" t="str" cm="1">
        <f t="array" ref="Q582">_xlfn.IFS(L582="M","Medium",L582="L","Light",L582="D","Dark")</f>
        <v>Medium</v>
      </c>
      <c r="R582" t="str">
        <f>_xlfn.XLOOKUP(Orders[[#This Row],[Customer ID]],customers!$A$1:$A$1001,customers!$I$1:$I$1001)</f>
        <v>Yes</v>
      </c>
    </row>
    <row r="583" spans="1:18" x14ac:dyDescent="0.35">
      <c r="A583" s="2" t="s">
        <v>1544</v>
      </c>
      <c r="B583" s="4">
        <v>44633</v>
      </c>
      <c r="C583" s="23">
        <f>Orders[[#This Row],[Order Date]]</f>
        <v>44633</v>
      </c>
      <c r="D583" s="2">
        <f>YEAR(Orders[[#This Row],[Order Date]])</f>
        <v>2022</v>
      </c>
      <c r="E583" s="2" t="s">
        <v>1545</v>
      </c>
      <c r="F583" t="s">
        <v>6160</v>
      </c>
      <c r="G583" s="20">
        <v>5</v>
      </c>
      <c r="H583" s="2" t="str">
        <f>INDEX(customers!$A$1:$I$1001,MATCH($E583,customers!$A$1:$A$1001,),MATCH($H$1,customers!$A$1:$I$1,0))</f>
        <v>Lawrence Pratt</v>
      </c>
      <c r="I583" s="2" t="str">
        <f>IF(INDEX(customers!$A$1:$I$1001,MATCH($E583,customers!$A$1:$A$1001,0),3)=0,"",INDEX(customers!$A$1:$I$1001,MATCH($E583,customers!$A$1:$A$1001,0),3))</f>
        <v>lpratt57@netvibes.com</v>
      </c>
      <c r="J583" s="2" t="str">
        <f>_xlfn.XLOOKUP(E583,customers!$A$1:$A$1001,customers!$G$1:$G$1001)</f>
        <v>United States</v>
      </c>
      <c r="K583" t="str">
        <f>INDEX(products!$A$1:$G$49,MATCH($F583,products!$A$1:$A$49,0),MATCH(K$1,products!$A$1:$G$1,0))</f>
        <v>Lib</v>
      </c>
      <c r="L583" t="str">
        <f>INDEX(products!$A$1:$G$49,MATCH($F583,products!$A$1:$A$49,0),MATCH(L$1,products!$A$1:$G$1,0))</f>
        <v>M</v>
      </c>
      <c r="M583" s="5">
        <f>INDEX(products!$A$1:$G$49,MATCH($F583,products!$A$1:$A$49,0),MATCH(M$1,products!$A$1:$G$1,0))</f>
        <v>0.5</v>
      </c>
      <c r="N583" s="7">
        <f>INDEX(products!$A$1:$G$49,MATCH($F583,products!$A$1:$A$49,0),MATCH(N$1,products!$A$1:$G$1,0))</f>
        <v>8.73</v>
      </c>
      <c r="O583" s="7">
        <f t="shared" si="9"/>
        <v>43.650000000000006</v>
      </c>
      <c r="P583" t="str" cm="1">
        <f t="array" ref="P583">_xlfn.IFS(K583="Rob","Robusta",K583="Exc","Excelsa",K583="Ara","Arabica",K583="Lib","Liberica")</f>
        <v>Liberica</v>
      </c>
      <c r="Q583" t="str" cm="1">
        <f t="array" ref="Q583">_xlfn.IFS(L583="M","Medium",L583="L","Light",L583="D","Dark")</f>
        <v>Medium</v>
      </c>
      <c r="R583" t="str">
        <f>_xlfn.XLOOKUP(Orders[[#This Row],[Customer ID]],customers!$A$1:$A$1001,customers!$I$1:$I$1001)</f>
        <v>Yes</v>
      </c>
    </row>
    <row r="584" spans="1:18" x14ac:dyDescent="0.35">
      <c r="A584" s="2" t="s">
        <v>4286</v>
      </c>
      <c r="B584" s="4">
        <v>43916</v>
      </c>
      <c r="C584" s="23">
        <f>Orders[[#This Row],[Order Date]]</f>
        <v>43916</v>
      </c>
      <c r="D584" s="2">
        <f>YEAR(Orders[[#This Row],[Order Date]])</f>
        <v>2020</v>
      </c>
      <c r="E584" s="2" t="s">
        <v>4287</v>
      </c>
      <c r="F584" t="s">
        <v>6160</v>
      </c>
      <c r="G584" s="20">
        <v>5</v>
      </c>
      <c r="H584" s="2" t="str">
        <f>INDEX(customers!$A$1:$I$1001,MATCH($E584,customers!$A$1:$A$1001,),MATCH($H$1,customers!$A$1:$I$1,0))</f>
        <v>Layne Imason</v>
      </c>
      <c r="I584" s="2" t="str">
        <f>IF(INDEX(customers!$A$1:$I$1001,MATCH($E584,customers!$A$1:$A$1001,0),3)=0,"",INDEX(customers!$A$1:$I$1001,MATCH($E584,customers!$A$1:$A$1001,0),3))</f>
        <v>limasonio@discuz.net</v>
      </c>
      <c r="J584" s="2" t="str">
        <f>_xlfn.XLOOKUP(E584,customers!$A$1:$A$1001,customers!$G$1:$G$1001)</f>
        <v>United States</v>
      </c>
      <c r="K584" t="str">
        <f>INDEX(products!$A$1:$G$49,MATCH($F584,products!$A$1:$A$49,0),MATCH(K$1,products!$A$1:$G$1,0))</f>
        <v>Lib</v>
      </c>
      <c r="L584" t="str">
        <f>INDEX(products!$A$1:$G$49,MATCH($F584,products!$A$1:$A$49,0),MATCH(L$1,products!$A$1:$G$1,0))</f>
        <v>M</v>
      </c>
      <c r="M584" s="5">
        <f>INDEX(products!$A$1:$G$49,MATCH($F584,products!$A$1:$A$49,0),MATCH(M$1,products!$A$1:$G$1,0))</f>
        <v>0.5</v>
      </c>
      <c r="N584" s="7">
        <f>INDEX(products!$A$1:$G$49,MATCH($F584,products!$A$1:$A$49,0),MATCH(N$1,products!$A$1:$G$1,0))</f>
        <v>8.73</v>
      </c>
      <c r="O584" s="7">
        <f t="shared" si="9"/>
        <v>43.650000000000006</v>
      </c>
      <c r="P584" t="str" cm="1">
        <f t="array" ref="P584">_xlfn.IFS(K584="Rob","Robusta",K584="Exc","Excelsa",K584="Ara","Arabica",K584="Lib","Liberica")</f>
        <v>Liberica</v>
      </c>
      <c r="Q584" t="str" cm="1">
        <f t="array" ref="Q584">_xlfn.IFS(L584="M","Medium",L584="L","Light",L584="D","Dark")</f>
        <v>Medium</v>
      </c>
      <c r="R584" t="str">
        <f>_xlfn.XLOOKUP(Orders[[#This Row],[Customer ID]],customers!$A$1:$A$1001,customers!$I$1:$I$1001)</f>
        <v>Yes</v>
      </c>
    </row>
    <row r="585" spans="1:18" x14ac:dyDescent="0.35">
      <c r="A585" s="2" t="s">
        <v>2563</v>
      </c>
      <c r="B585" s="4">
        <v>44692</v>
      </c>
      <c r="C585" s="23">
        <f>Orders[[#This Row],[Order Date]]</f>
        <v>44692</v>
      </c>
      <c r="D585" s="2">
        <f>YEAR(Orders[[#This Row],[Order Date]])</f>
        <v>2022</v>
      </c>
      <c r="E585" s="2" t="s">
        <v>2564</v>
      </c>
      <c r="F585" t="s">
        <v>6166</v>
      </c>
      <c r="G585" s="20">
        <v>2</v>
      </c>
      <c r="H585" s="2" t="str">
        <f>INDEX(customers!$A$1:$I$1001,MATCH($E585,customers!$A$1:$A$1001,),MATCH($H$1,customers!$A$1:$I$1,0))</f>
        <v>Leesa Flaonier</v>
      </c>
      <c r="I585" s="2" t="str">
        <f>IF(INDEX(customers!$A$1:$I$1001,MATCH($E585,customers!$A$1:$A$1001,0),3)=0,"",INDEX(customers!$A$1:$I$1001,MATCH($E585,customers!$A$1:$A$1001,0),3))</f>
        <v>lflaoniera8@wordpress.org</v>
      </c>
      <c r="J585" s="2" t="str">
        <f>_xlfn.XLOOKUP(E585,customers!$A$1:$A$1001,customers!$G$1:$G$1001)</f>
        <v>United States</v>
      </c>
      <c r="K585" t="str">
        <f>INDEX(products!$A$1:$G$49,MATCH($F585,products!$A$1:$A$49,0),MATCH(K$1,products!$A$1:$G$1,0))</f>
        <v>Exc</v>
      </c>
      <c r="L585" t="str">
        <f>INDEX(products!$A$1:$G$49,MATCH($F585,products!$A$1:$A$49,0),MATCH(L$1,products!$A$1:$G$1,0))</f>
        <v>M</v>
      </c>
      <c r="M585" s="5">
        <f>INDEX(products!$A$1:$G$49,MATCH($F585,products!$A$1:$A$49,0),MATCH(M$1,products!$A$1:$G$1,0))</f>
        <v>2.5</v>
      </c>
      <c r="N585" s="7">
        <f>INDEX(products!$A$1:$G$49,MATCH($F585,products!$A$1:$A$49,0),MATCH(N$1,products!$A$1:$G$1,0))</f>
        <v>31.624999999999996</v>
      </c>
      <c r="O585" s="7">
        <f t="shared" si="9"/>
        <v>63.249999999999993</v>
      </c>
      <c r="P585" t="str" cm="1">
        <f t="array" ref="P585">_xlfn.IFS(K585="Rob","Robusta",K585="Exc","Excelsa",K585="Ara","Arabica",K585="Lib","Liberica")</f>
        <v>Excelsa</v>
      </c>
      <c r="Q585" t="str" cm="1">
        <f t="array" ref="Q585">_xlfn.IFS(L585="M","Medium",L585="L","Light",L585="D","Dark")</f>
        <v>Medium</v>
      </c>
      <c r="R585" t="str">
        <f>_xlfn.XLOOKUP(Orders[[#This Row],[Customer ID]],customers!$A$1:$A$1001,customers!$I$1:$I$1001)</f>
        <v>No</v>
      </c>
    </row>
    <row r="586" spans="1:18" x14ac:dyDescent="0.35">
      <c r="A586" s="2" t="s">
        <v>1917</v>
      </c>
      <c r="B586" s="4">
        <v>44523</v>
      </c>
      <c r="C586" s="23">
        <f>Orders[[#This Row],[Order Date]]</f>
        <v>44523</v>
      </c>
      <c r="D586" s="2">
        <f>YEAR(Orders[[#This Row],[Order Date]])</f>
        <v>2021</v>
      </c>
      <c r="E586" s="2" t="s">
        <v>1918</v>
      </c>
      <c r="F586" t="s">
        <v>6162</v>
      </c>
      <c r="G586" s="20">
        <v>4</v>
      </c>
      <c r="H586" s="2" t="str">
        <f>INDEX(customers!$A$1:$I$1001,MATCH($E586,customers!$A$1:$A$1001,),MATCH($H$1,customers!$A$1:$I$1,0))</f>
        <v>Leia Kernan</v>
      </c>
      <c r="I586" s="2" t="str">
        <f>IF(INDEX(customers!$A$1:$I$1001,MATCH($E586,customers!$A$1:$A$1001,0),3)=0,"",INDEX(customers!$A$1:$I$1001,MATCH($E586,customers!$A$1:$A$1001,0),3))</f>
        <v>lkernan71@wsj.com</v>
      </c>
      <c r="J586" s="2" t="str">
        <f>_xlfn.XLOOKUP(E586,customers!$A$1:$A$1001,customers!$G$1:$G$1001)</f>
        <v>United States</v>
      </c>
      <c r="K586" t="str">
        <f>INDEX(products!$A$1:$G$49,MATCH($F586,products!$A$1:$A$49,0),MATCH(K$1,products!$A$1:$G$1,0))</f>
        <v>Lib</v>
      </c>
      <c r="L586" t="str">
        <f>INDEX(products!$A$1:$G$49,MATCH($F586,products!$A$1:$A$49,0),MATCH(L$1,products!$A$1:$G$1,0))</f>
        <v>M</v>
      </c>
      <c r="M586" s="5">
        <f>INDEX(products!$A$1:$G$49,MATCH($F586,products!$A$1:$A$49,0),MATCH(M$1,products!$A$1:$G$1,0))</f>
        <v>1</v>
      </c>
      <c r="N586" s="7">
        <f>INDEX(products!$A$1:$G$49,MATCH($F586,products!$A$1:$A$49,0),MATCH(N$1,products!$A$1:$G$1,0))</f>
        <v>14.55</v>
      </c>
      <c r="O586" s="7">
        <f t="shared" si="9"/>
        <v>58.2</v>
      </c>
      <c r="P586" t="str" cm="1">
        <f t="array" ref="P586">_xlfn.IFS(K586="Rob","Robusta",K586="Exc","Excelsa",K586="Ara","Arabica",K586="Lib","Liberica")</f>
        <v>Liberica</v>
      </c>
      <c r="Q586" t="str" cm="1">
        <f t="array" ref="Q586">_xlfn.IFS(L586="M","Medium",L586="L","Light",L586="D","Dark")</f>
        <v>Medium</v>
      </c>
      <c r="R586" t="str">
        <f>_xlfn.XLOOKUP(Orders[[#This Row],[Customer ID]],customers!$A$1:$A$1001,customers!$I$1:$I$1001)</f>
        <v>No</v>
      </c>
    </row>
    <row r="587" spans="1:18" x14ac:dyDescent="0.35">
      <c r="A587" s="2" t="s">
        <v>3475</v>
      </c>
      <c r="B587" s="4">
        <v>43926</v>
      </c>
      <c r="C587" s="23">
        <f>Orders[[#This Row],[Order Date]]</f>
        <v>43926</v>
      </c>
      <c r="D587" s="2">
        <f>YEAR(Orders[[#This Row],[Order Date]])</f>
        <v>2020</v>
      </c>
      <c r="E587" s="2" t="s">
        <v>3476</v>
      </c>
      <c r="F587" t="s">
        <v>6176</v>
      </c>
      <c r="G587" s="20">
        <v>6</v>
      </c>
      <c r="H587" s="2" t="str">
        <f>INDEX(customers!$A$1:$I$1001,MATCH($E587,customers!$A$1:$A$1001,),MATCH($H$1,customers!$A$1:$I$1,0))</f>
        <v>Lem Pennacci</v>
      </c>
      <c r="I587" s="2" t="str">
        <f>IF(INDEX(customers!$A$1:$I$1001,MATCH($E587,customers!$A$1:$A$1001,0),3)=0,"",INDEX(customers!$A$1:$I$1001,MATCH($E587,customers!$A$1:$A$1001,0),3))</f>
        <v>lpennaccieo@statcounter.com</v>
      </c>
      <c r="J587" s="2" t="str">
        <f>_xlfn.XLOOKUP(E587,customers!$A$1:$A$1001,customers!$G$1:$G$1001)</f>
        <v>United States</v>
      </c>
      <c r="K587" t="str">
        <f>INDEX(products!$A$1:$G$49,MATCH($F587,products!$A$1:$A$49,0),MATCH(K$1,products!$A$1:$G$1,0))</f>
        <v>Exc</v>
      </c>
      <c r="L587" t="str">
        <f>INDEX(products!$A$1:$G$49,MATCH($F587,products!$A$1:$A$49,0),MATCH(L$1,products!$A$1:$G$1,0))</f>
        <v>L</v>
      </c>
      <c r="M587" s="5">
        <f>INDEX(products!$A$1:$G$49,MATCH($F587,products!$A$1:$A$49,0),MATCH(M$1,products!$A$1:$G$1,0))</f>
        <v>0.5</v>
      </c>
      <c r="N587" s="7">
        <f>INDEX(products!$A$1:$G$49,MATCH($F587,products!$A$1:$A$49,0),MATCH(N$1,products!$A$1:$G$1,0))</f>
        <v>8.91</v>
      </c>
      <c r="O587" s="7">
        <f t="shared" si="9"/>
        <v>53.46</v>
      </c>
      <c r="P587" t="str" cm="1">
        <f t="array" ref="P587">_xlfn.IFS(K587="Rob","Robusta",K587="Exc","Excelsa",K587="Ara","Arabica",K587="Lib","Liberica")</f>
        <v>Excelsa</v>
      </c>
      <c r="Q587" t="str" cm="1">
        <f t="array" ref="Q587">_xlfn.IFS(L587="M","Medium",L587="L","Light",L587="D","Dark")</f>
        <v>Light</v>
      </c>
      <c r="R587" t="str">
        <f>_xlfn.XLOOKUP(Orders[[#This Row],[Customer ID]],customers!$A$1:$A$1001,customers!$I$1:$I$1001)</f>
        <v>No</v>
      </c>
    </row>
    <row r="588" spans="1:18" x14ac:dyDescent="0.35">
      <c r="A588" s="2" t="s">
        <v>2928</v>
      </c>
      <c r="B588" s="4">
        <v>44563</v>
      </c>
      <c r="C588" s="23">
        <f>Orders[[#This Row],[Order Date]]</f>
        <v>44563</v>
      </c>
      <c r="D588" s="2">
        <f>YEAR(Orders[[#This Row],[Order Date]])</f>
        <v>2022</v>
      </c>
      <c r="E588" s="2" t="s">
        <v>2929</v>
      </c>
      <c r="F588" t="s">
        <v>6181</v>
      </c>
      <c r="G588" s="20">
        <v>6</v>
      </c>
      <c r="H588" s="2" t="str">
        <f>INDEX(customers!$A$1:$I$1001,MATCH($E588,customers!$A$1:$A$1001,),MATCH($H$1,customers!$A$1:$I$1,0))</f>
        <v>Lemuel Rignold</v>
      </c>
      <c r="I588" s="2" t="str">
        <f>IF(INDEX(customers!$A$1:$I$1001,MATCH($E588,customers!$A$1:$A$1001,0),3)=0,"",INDEX(customers!$A$1:$I$1001,MATCH($E588,customers!$A$1:$A$1001,0),3))</f>
        <v>lrignoldc1@miibeian.gov.cn</v>
      </c>
      <c r="J588" s="2" t="str">
        <f>_xlfn.XLOOKUP(E588,customers!$A$1:$A$1001,customers!$G$1:$G$1001)</f>
        <v>United States</v>
      </c>
      <c r="K588" t="str">
        <f>INDEX(products!$A$1:$G$49,MATCH($F588,products!$A$1:$A$49,0),MATCH(K$1,products!$A$1:$G$1,0))</f>
        <v>Lib</v>
      </c>
      <c r="L588" t="str">
        <f>INDEX(products!$A$1:$G$49,MATCH($F588,products!$A$1:$A$49,0),MATCH(L$1,products!$A$1:$G$1,0))</f>
        <v>M</v>
      </c>
      <c r="M588" s="5">
        <f>INDEX(products!$A$1:$G$49,MATCH($F588,products!$A$1:$A$49,0),MATCH(M$1,products!$A$1:$G$1,0))</f>
        <v>2.5</v>
      </c>
      <c r="N588" s="7">
        <f>INDEX(products!$A$1:$G$49,MATCH($F588,products!$A$1:$A$49,0),MATCH(N$1,products!$A$1:$G$1,0))</f>
        <v>33.464999999999996</v>
      </c>
      <c r="O588" s="7">
        <f t="shared" si="9"/>
        <v>200.78999999999996</v>
      </c>
      <c r="P588" t="str" cm="1">
        <f t="array" ref="P588">_xlfn.IFS(K588="Rob","Robusta",K588="Exc","Excelsa",K588="Ara","Arabica",K588="Lib","Liberica")</f>
        <v>Liberica</v>
      </c>
      <c r="Q588" t="str" cm="1">
        <f t="array" ref="Q588">_xlfn.IFS(L588="M","Medium",L588="L","Light",L588="D","Dark")</f>
        <v>Medium</v>
      </c>
      <c r="R588" t="str">
        <f>_xlfn.XLOOKUP(Orders[[#This Row],[Customer ID]],customers!$A$1:$A$1001,customers!$I$1:$I$1001)</f>
        <v>Yes</v>
      </c>
    </row>
    <row r="589" spans="1:18" x14ac:dyDescent="0.35">
      <c r="A589" s="2" t="s">
        <v>5096</v>
      </c>
      <c r="B589" s="4">
        <v>44200</v>
      </c>
      <c r="C589" s="23">
        <f>Orders[[#This Row],[Order Date]]</f>
        <v>44200</v>
      </c>
      <c r="D589" s="2">
        <f>YEAR(Orders[[#This Row],[Order Date]])</f>
        <v>2021</v>
      </c>
      <c r="E589" s="2" t="s">
        <v>5097</v>
      </c>
      <c r="F589" t="s">
        <v>6146</v>
      </c>
      <c r="G589" s="20">
        <v>6</v>
      </c>
      <c r="H589" s="2" t="str">
        <f>INDEX(customers!$A$1:$I$1001,MATCH($E589,customers!$A$1:$A$1001,),MATCH($H$1,customers!$A$1:$I$1,0))</f>
        <v>Lenci Haggerstone</v>
      </c>
      <c r="I589" s="2" t="str">
        <f>IF(INDEX(customers!$A$1:$I$1001,MATCH($E589,customers!$A$1:$A$1001,0),3)=0,"",INDEX(customers!$A$1:$I$1001,MATCH($E589,customers!$A$1:$A$1001,0),3))</f>
        <v>lhaggerstonemn@independent.co.uk</v>
      </c>
      <c r="J589" s="2" t="str">
        <f>_xlfn.XLOOKUP(E589,customers!$A$1:$A$1001,customers!$G$1:$G$1001)</f>
        <v>United States</v>
      </c>
      <c r="K589" t="str">
        <f>INDEX(products!$A$1:$G$49,MATCH($F589,products!$A$1:$A$49,0),MATCH(K$1,products!$A$1:$G$1,0))</f>
        <v>Rob</v>
      </c>
      <c r="L589" t="str">
        <f>INDEX(products!$A$1:$G$49,MATCH($F589,products!$A$1:$A$49,0),MATCH(L$1,products!$A$1:$G$1,0))</f>
        <v>M</v>
      </c>
      <c r="M589" s="5">
        <f>INDEX(products!$A$1:$G$49,MATCH($F589,products!$A$1:$A$49,0),MATCH(M$1,products!$A$1:$G$1,0))</f>
        <v>0.5</v>
      </c>
      <c r="N589" s="7">
        <f>INDEX(products!$A$1:$G$49,MATCH($F589,products!$A$1:$A$49,0),MATCH(N$1,products!$A$1:$G$1,0))</f>
        <v>5.97</v>
      </c>
      <c r="O589" s="7">
        <f t="shared" si="9"/>
        <v>35.82</v>
      </c>
      <c r="P589" t="str" cm="1">
        <f t="array" ref="P589">_xlfn.IFS(K589="Rob","Robusta",K589="Exc","Excelsa",K589="Ara","Arabica",K589="Lib","Liberica")</f>
        <v>Robusta</v>
      </c>
      <c r="Q589" t="str" cm="1">
        <f t="array" ref="Q589">_xlfn.IFS(L589="M","Medium",L589="L","Light",L589="D","Dark")</f>
        <v>Medium</v>
      </c>
      <c r="R589" t="str">
        <f>_xlfn.XLOOKUP(Orders[[#This Row],[Customer ID]],customers!$A$1:$A$1001,customers!$I$1:$I$1001)</f>
        <v>No</v>
      </c>
    </row>
    <row r="590" spans="1:18" x14ac:dyDescent="0.35">
      <c r="A590" s="2" t="s">
        <v>5199</v>
      </c>
      <c r="B590" s="4">
        <v>44302</v>
      </c>
      <c r="C590" s="23">
        <f>Orders[[#This Row],[Order Date]]</f>
        <v>44302</v>
      </c>
      <c r="D590" s="2">
        <f>YEAR(Orders[[#This Row],[Order Date]])</f>
        <v>2021</v>
      </c>
      <c r="E590" s="2" t="s">
        <v>5200</v>
      </c>
      <c r="F590" t="s">
        <v>6149</v>
      </c>
      <c r="G590" s="20">
        <v>4</v>
      </c>
      <c r="H590" s="2" t="str">
        <f>INDEX(customers!$A$1:$I$1001,MATCH($E590,customers!$A$1:$A$1001,),MATCH($H$1,customers!$A$1:$I$1,0))</f>
        <v>Lenette Dwerryhouse</v>
      </c>
      <c r="I590" s="2" t="str">
        <f>IF(INDEX(customers!$A$1:$I$1001,MATCH($E590,customers!$A$1:$A$1001,0),3)=0,"",INDEX(customers!$A$1:$I$1001,MATCH($E590,customers!$A$1:$A$1001,0),3))</f>
        <v>ldwerryhousen5@gravatar.com</v>
      </c>
      <c r="J590" s="2" t="str">
        <f>_xlfn.XLOOKUP(E590,customers!$A$1:$A$1001,customers!$G$1:$G$1001)</f>
        <v>United States</v>
      </c>
      <c r="K590" t="str">
        <f>INDEX(products!$A$1:$G$49,MATCH($F590,products!$A$1:$A$49,0),MATCH(K$1,products!$A$1:$G$1,0))</f>
        <v>Rob</v>
      </c>
      <c r="L590" t="str">
        <f>INDEX(products!$A$1:$G$49,MATCH($F590,products!$A$1:$A$49,0),MATCH(L$1,products!$A$1:$G$1,0))</f>
        <v>D</v>
      </c>
      <c r="M590" s="5">
        <f>INDEX(products!$A$1:$G$49,MATCH($F590,products!$A$1:$A$49,0),MATCH(M$1,products!$A$1:$G$1,0))</f>
        <v>2.5</v>
      </c>
      <c r="N590" s="7">
        <f>INDEX(products!$A$1:$G$49,MATCH($F590,products!$A$1:$A$49,0),MATCH(N$1,products!$A$1:$G$1,0))</f>
        <v>20.584999999999997</v>
      </c>
      <c r="O590" s="7">
        <f t="shared" si="9"/>
        <v>82.339999999999989</v>
      </c>
      <c r="P590" t="str" cm="1">
        <f t="array" ref="P590">_xlfn.IFS(K590="Rob","Robusta",K590="Exc","Excelsa",K590="Ara","Arabica",K590="Lib","Liberica")</f>
        <v>Robusta</v>
      </c>
      <c r="Q590" t="str" cm="1">
        <f t="array" ref="Q590">_xlfn.IFS(L590="M","Medium",L590="L","Light",L590="D","Dark")</f>
        <v>Dark</v>
      </c>
      <c r="R590" t="str">
        <f>_xlfn.XLOOKUP(Orders[[#This Row],[Customer ID]],customers!$A$1:$A$1001,customers!$I$1:$I$1001)</f>
        <v>Yes</v>
      </c>
    </row>
    <row r="591" spans="1:18" x14ac:dyDescent="0.35">
      <c r="A591" s="2" t="s">
        <v>1736</v>
      </c>
      <c r="B591" s="4">
        <v>44513</v>
      </c>
      <c r="C591" s="23">
        <f>Orders[[#This Row],[Order Date]]</f>
        <v>44513</v>
      </c>
      <c r="D591" s="2">
        <f>YEAR(Orders[[#This Row],[Order Date]])</f>
        <v>2021</v>
      </c>
      <c r="E591" s="2" t="s">
        <v>1737</v>
      </c>
      <c r="F591" t="s">
        <v>6140</v>
      </c>
      <c r="G591" s="20">
        <v>6</v>
      </c>
      <c r="H591" s="2" t="str">
        <f>INDEX(customers!$A$1:$I$1001,MATCH($E591,customers!$A$1:$A$1001,),MATCH($H$1,customers!$A$1:$I$1,0))</f>
        <v>Lenka Rushmer</v>
      </c>
      <c r="I591" s="2" t="str">
        <f>IF(INDEX(customers!$A$1:$I$1001,MATCH($E591,customers!$A$1:$A$1001,0),3)=0,"",INDEX(customers!$A$1:$I$1001,MATCH($E591,customers!$A$1:$A$1001,0),3))</f>
        <v>lrushmer65@europa.eu</v>
      </c>
      <c r="J591" s="2" t="str">
        <f>_xlfn.XLOOKUP(E591,customers!$A$1:$A$1001,customers!$G$1:$G$1001)</f>
        <v>United States</v>
      </c>
      <c r="K591" t="str">
        <f>INDEX(products!$A$1:$G$49,MATCH($F591,products!$A$1:$A$49,0),MATCH(K$1,products!$A$1:$G$1,0))</f>
        <v>Ara</v>
      </c>
      <c r="L591" t="str">
        <f>INDEX(products!$A$1:$G$49,MATCH($F591,products!$A$1:$A$49,0),MATCH(L$1,products!$A$1:$G$1,0))</f>
        <v>L</v>
      </c>
      <c r="M591" s="5">
        <f>INDEX(products!$A$1:$G$49,MATCH($F591,products!$A$1:$A$49,0),MATCH(M$1,products!$A$1:$G$1,0))</f>
        <v>1</v>
      </c>
      <c r="N591" s="7">
        <f>INDEX(products!$A$1:$G$49,MATCH($F591,products!$A$1:$A$49,0),MATCH(N$1,products!$A$1:$G$1,0))</f>
        <v>12.95</v>
      </c>
      <c r="O591" s="7">
        <f t="shared" si="9"/>
        <v>77.699999999999989</v>
      </c>
      <c r="P591" t="str" cm="1">
        <f t="array" ref="P591">_xlfn.IFS(K591="Rob","Robusta",K591="Exc","Excelsa",K591="Ara","Arabica",K591="Lib","Liberica")</f>
        <v>Arabica</v>
      </c>
      <c r="Q591" t="str" cm="1">
        <f t="array" ref="Q591">_xlfn.IFS(L591="M","Medium",L591="L","Light",L591="D","Dark")</f>
        <v>Light</v>
      </c>
      <c r="R591" t="str">
        <f>_xlfn.XLOOKUP(Orders[[#This Row],[Customer ID]],customers!$A$1:$A$1001,customers!$I$1:$I$1001)</f>
        <v>Yes</v>
      </c>
    </row>
    <row r="592" spans="1:18" x14ac:dyDescent="0.35">
      <c r="A592" s="2" t="s">
        <v>2666</v>
      </c>
      <c r="B592" s="4">
        <v>44083</v>
      </c>
      <c r="C592" s="23">
        <f>Orders[[#This Row],[Order Date]]</f>
        <v>44083</v>
      </c>
      <c r="D592" s="2">
        <f>YEAR(Orders[[#This Row],[Order Date]])</f>
        <v>2020</v>
      </c>
      <c r="E592" s="2" t="s">
        <v>2667</v>
      </c>
      <c r="F592" t="s">
        <v>6154</v>
      </c>
      <c r="G592" s="20">
        <v>6</v>
      </c>
      <c r="H592" s="2" t="str">
        <f>INDEX(customers!$A$1:$I$1001,MATCH($E592,customers!$A$1:$A$1001,),MATCH($H$1,customers!$A$1:$I$1,0))</f>
        <v>Lenore Messenbird</v>
      </c>
      <c r="I592" s="2" t="str">
        <f>IF(INDEX(customers!$A$1:$I$1001,MATCH($E592,customers!$A$1:$A$1001,0),3)=0,"",INDEX(customers!$A$1:$I$1001,MATCH($E592,customers!$A$1:$A$1001,0),3))</f>
        <v/>
      </c>
      <c r="J592" s="2" t="str">
        <f>_xlfn.XLOOKUP(E592,customers!$A$1:$A$1001,customers!$G$1:$G$1001)</f>
        <v>United States</v>
      </c>
      <c r="K592" t="str">
        <f>INDEX(products!$A$1:$G$49,MATCH($F592,products!$A$1:$A$49,0),MATCH(K$1,products!$A$1:$G$1,0))</f>
        <v>Ara</v>
      </c>
      <c r="L592" t="str">
        <f>INDEX(products!$A$1:$G$49,MATCH($F592,products!$A$1:$A$49,0),MATCH(L$1,products!$A$1:$G$1,0))</f>
        <v>D</v>
      </c>
      <c r="M592" s="5">
        <f>INDEX(products!$A$1:$G$49,MATCH($F592,products!$A$1:$A$49,0),MATCH(M$1,products!$A$1:$G$1,0))</f>
        <v>0.2</v>
      </c>
      <c r="N592" s="7">
        <f>INDEX(products!$A$1:$G$49,MATCH($F592,products!$A$1:$A$49,0),MATCH(N$1,products!$A$1:$G$1,0))</f>
        <v>2.9849999999999999</v>
      </c>
      <c r="O592" s="7">
        <f t="shared" si="9"/>
        <v>17.91</v>
      </c>
      <c r="P592" t="str" cm="1">
        <f t="array" ref="P592">_xlfn.IFS(K592="Rob","Robusta",K592="Exc","Excelsa",K592="Ara","Arabica",K592="Lib","Liberica")</f>
        <v>Arabica</v>
      </c>
      <c r="Q592" t="str" cm="1">
        <f t="array" ref="Q592">_xlfn.IFS(L592="M","Medium",L592="L","Light",L592="D","Dark")</f>
        <v>Dark</v>
      </c>
      <c r="R592" t="str">
        <f>_xlfn.XLOOKUP(Orders[[#This Row],[Customer ID]],customers!$A$1:$A$1001,customers!$I$1:$I$1001)</f>
        <v>Yes</v>
      </c>
    </row>
    <row r="593" spans="1:18" x14ac:dyDescent="0.35">
      <c r="A593" s="2" t="s">
        <v>2775</v>
      </c>
      <c r="B593" s="4">
        <v>44167</v>
      </c>
      <c r="C593" s="23">
        <f>Orders[[#This Row],[Order Date]]</f>
        <v>44167</v>
      </c>
      <c r="D593" s="2">
        <f>YEAR(Orders[[#This Row],[Order Date]])</f>
        <v>2020</v>
      </c>
      <c r="E593" s="2" t="s">
        <v>2776</v>
      </c>
      <c r="F593" t="s">
        <v>6139</v>
      </c>
      <c r="G593" s="20">
        <v>3</v>
      </c>
      <c r="H593" s="2" t="str">
        <f>INDEX(customers!$A$1:$I$1001,MATCH($E593,customers!$A$1:$A$1001,),MATCH($H$1,customers!$A$1:$I$1,0))</f>
        <v>Leonie Cullrford</v>
      </c>
      <c r="I593" s="2" t="str">
        <f>IF(INDEX(customers!$A$1:$I$1001,MATCH($E593,customers!$A$1:$A$1001,0),3)=0,"",INDEX(customers!$A$1:$I$1001,MATCH($E593,customers!$A$1:$A$1001,0),3))</f>
        <v>lcullrfordb9@xing.com</v>
      </c>
      <c r="J593" s="2" t="str">
        <f>_xlfn.XLOOKUP(E593,customers!$A$1:$A$1001,customers!$G$1:$G$1001)</f>
        <v>United States</v>
      </c>
      <c r="K593" t="str">
        <f>INDEX(products!$A$1:$G$49,MATCH($F593,products!$A$1:$A$49,0),MATCH(K$1,products!$A$1:$G$1,0))</f>
        <v>Exc</v>
      </c>
      <c r="L593" t="str">
        <f>INDEX(products!$A$1:$G$49,MATCH($F593,products!$A$1:$A$49,0),MATCH(L$1,products!$A$1:$G$1,0))</f>
        <v>M</v>
      </c>
      <c r="M593" s="5">
        <f>INDEX(products!$A$1:$G$49,MATCH($F593,products!$A$1:$A$49,0),MATCH(M$1,products!$A$1:$G$1,0))</f>
        <v>0.5</v>
      </c>
      <c r="N593" s="7">
        <f>INDEX(products!$A$1:$G$49,MATCH($F593,products!$A$1:$A$49,0),MATCH(N$1,products!$A$1:$G$1,0))</f>
        <v>8.25</v>
      </c>
      <c r="O593" s="7">
        <f t="shared" si="9"/>
        <v>24.75</v>
      </c>
      <c r="P593" t="str" cm="1">
        <f t="array" ref="P593">_xlfn.IFS(K593="Rob","Robusta",K593="Exc","Excelsa",K593="Ara","Arabica",K593="Lib","Liberica")</f>
        <v>Excelsa</v>
      </c>
      <c r="Q593" t="str" cm="1">
        <f t="array" ref="Q593">_xlfn.IFS(L593="M","Medium",L593="L","Light",L593="D","Dark")</f>
        <v>Medium</v>
      </c>
      <c r="R593" t="str">
        <f>_xlfn.XLOOKUP(Orders[[#This Row],[Customer ID]],customers!$A$1:$A$1001,customers!$I$1:$I$1001)</f>
        <v>Yes</v>
      </c>
    </row>
    <row r="594" spans="1:18" x14ac:dyDescent="0.35">
      <c r="A594" s="2" t="s">
        <v>1311</v>
      </c>
      <c r="B594" s="4">
        <v>44024</v>
      </c>
      <c r="C594" s="23">
        <f>Orders[[#This Row],[Order Date]]</f>
        <v>44024</v>
      </c>
      <c r="D594" s="2">
        <f>YEAR(Orders[[#This Row],[Order Date]])</f>
        <v>2020</v>
      </c>
      <c r="E594" s="2" t="s">
        <v>1312</v>
      </c>
      <c r="F594" t="s">
        <v>6162</v>
      </c>
      <c r="G594" s="20">
        <v>3</v>
      </c>
      <c r="H594" s="2" t="str">
        <f>INDEX(customers!$A$1:$I$1001,MATCH($E594,customers!$A$1:$A$1001,),MATCH($H$1,customers!$A$1:$I$1,0))</f>
        <v>Leonore Francisco</v>
      </c>
      <c r="I594" s="2" t="str">
        <f>IF(INDEX(customers!$A$1:$I$1001,MATCH($E594,customers!$A$1:$A$1001,0),3)=0,"",INDEX(customers!$A$1:$I$1001,MATCH($E594,customers!$A$1:$A$1001,0),3))</f>
        <v>lfrancisco42@fema.gov</v>
      </c>
      <c r="J594" s="2" t="str">
        <f>_xlfn.XLOOKUP(E594,customers!$A$1:$A$1001,customers!$G$1:$G$1001)</f>
        <v>United States</v>
      </c>
      <c r="K594" t="str">
        <f>INDEX(products!$A$1:$G$49,MATCH($F594,products!$A$1:$A$49,0),MATCH(K$1,products!$A$1:$G$1,0))</f>
        <v>Lib</v>
      </c>
      <c r="L594" t="str">
        <f>INDEX(products!$A$1:$G$49,MATCH($F594,products!$A$1:$A$49,0),MATCH(L$1,products!$A$1:$G$1,0))</f>
        <v>M</v>
      </c>
      <c r="M594" s="5">
        <f>INDEX(products!$A$1:$G$49,MATCH($F594,products!$A$1:$A$49,0),MATCH(M$1,products!$A$1:$G$1,0))</f>
        <v>1</v>
      </c>
      <c r="N594" s="7">
        <f>INDEX(products!$A$1:$G$49,MATCH($F594,products!$A$1:$A$49,0),MATCH(N$1,products!$A$1:$G$1,0))</f>
        <v>14.55</v>
      </c>
      <c r="O594" s="7">
        <f t="shared" si="9"/>
        <v>43.650000000000006</v>
      </c>
      <c r="P594" t="str" cm="1">
        <f t="array" ref="P594">_xlfn.IFS(K594="Rob","Robusta",K594="Exc","Excelsa",K594="Ara","Arabica",K594="Lib","Liberica")</f>
        <v>Liberica</v>
      </c>
      <c r="Q594" t="str" cm="1">
        <f t="array" ref="Q594">_xlfn.IFS(L594="M","Medium",L594="L","Light",L594="D","Dark")</f>
        <v>Medium</v>
      </c>
      <c r="R594" t="str">
        <f>_xlfn.XLOOKUP(Orders[[#This Row],[Customer ID]],customers!$A$1:$A$1001,customers!$I$1:$I$1001)</f>
        <v>No</v>
      </c>
    </row>
    <row r="595" spans="1:18" x14ac:dyDescent="0.35">
      <c r="A595" s="2" t="s">
        <v>1311</v>
      </c>
      <c r="B595" s="4">
        <v>44024</v>
      </c>
      <c r="C595" s="23">
        <f>Orders[[#This Row],[Order Date]]</f>
        <v>44024</v>
      </c>
      <c r="D595" s="2">
        <f>YEAR(Orders[[#This Row],[Order Date]])</f>
        <v>2020</v>
      </c>
      <c r="E595" s="2" t="s">
        <v>1312</v>
      </c>
      <c r="F595" t="s">
        <v>6141</v>
      </c>
      <c r="G595" s="20">
        <v>2</v>
      </c>
      <c r="H595" s="2" t="str">
        <f>INDEX(customers!$A$1:$I$1001,MATCH($E595,customers!$A$1:$A$1001,),MATCH($H$1,customers!$A$1:$I$1,0))</f>
        <v>Leonore Francisco</v>
      </c>
      <c r="I595" s="2" t="str">
        <f>IF(INDEX(customers!$A$1:$I$1001,MATCH($E595,customers!$A$1:$A$1001,0),3)=0,"",INDEX(customers!$A$1:$I$1001,MATCH($E595,customers!$A$1:$A$1001,0),3))</f>
        <v>lfrancisco42@fema.gov</v>
      </c>
      <c r="J595" s="2" t="str">
        <f>_xlfn.XLOOKUP(E595,customers!$A$1:$A$1001,customers!$G$1:$G$1001)</f>
        <v>United States</v>
      </c>
      <c r="K595" t="str">
        <f>INDEX(products!$A$1:$G$49,MATCH($F595,products!$A$1:$A$49,0),MATCH(K$1,products!$A$1:$G$1,0))</f>
        <v>Exc</v>
      </c>
      <c r="L595" t="str">
        <f>INDEX(products!$A$1:$G$49,MATCH($F595,products!$A$1:$A$49,0),MATCH(L$1,products!$A$1:$G$1,0))</f>
        <v>M</v>
      </c>
      <c r="M595" s="5">
        <f>INDEX(products!$A$1:$G$49,MATCH($F595,products!$A$1:$A$49,0),MATCH(M$1,products!$A$1:$G$1,0))</f>
        <v>1</v>
      </c>
      <c r="N595" s="7">
        <f>INDEX(products!$A$1:$G$49,MATCH($F595,products!$A$1:$A$49,0),MATCH(N$1,products!$A$1:$G$1,0))</f>
        <v>13.75</v>
      </c>
      <c r="O595" s="7">
        <f t="shared" si="9"/>
        <v>27.5</v>
      </c>
      <c r="P595" t="str" cm="1">
        <f t="array" ref="P595">_xlfn.IFS(K595="Rob","Robusta",K595="Exc","Excelsa",K595="Ara","Arabica",K595="Lib","Liberica")</f>
        <v>Excelsa</v>
      </c>
      <c r="Q595" t="str" cm="1">
        <f t="array" ref="Q595">_xlfn.IFS(L595="M","Medium",L595="L","Light",L595="D","Dark")</f>
        <v>Medium</v>
      </c>
      <c r="R595" t="str">
        <f>_xlfn.XLOOKUP(Orders[[#This Row],[Customer ID]],customers!$A$1:$A$1001,customers!$I$1:$I$1001)</f>
        <v>No</v>
      </c>
    </row>
    <row r="596" spans="1:18" x14ac:dyDescent="0.35">
      <c r="A596" s="2" t="s">
        <v>1395</v>
      </c>
      <c r="B596" s="4">
        <v>44207</v>
      </c>
      <c r="C596" s="23">
        <f>Orders[[#This Row],[Order Date]]</f>
        <v>44207</v>
      </c>
      <c r="D596" s="2">
        <f>YEAR(Orders[[#This Row],[Order Date]])</f>
        <v>2021</v>
      </c>
      <c r="E596" s="2" t="s">
        <v>1396</v>
      </c>
      <c r="F596" t="s">
        <v>6180</v>
      </c>
      <c r="G596" s="20">
        <v>3</v>
      </c>
      <c r="H596" s="2" t="str">
        <f>INDEX(customers!$A$1:$I$1001,MATCH($E596,customers!$A$1:$A$1001,),MATCH($H$1,customers!$A$1:$I$1,0))</f>
        <v>Leontine Rubrow</v>
      </c>
      <c r="I596" s="2" t="str">
        <f>IF(INDEX(customers!$A$1:$I$1001,MATCH($E596,customers!$A$1:$A$1001,0),3)=0,"",INDEX(customers!$A$1:$I$1001,MATCH($E596,customers!$A$1:$A$1001,0),3))</f>
        <v>lrubrow4h@microsoft.com</v>
      </c>
      <c r="J596" s="2" t="str">
        <f>_xlfn.XLOOKUP(E596,customers!$A$1:$A$1001,customers!$G$1:$G$1001)</f>
        <v>United States</v>
      </c>
      <c r="K596" t="str">
        <f>INDEX(products!$A$1:$G$49,MATCH($F596,products!$A$1:$A$49,0),MATCH(K$1,products!$A$1:$G$1,0))</f>
        <v>Ara</v>
      </c>
      <c r="L596" t="str">
        <f>INDEX(products!$A$1:$G$49,MATCH($F596,products!$A$1:$A$49,0),MATCH(L$1,products!$A$1:$G$1,0))</f>
        <v>L</v>
      </c>
      <c r="M596" s="5">
        <f>INDEX(products!$A$1:$G$49,MATCH($F596,products!$A$1:$A$49,0),MATCH(M$1,products!$A$1:$G$1,0))</f>
        <v>0.5</v>
      </c>
      <c r="N596" s="7">
        <f>INDEX(products!$A$1:$G$49,MATCH($F596,products!$A$1:$A$49,0),MATCH(N$1,products!$A$1:$G$1,0))</f>
        <v>7.77</v>
      </c>
      <c r="O596" s="7">
        <f t="shared" si="9"/>
        <v>23.31</v>
      </c>
      <c r="P596" t="str" cm="1">
        <f t="array" ref="P596">_xlfn.IFS(K596="Rob","Robusta",K596="Exc","Excelsa",K596="Ara","Arabica",K596="Lib","Liberica")</f>
        <v>Arabica</v>
      </c>
      <c r="Q596" t="str" cm="1">
        <f t="array" ref="Q596">_xlfn.IFS(L596="M","Medium",L596="L","Light",L596="D","Dark")</f>
        <v>Light</v>
      </c>
      <c r="R596" t="str">
        <f>_xlfn.XLOOKUP(Orders[[#This Row],[Customer ID]],customers!$A$1:$A$1001,customers!$I$1:$I$1001)</f>
        <v>No</v>
      </c>
    </row>
    <row r="597" spans="1:18" x14ac:dyDescent="0.35">
      <c r="A597" s="2" t="s">
        <v>4620</v>
      </c>
      <c r="B597" s="4">
        <v>44222</v>
      </c>
      <c r="C597" s="23">
        <f>Orders[[#This Row],[Order Date]]</f>
        <v>44222</v>
      </c>
      <c r="D597" s="2">
        <f>YEAR(Orders[[#This Row],[Order Date]])</f>
        <v>2021</v>
      </c>
      <c r="E597" s="2" t="s">
        <v>4621</v>
      </c>
      <c r="F597" t="s">
        <v>6150</v>
      </c>
      <c r="G597" s="20">
        <v>4</v>
      </c>
      <c r="H597" s="2" t="str">
        <f>INDEX(customers!$A$1:$I$1001,MATCH($E597,customers!$A$1:$A$1001,),MATCH($H$1,customers!$A$1:$I$1,0))</f>
        <v>Leta Clarricoates</v>
      </c>
      <c r="I597" s="2" t="str">
        <f>IF(INDEX(customers!$A$1:$I$1001,MATCH($E597,customers!$A$1:$A$1001,0),3)=0,"",INDEX(customers!$A$1:$I$1001,MATCH($E597,customers!$A$1:$A$1001,0),3))</f>
        <v/>
      </c>
      <c r="J597" s="2" t="str">
        <f>_xlfn.XLOOKUP(E597,customers!$A$1:$A$1001,customers!$G$1:$G$1001)</f>
        <v>United States</v>
      </c>
      <c r="K597" t="str">
        <f>INDEX(products!$A$1:$G$49,MATCH($F597,products!$A$1:$A$49,0),MATCH(K$1,products!$A$1:$G$1,0))</f>
        <v>Lib</v>
      </c>
      <c r="L597" t="str">
        <f>INDEX(products!$A$1:$G$49,MATCH($F597,products!$A$1:$A$49,0),MATCH(L$1,products!$A$1:$G$1,0))</f>
        <v>D</v>
      </c>
      <c r="M597" s="5">
        <f>INDEX(products!$A$1:$G$49,MATCH($F597,products!$A$1:$A$49,0),MATCH(M$1,products!$A$1:$G$1,0))</f>
        <v>0.2</v>
      </c>
      <c r="N597" s="7">
        <f>INDEX(products!$A$1:$G$49,MATCH($F597,products!$A$1:$A$49,0),MATCH(N$1,products!$A$1:$G$1,0))</f>
        <v>3.8849999999999998</v>
      </c>
      <c r="O597" s="7">
        <f t="shared" si="9"/>
        <v>15.54</v>
      </c>
      <c r="P597" t="str" cm="1">
        <f t="array" ref="P597">_xlfn.IFS(K597="Rob","Robusta",K597="Exc","Excelsa",K597="Ara","Arabica",K597="Lib","Liberica")</f>
        <v>Liberica</v>
      </c>
      <c r="Q597" t="str" cm="1">
        <f t="array" ref="Q597">_xlfn.IFS(L597="M","Medium",L597="L","Light",L597="D","Dark")</f>
        <v>Dark</v>
      </c>
      <c r="R597" t="str">
        <f>_xlfn.XLOOKUP(Orders[[#This Row],[Customer ID]],customers!$A$1:$A$1001,customers!$I$1:$I$1001)</f>
        <v>Yes</v>
      </c>
    </row>
    <row r="598" spans="1:18" x14ac:dyDescent="0.35">
      <c r="A598" s="2" t="s">
        <v>2446</v>
      </c>
      <c r="B598" s="4">
        <v>44576</v>
      </c>
      <c r="C598" s="23">
        <f>Orders[[#This Row],[Order Date]]</f>
        <v>44576</v>
      </c>
      <c r="D598" s="2">
        <f>YEAR(Orders[[#This Row],[Order Date]])</f>
        <v>2022</v>
      </c>
      <c r="E598" s="2" t="s">
        <v>2447</v>
      </c>
      <c r="F598" t="s">
        <v>6162</v>
      </c>
      <c r="G598" s="20">
        <v>3</v>
      </c>
      <c r="H598" s="2" t="str">
        <f>INDEX(customers!$A$1:$I$1001,MATCH($E598,customers!$A$1:$A$1001,),MATCH($H$1,customers!$A$1:$I$1,0))</f>
        <v>Lewes Danes</v>
      </c>
      <c r="I598" s="2" t="str">
        <f>IF(INDEX(customers!$A$1:$I$1001,MATCH($E598,customers!$A$1:$A$1001,0),3)=0,"",INDEX(customers!$A$1:$I$1001,MATCH($E598,customers!$A$1:$A$1001,0),3))</f>
        <v>ldanes9n@umn.edu</v>
      </c>
      <c r="J598" s="2" t="str">
        <f>_xlfn.XLOOKUP(E598,customers!$A$1:$A$1001,customers!$G$1:$G$1001)</f>
        <v>United States</v>
      </c>
      <c r="K598" t="str">
        <f>INDEX(products!$A$1:$G$49,MATCH($F598,products!$A$1:$A$49,0),MATCH(K$1,products!$A$1:$G$1,0))</f>
        <v>Lib</v>
      </c>
      <c r="L598" t="str">
        <f>INDEX(products!$A$1:$G$49,MATCH($F598,products!$A$1:$A$49,0),MATCH(L$1,products!$A$1:$G$1,0))</f>
        <v>M</v>
      </c>
      <c r="M598" s="5">
        <f>INDEX(products!$A$1:$G$49,MATCH($F598,products!$A$1:$A$49,0),MATCH(M$1,products!$A$1:$G$1,0))</f>
        <v>1</v>
      </c>
      <c r="N598" s="7">
        <f>INDEX(products!$A$1:$G$49,MATCH($F598,products!$A$1:$A$49,0),MATCH(N$1,products!$A$1:$G$1,0))</f>
        <v>14.55</v>
      </c>
      <c r="O598" s="7">
        <f t="shared" si="9"/>
        <v>43.650000000000006</v>
      </c>
      <c r="P598" t="str" cm="1">
        <f t="array" ref="P598">_xlfn.IFS(K598="Rob","Robusta",K598="Exc","Excelsa",K598="Ara","Arabica",K598="Lib","Liberica")</f>
        <v>Liberica</v>
      </c>
      <c r="Q598" t="str" cm="1">
        <f t="array" ref="Q598">_xlfn.IFS(L598="M","Medium",L598="L","Light",L598="D","Dark")</f>
        <v>Medium</v>
      </c>
      <c r="R598" t="str">
        <f>_xlfn.XLOOKUP(Orders[[#This Row],[Customer ID]],customers!$A$1:$A$1001,customers!$I$1:$I$1001)</f>
        <v>No</v>
      </c>
    </row>
    <row r="599" spans="1:18" x14ac:dyDescent="0.35">
      <c r="A599" s="2" t="s">
        <v>1872</v>
      </c>
      <c r="B599" s="4">
        <v>43951</v>
      </c>
      <c r="C599" s="23">
        <f>Orders[[#This Row],[Order Date]]</f>
        <v>43951</v>
      </c>
      <c r="D599" s="2">
        <f>YEAR(Orders[[#This Row],[Order Date]])</f>
        <v>2020</v>
      </c>
      <c r="E599" s="2" t="s">
        <v>1873</v>
      </c>
      <c r="F599" t="s">
        <v>6145</v>
      </c>
      <c r="G599" s="20">
        <v>5</v>
      </c>
      <c r="H599" s="2" t="str">
        <f>INDEX(customers!$A$1:$I$1001,MATCH($E599,customers!$A$1:$A$1001,),MATCH($H$1,customers!$A$1:$I$1,0))</f>
        <v>Lexie Mallan</v>
      </c>
      <c r="I599" s="2" t="str">
        <f>IF(INDEX(customers!$A$1:$I$1001,MATCH($E599,customers!$A$1:$A$1001,0),3)=0,"",INDEX(customers!$A$1:$I$1001,MATCH($E599,customers!$A$1:$A$1001,0),3))</f>
        <v>lmallan6t@state.gov</v>
      </c>
      <c r="J599" s="2" t="str">
        <f>_xlfn.XLOOKUP(E599,customers!$A$1:$A$1001,customers!$G$1:$G$1001)</f>
        <v>United States</v>
      </c>
      <c r="K599" t="str">
        <f>INDEX(products!$A$1:$G$49,MATCH($F599,products!$A$1:$A$49,0),MATCH(K$1,products!$A$1:$G$1,0))</f>
        <v>Lib</v>
      </c>
      <c r="L599" t="str">
        <f>INDEX(products!$A$1:$G$49,MATCH($F599,products!$A$1:$A$49,0),MATCH(L$1,products!$A$1:$G$1,0))</f>
        <v>L</v>
      </c>
      <c r="M599" s="5">
        <f>INDEX(products!$A$1:$G$49,MATCH($F599,products!$A$1:$A$49,0),MATCH(M$1,products!$A$1:$G$1,0))</f>
        <v>0.2</v>
      </c>
      <c r="N599" s="7">
        <f>INDEX(products!$A$1:$G$49,MATCH($F599,products!$A$1:$A$49,0),MATCH(N$1,products!$A$1:$G$1,0))</f>
        <v>4.7549999999999999</v>
      </c>
      <c r="O599" s="7">
        <f t="shared" si="9"/>
        <v>23.774999999999999</v>
      </c>
      <c r="P599" t="str" cm="1">
        <f t="array" ref="P599">_xlfn.IFS(K599="Rob","Robusta",K599="Exc","Excelsa",K599="Ara","Arabica",K599="Lib","Liberica")</f>
        <v>Liberica</v>
      </c>
      <c r="Q599" t="str" cm="1">
        <f t="array" ref="Q599">_xlfn.IFS(L599="M","Medium",L599="L","Light",L599="D","Dark")</f>
        <v>Light</v>
      </c>
      <c r="R599" t="str">
        <f>_xlfn.XLOOKUP(Orders[[#This Row],[Customer ID]],customers!$A$1:$A$1001,customers!$I$1:$I$1001)</f>
        <v>Yes</v>
      </c>
    </row>
    <row r="600" spans="1:18" x14ac:dyDescent="0.35">
      <c r="A600" s="2" t="s">
        <v>1083</v>
      </c>
      <c r="B600" s="4">
        <v>43956</v>
      </c>
      <c r="C600" s="23">
        <f>Orders[[#This Row],[Order Date]]</f>
        <v>43956</v>
      </c>
      <c r="D600" s="2">
        <f>YEAR(Orders[[#This Row],[Order Date]])</f>
        <v>2020</v>
      </c>
      <c r="E600" s="2" t="s">
        <v>1084</v>
      </c>
      <c r="F600" t="s">
        <v>6183</v>
      </c>
      <c r="G600" s="20">
        <v>2</v>
      </c>
      <c r="H600" s="2" t="str">
        <f>INDEX(customers!$A$1:$I$1001,MATCH($E600,customers!$A$1:$A$1001,),MATCH($H$1,customers!$A$1:$I$1,0))</f>
        <v>Lind Conyers</v>
      </c>
      <c r="I600" s="2" t="str">
        <f>IF(INDEX(customers!$A$1:$I$1001,MATCH($E600,customers!$A$1:$A$1001,0),3)=0,"",INDEX(customers!$A$1:$I$1001,MATCH($E600,customers!$A$1:$A$1001,0),3))</f>
        <v>lconyers2y@twitter.com</v>
      </c>
      <c r="J600" s="2" t="str">
        <f>_xlfn.XLOOKUP(E600,customers!$A$1:$A$1001,customers!$G$1:$G$1001)</f>
        <v>United States</v>
      </c>
      <c r="K600" t="str">
        <f>INDEX(products!$A$1:$G$49,MATCH($F600,products!$A$1:$A$49,0),MATCH(K$1,products!$A$1:$G$1,0))</f>
        <v>Exc</v>
      </c>
      <c r="L600" t="str">
        <f>INDEX(products!$A$1:$G$49,MATCH($F600,products!$A$1:$A$49,0),MATCH(L$1,products!$A$1:$G$1,0))</f>
        <v>D</v>
      </c>
      <c r="M600" s="5">
        <f>INDEX(products!$A$1:$G$49,MATCH($F600,products!$A$1:$A$49,0),MATCH(M$1,products!$A$1:$G$1,0))</f>
        <v>1</v>
      </c>
      <c r="N600" s="7">
        <f>INDEX(products!$A$1:$G$49,MATCH($F600,products!$A$1:$A$49,0),MATCH(N$1,products!$A$1:$G$1,0))</f>
        <v>12.15</v>
      </c>
      <c r="O600" s="7">
        <f t="shared" si="9"/>
        <v>24.3</v>
      </c>
      <c r="P600" t="str" cm="1">
        <f t="array" ref="P600">_xlfn.IFS(K600="Rob","Robusta",K600="Exc","Excelsa",K600="Ara","Arabica",K600="Lib","Liberica")</f>
        <v>Excelsa</v>
      </c>
      <c r="Q600" t="str" cm="1">
        <f t="array" ref="Q600">_xlfn.IFS(L600="M","Medium",L600="L","Light",L600="D","Dark")</f>
        <v>Dark</v>
      </c>
      <c r="R600" t="str">
        <f>_xlfn.XLOOKUP(Orders[[#This Row],[Customer ID]],customers!$A$1:$A$1001,customers!$I$1:$I$1001)</f>
        <v>No</v>
      </c>
    </row>
    <row r="601" spans="1:18" x14ac:dyDescent="0.35">
      <c r="A601" s="2" t="s">
        <v>5483</v>
      </c>
      <c r="B601" s="4">
        <v>43956</v>
      </c>
      <c r="C601" s="23">
        <f>Orders[[#This Row],[Order Date]]</f>
        <v>43956</v>
      </c>
      <c r="D601" s="2">
        <f>YEAR(Orders[[#This Row],[Order Date]])</f>
        <v>2020</v>
      </c>
      <c r="E601" s="2" t="s">
        <v>5484</v>
      </c>
      <c r="F601" t="s">
        <v>6175</v>
      </c>
      <c r="G601" s="20">
        <v>3</v>
      </c>
      <c r="H601" s="2" t="str">
        <f>INDEX(customers!$A$1:$I$1001,MATCH($E601,customers!$A$1:$A$1001,),MATCH($H$1,customers!$A$1:$I$1,0))</f>
        <v>Lindon Agnolo</v>
      </c>
      <c r="I601" s="2" t="str">
        <f>IF(INDEX(customers!$A$1:$I$1001,MATCH($E601,customers!$A$1:$A$1001,0),3)=0,"",INDEX(customers!$A$1:$I$1001,MATCH($E601,customers!$A$1:$A$1001,0),3))</f>
        <v>lagnolooj@pinterest.com</v>
      </c>
      <c r="J601" s="2" t="str">
        <f>_xlfn.XLOOKUP(E601,customers!$A$1:$A$1001,customers!$G$1:$G$1001)</f>
        <v>United States</v>
      </c>
      <c r="K601" t="str">
        <f>INDEX(products!$A$1:$G$49,MATCH($F601,products!$A$1:$A$49,0),MATCH(K$1,products!$A$1:$G$1,0))</f>
        <v>Ara</v>
      </c>
      <c r="L601" t="str">
        <f>INDEX(products!$A$1:$G$49,MATCH($F601,products!$A$1:$A$49,0),MATCH(L$1,products!$A$1:$G$1,0))</f>
        <v>M</v>
      </c>
      <c r="M601" s="5">
        <f>INDEX(products!$A$1:$G$49,MATCH($F601,products!$A$1:$A$49,0),MATCH(M$1,products!$A$1:$G$1,0))</f>
        <v>2.5</v>
      </c>
      <c r="N601" s="7">
        <f>INDEX(products!$A$1:$G$49,MATCH($F601,products!$A$1:$A$49,0),MATCH(N$1,products!$A$1:$G$1,0))</f>
        <v>25.874999999999996</v>
      </c>
      <c r="O601" s="7">
        <f t="shared" si="9"/>
        <v>77.624999999999986</v>
      </c>
      <c r="P601" t="str" cm="1">
        <f t="array" ref="P601">_xlfn.IFS(K601="Rob","Robusta",K601="Exc","Excelsa",K601="Ara","Arabica",K601="Lib","Liberica")</f>
        <v>Arabica</v>
      </c>
      <c r="Q601" t="str" cm="1">
        <f t="array" ref="Q601">_xlfn.IFS(L601="M","Medium",L601="L","Light",L601="D","Dark")</f>
        <v>Medium</v>
      </c>
      <c r="R601" t="str">
        <f>_xlfn.XLOOKUP(Orders[[#This Row],[Customer ID]],customers!$A$1:$A$1001,customers!$I$1:$I$1001)</f>
        <v>Yes</v>
      </c>
    </row>
    <row r="602" spans="1:18" x14ac:dyDescent="0.35">
      <c r="A602" s="2" t="s">
        <v>4068</v>
      </c>
      <c r="B602" s="4">
        <v>43940</v>
      </c>
      <c r="C602" s="23">
        <f>Orders[[#This Row],[Order Date]]</f>
        <v>43940</v>
      </c>
      <c r="D602" s="2">
        <f>YEAR(Orders[[#This Row],[Order Date]])</f>
        <v>2020</v>
      </c>
      <c r="E602" s="2" t="s">
        <v>4069</v>
      </c>
      <c r="F602" t="s">
        <v>6162</v>
      </c>
      <c r="G602" s="20">
        <v>3</v>
      </c>
      <c r="H602" s="2" t="str">
        <f>INDEX(customers!$A$1:$I$1001,MATCH($E602,customers!$A$1:$A$1001,),MATCH($H$1,customers!$A$1:$I$1,0))</f>
        <v>Lindy Uttermare</v>
      </c>
      <c r="I602" s="2" t="str">
        <f>IF(INDEX(customers!$A$1:$I$1001,MATCH($E602,customers!$A$1:$A$1001,0),3)=0,"",INDEX(customers!$A$1:$I$1001,MATCH($E602,customers!$A$1:$A$1001,0),3))</f>
        <v>luttermarehm@engadget.com</v>
      </c>
      <c r="J602" s="2" t="str">
        <f>_xlfn.XLOOKUP(E602,customers!$A$1:$A$1001,customers!$G$1:$G$1001)</f>
        <v>United States</v>
      </c>
      <c r="K602" t="str">
        <f>INDEX(products!$A$1:$G$49,MATCH($F602,products!$A$1:$A$49,0),MATCH(K$1,products!$A$1:$G$1,0))</f>
        <v>Lib</v>
      </c>
      <c r="L602" t="str">
        <f>INDEX(products!$A$1:$G$49,MATCH($F602,products!$A$1:$A$49,0),MATCH(L$1,products!$A$1:$G$1,0))</f>
        <v>M</v>
      </c>
      <c r="M602" s="5">
        <f>INDEX(products!$A$1:$G$49,MATCH($F602,products!$A$1:$A$49,0),MATCH(M$1,products!$A$1:$G$1,0))</f>
        <v>1</v>
      </c>
      <c r="N602" s="7">
        <f>INDEX(products!$A$1:$G$49,MATCH($F602,products!$A$1:$A$49,0),MATCH(N$1,products!$A$1:$G$1,0))</f>
        <v>14.55</v>
      </c>
      <c r="O602" s="7">
        <f t="shared" si="9"/>
        <v>43.650000000000006</v>
      </c>
      <c r="P602" t="str" cm="1">
        <f t="array" ref="P602">_xlfn.IFS(K602="Rob","Robusta",K602="Exc","Excelsa",K602="Ara","Arabica",K602="Lib","Liberica")</f>
        <v>Liberica</v>
      </c>
      <c r="Q602" t="str" cm="1">
        <f t="array" ref="Q602">_xlfn.IFS(L602="M","Medium",L602="L","Light",L602="D","Dark")</f>
        <v>Medium</v>
      </c>
      <c r="R602" t="str">
        <f>_xlfn.XLOOKUP(Orders[[#This Row],[Customer ID]],customers!$A$1:$A$1001,customers!$I$1:$I$1001)</f>
        <v>No</v>
      </c>
    </row>
    <row r="603" spans="1:18" x14ac:dyDescent="0.35">
      <c r="A603" s="2" t="s">
        <v>3990</v>
      </c>
      <c r="B603" s="4">
        <v>44217</v>
      </c>
      <c r="C603" s="23">
        <f>Orders[[#This Row],[Order Date]]</f>
        <v>44217</v>
      </c>
      <c r="D603" s="2">
        <f>YEAR(Orders[[#This Row],[Order Date]])</f>
        <v>2021</v>
      </c>
      <c r="E603" s="2" t="s">
        <v>4042</v>
      </c>
      <c r="F603" t="s">
        <v>6152</v>
      </c>
      <c r="G603" s="20">
        <v>6</v>
      </c>
      <c r="H603" s="2" t="str">
        <f>INDEX(customers!$A$1:$I$1001,MATCH($E603,customers!$A$1:$A$1001,),MATCH($H$1,customers!$A$1:$I$1,0))</f>
        <v>Linn Alaway</v>
      </c>
      <c r="I603" s="2" t="str">
        <f>IF(INDEX(customers!$A$1:$I$1001,MATCH($E603,customers!$A$1:$A$1001,0),3)=0,"",INDEX(customers!$A$1:$I$1001,MATCH($E603,customers!$A$1:$A$1001,0),3))</f>
        <v>lalawayhh@weather.com</v>
      </c>
      <c r="J603" s="2" t="str">
        <f>_xlfn.XLOOKUP(E603,customers!$A$1:$A$1001,customers!$G$1:$G$1001)</f>
        <v>United States</v>
      </c>
      <c r="K603" t="str">
        <f>INDEX(products!$A$1:$G$49,MATCH($F603,products!$A$1:$A$49,0),MATCH(K$1,products!$A$1:$G$1,0))</f>
        <v>Ara</v>
      </c>
      <c r="L603" t="str">
        <f>INDEX(products!$A$1:$G$49,MATCH($F603,products!$A$1:$A$49,0),MATCH(L$1,products!$A$1:$G$1,0))</f>
        <v>M</v>
      </c>
      <c r="M603" s="5">
        <f>INDEX(products!$A$1:$G$49,MATCH($F603,products!$A$1:$A$49,0),MATCH(M$1,products!$A$1:$G$1,0))</f>
        <v>0.2</v>
      </c>
      <c r="N603" s="7">
        <f>INDEX(products!$A$1:$G$49,MATCH($F603,products!$A$1:$A$49,0),MATCH(N$1,products!$A$1:$G$1,0))</f>
        <v>3.375</v>
      </c>
      <c r="O603" s="7">
        <f t="shared" si="9"/>
        <v>20.25</v>
      </c>
      <c r="P603" t="str" cm="1">
        <f t="array" ref="P603">_xlfn.IFS(K603="Rob","Robusta",K603="Exc","Excelsa",K603="Ara","Arabica",K603="Lib","Liberica")</f>
        <v>Arabica</v>
      </c>
      <c r="Q603" t="str" cm="1">
        <f t="array" ref="Q603">_xlfn.IFS(L603="M","Medium",L603="L","Light",L603="D","Dark")</f>
        <v>Medium</v>
      </c>
      <c r="R603" t="str">
        <f>_xlfn.XLOOKUP(Orders[[#This Row],[Customer ID]],customers!$A$1:$A$1001,customers!$I$1:$I$1001)</f>
        <v>No</v>
      </c>
    </row>
    <row r="604" spans="1:18" x14ac:dyDescent="0.35">
      <c r="A604" s="2" t="s">
        <v>3966</v>
      </c>
      <c r="B604" s="4">
        <v>44271</v>
      </c>
      <c r="C604" s="23">
        <f>Orders[[#This Row],[Order Date]]</f>
        <v>44271</v>
      </c>
      <c r="D604" s="2">
        <f>YEAR(Orders[[#This Row],[Order Date]])</f>
        <v>2021</v>
      </c>
      <c r="E604" s="2" t="s">
        <v>3967</v>
      </c>
      <c r="F604" t="s">
        <v>6166</v>
      </c>
      <c r="G604" s="20">
        <v>4</v>
      </c>
      <c r="H604" s="2" t="str">
        <f>INDEX(customers!$A$1:$I$1001,MATCH($E604,customers!$A$1:$A$1001,),MATCH($H$1,customers!$A$1:$I$1,0))</f>
        <v>Linus Flippelli</v>
      </c>
      <c r="I604" s="2" t="str">
        <f>IF(INDEX(customers!$A$1:$I$1001,MATCH($E604,customers!$A$1:$A$1001,0),3)=0,"",INDEX(customers!$A$1:$I$1001,MATCH($E604,customers!$A$1:$A$1001,0),3))</f>
        <v>lflippellih4@github.io</v>
      </c>
      <c r="J604" s="2" t="str">
        <f>_xlfn.XLOOKUP(E604,customers!$A$1:$A$1001,customers!$G$1:$G$1001)</f>
        <v>United Kingdom</v>
      </c>
      <c r="K604" t="str">
        <f>INDEX(products!$A$1:$G$49,MATCH($F604,products!$A$1:$A$49,0),MATCH(K$1,products!$A$1:$G$1,0))</f>
        <v>Exc</v>
      </c>
      <c r="L604" t="str">
        <f>INDEX(products!$A$1:$G$49,MATCH($F604,products!$A$1:$A$49,0),MATCH(L$1,products!$A$1:$G$1,0))</f>
        <v>M</v>
      </c>
      <c r="M604" s="5">
        <f>INDEX(products!$A$1:$G$49,MATCH($F604,products!$A$1:$A$49,0),MATCH(M$1,products!$A$1:$G$1,0))</f>
        <v>2.5</v>
      </c>
      <c r="N604" s="7">
        <f>INDEX(products!$A$1:$G$49,MATCH($F604,products!$A$1:$A$49,0),MATCH(N$1,products!$A$1:$G$1,0))</f>
        <v>31.624999999999996</v>
      </c>
      <c r="O604" s="7">
        <f t="shared" si="9"/>
        <v>126.49999999999999</v>
      </c>
      <c r="P604" t="str" cm="1">
        <f t="array" ref="P604">_xlfn.IFS(K604="Rob","Robusta",K604="Exc","Excelsa",K604="Ara","Arabica",K604="Lib","Liberica")</f>
        <v>Excelsa</v>
      </c>
      <c r="Q604" t="str" cm="1">
        <f t="array" ref="Q604">_xlfn.IFS(L604="M","Medium",L604="L","Light",L604="D","Dark")</f>
        <v>Medium</v>
      </c>
      <c r="R604" t="str">
        <f>_xlfn.XLOOKUP(Orders[[#This Row],[Customer ID]],customers!$A$1:$A$1001,customers!$I$1:$I$1001)</f>
        <v>No</v>
      </c>
    </row>
    <row r="605" spans="1:18" x14ac:dyDescent="0.35">
      <c r="A605" s="2" t="s">
        <v>2346</v>
      </c>
      <c r="B605" s="4">
        <v>44781</v>
      </c>
      <c r="C605" s="23">
        <f>Orders[[#This Row],[Order Date]]</f>
        <v>44781</v>
      </c>
      <c r="D605" s="2">
        <f>YEAR(Orders[[#This Row],[Order Date]])</f>
        <v>2022</v>
      </c>
      <c r="E605" s="2" t="s">
        <v>2347</v>
      </c>
      <c r="F605" t="s">
        <v>6172</v>
      </c>
      <c r="G605" s="20">
        <v>4</v>
      </c>
      <c r="H605" s="2" t="str">
        <f>INDEX(customers!$A$1:$I$1001,MATCH($E605,customers!$A$1:$A$1001,),MATCH($H$1,customers!$A$1:$I$1,0))</f>
        <v>Lisa Goodger</v>
      </c>
      <c r="I605" s="2" t="str">
        <f>IF(INDEX(customers!$A$1:$I$1001,MATCH($E605,customers!$A$1:$A$1001,0),3)=0,"",INDEX(customers!$A$1:$I$1001,MATCH($E605,customers!$A$1:$A$1001,0),3))</f>
        <v>lgoodger95@guardian.co.uk</v>
      </c>
      <c r="J605" s="2" t="str">
        <f>_xlfn.XLOOKUP(E605,customers!$A$1:$A$1001,customers!$G$1:$G$1001)</f>
        <v>United States</v>
      </c>
      <c r="K605" t="str">
        <f>INDEX(products!$A$1:$G$49,MATCH($F605,products!$A$1:$A$49,0),MATCH(K$1,products!$A$1:$G$1,0))</f>
        <v>Rob</v>
      </c>
      <c r="L605" t="str">
        <f>INDEX(products!$A$1:$G$49,MATCH($F605,products!$A$1:$A$49,0),MATCH(L$1,products!$A$1:$G$1,0))</f>
        <v>D</v>
      </c>
      <c r="M605" s="5">
        <f>INDEX(products!$A$1:$G$49,MATCH($F605,products!$A$1:$A$49,0),MATCH(M$1,products!$A$1:$G$1,0))</f>
        <v>0.5</v>
      </c>
      <c r="N605" s="7">
        <f>INDEX(products!$A$1:$G$49,MATCH($F605,products!$A$1:$A$49,0),MATCH(N$1,products!$A$1:$G$1,0))</f>
        <v>5.3699999999999992</v>
      </c>
      <c r="O605" s="7">
        <f t="shared" si="9"/>
        <v>21.479999999999997</v>
      </c>
      <c r="P605" t="str" cm="1">
        <f t="array" ref="P605">_xlfn.IFS(K605="Rob","Robusta",K605="Exc","Excelsa",K605="Ara","Arabica",K605="Lib","Liberica")</f>
        <v>Robusta</v>
      </c>
      <c r="Q605" t="str" cm="1">
        <f t="array" ref="Q605">_xlfn.IFS(L605="M","Medium",L605="L","Light",L605="D","Dark")</f>
        <v>Dark</v>
      </c>
      <c r="R605" t="str">
        <f>_xlfn.XLOOKUP(Orders[[#This Row],[Customer ID]],customers!$A$1:$A$1001,customers!$I$1:$I$1001)</f>
        <v>Yes</v>
      </c>
    </row>
    <row r="606" spans="1:18" x14ac:dyDescent="0.35">
      <c r="A606" s="2" t="s">
        <v>2974</v>
      </c>
      <c r="B606" s="4">
        <v>43573</v>
      </c>
      <c r="C606" s="23">
        <f>Orders[[#This Row],[Order Date]]</f>
        <v>43573</v>
      </c>
      <c r="D606" s="2">
        <f>YEAR(Orders[[#This Row],[Order Date]])</f>
        <v>2019</v>
      </c>
      <c r="E606" s="2" t="s">
        <v>2975</v>
      </c>
      <c r="F606" t="s">
        <v>6183</v>
      </c>
      <c r="G606" s="20">
        <v>3</v>
      </c>
      <c r="H606" s="2" t="str">
        <f>INDEX(customers!$A$1:$I$1001,MATCH($E606,customers!$A$1:$A$1001,),MATCH($H$1,customers!$A$1:$I$1,0))</f>
        <v>Livy Lathleiff</v>
      </c>
      <c r="I606" s="2" t="str">
        <f>IF(INDEX(customers!$A$1:$I$1001,MATCH($E606,customers!$A$1:$A$1001,0),3)=0,"",INDEX(customers!$A$1:$I$1001,MATCH($E606,customers!$A$1:$A$1001,0),3))</f>
        <v>llathleiffc9@nationalgeographic.com</v>
      </c>
      <c r="J606" s="2" t="str">
        <f>_xlfn.XLOOKUP(E606,customers!$A$1:$A$1001,customers!$G$1:$G$1001)</f>
        <v>Ireland</v>
      </c>
      <c r="K606" t="str">
        <f>INDEX(products!$A$1:$G$49,MATCH($F606,products!$A$1:$A$49,0),MATCH(K$1,products!$A$1:$G$1,0))</f>
        <v>Exc</v>
      </c>
      <c r="L606" t="str">
        <f>INDEX(products!$A$1:$G$49,MATCH($F606,products!$A$1:$A$49,0),MATCH(L$1,products!$A$1:$G$1,0))</f>
        <v>D</v>
      </c>
      <c r="M606" s="5">
        <f>INDEX(products!$A$1:$G$49,MATCH($F606,products!$A$1:$A$49,0),MATCH(M$1,products!$A$1:$G$1,0))</f>
        <v>1</v>
      </c>
      <c r="N606" s="7">
        <f>INDEX(products!$A$1:$G$49,MATCH($F606,products!$A$1:$A$49,0),MATCH(N$1,products!$A$1:$G$1,0))</f>
        <v>12.15</v>
      </c>
      <c r="O606" s="7">
        <f t="shared" si="9"/>
        <v>36.450000000000003</v>
      </c>
      <c r="P606" t="str" cm="1">
        <f t="array" ref="P606">_xlfn.IFS(K606="Rob","Robusta",K606="Exc","Excelsa",K606="Ara","Arabica",K606="Lib","Liberica")</f>
        <v>Excelsa</v>
      </c>
      <c r="Q606" t="str" cm="1">
        <f t="array" ref="Q606">_xlfn.IFS(L606="M","Medium",L606="L","Light",L606="D","Dark")</f>
        <v>Dark</v>
      </c>
      <c r="R606" t="str">
        <f>_xlfn.XLOOKUP(Orders[[#This Row],[Customer ID]],customers!$A$1:$A$1001,customers!$I$1:$I$1001)</f>
        <v>Yes</v>
      </c>
    </row>
    <row r="607" spans="1:18" x14ac:dyDescent="0.35">
      <c r="A607" s="2" t="s">
        <v>576</v>
      </c>
      <c r="B607" s="4">
        <v>44719</v>
      </c>
      <c r="C607" s="23">
        <f>Orders[[#This Row],[Order Date]]</f>
        <v>44719</v>
      </c>
      <c r="D607" s="2">
        <f>YEAR(Orders[[#This Row],[Order Date]])</f>
        <v>2022</v>
      </c>
      <c r="E607" s="2" t="s">
        <v>577</v>
      </c>
      <c r="F607" t="s">
        <v>6151</v>
      </c>
      <c r="G607" s="20">
        <v>5</v>
      </c>
      <c r="H607" s="2" t="str">
        <f>INDEX(customers!$A$1:$I$1001,MATCH($E607,customers!$A$1:$A$1001,),MATCH($H$1,customers!$A$1:$I$1,0))</f>
        <v>Llywellyn Oscroft</v>
      </c>
      <c r="I607" s="2" t="str">
        <f>IF(INDEX(customers!$A$1:$I$1001,MATCH($E607,customers!$A$1:$A$1001,0),3)=0,"",INDEX(customers!$A$1:$I$1001,MATCH($E607,customers!$A$1:$A$1001,0),3))</f>
        <v>loscroftf@ebay.co.uk</v>
      </c>
      <c r="J607" s="2" t="str">
        <f>_xlfn.XLOOKUP(E607,customers!$A$1:$A$1001,customers!$G$1:$G$1001)</f>
        <v>United States</v>
      </c>
      <c r="K607" t="str">
        <f>INDEX(products!$A$1:$G$49,MATCH($F607,products!$A$1:$A$49,0),MATCH(K$1,products!$A$1:$G$1,0))</f>
        <v>Rob</v>
      </c>
      <c r="L607" t="str">
        <f>INDEX(products!$A$1:$G$49,MATCH($F607,products!$A$1:$A$49,0),MATCH(L$1,products!$A$1:$G$1,0))</f>
        <v>M</v>
      </c>
      <c r="M607" s="5">
        <f>INDEX(products!$A$1:$G$49,MATCH($F607,products!$A$1:$A$49,0),MATCH(M$1,products!$A$1:$G$1,0))</f>
        <v>2.5</v>
      </c>
      <c r="N607" s="7">
        <f>INDEX(products!$A$1:$G$49,MATCH($F607,products!$A$1:$A$49,0),MATCH(N$1,products!$A$1:$G$1,0))</f>
        <v>22.884999999999998</v>
      </c>
      <c r="O607" s="7">
        <f t="shared" si="9"/>
        <v>114.42499999999998</v>
      </c>
      <c r="P607" t="str" cm="1">
        <f t="array" ref="P607">_xlfn.IFS(K607="Rob","Robusta",K607="Exc","Excelsa",K607="Ara","Arabica",K607="Lib","Liberica")</f>
        <v>Robusta</v>
      </c>
      <c r="Q607" t="str" cm="1">
        <f t="array" ref="Q607">_xlfn.IFS(L607="M","Medium",L607="L","Light",L607="D","Dark")</f>
        <v>Medium</v>
      </c>
      <c r="R607" t="str">
        <f>_xlfn.XLOOKUP(Orders[[#This Row],[Customer ID]],customers!$A$1:$A$1001,customers!$I$1:$I$1001)</f>
        <v>No</v>
      </c>
    </row>
    <row r="608" spans="1:18" x14ac:dyDescent="0.35">
      <c r="A608" s="2" t="s">
        <v>3548</v>
      </c>
      <c r="B608" s="4">
        <v>43750</v>
      </c>
      <c r="C608" s="23">
        <f>Orders[[#This Row],[Order Date]]</f>
        <v>43750</v>
      </c>
      <c r="D608" s="2">
        <f>YEAR(Orders[[#This Row],[Order Date]])</f>
        <v>2019</v>
      </c>
      <c r="E608" s="2" t="s">
        <v>3549</v>
      </c>
      <c r="F608" t="s">
        <v>6168</v>
      </c>
      <c r="G608" s="20">
        <v>1</v>
      </c>
      <c r="H608" s="2" t="str">
        <f>INDEX(customers!$A$1:$I$1001,MATCH($E608,customers!$A$1:$A$1001,),MATCH($H$1,customers!$A$1:$I$1,0))</f>
        <v>Lora Dukes</v>
      </c>
      <c r="I608" s="2" t="str">
        <f>IF(INDEX(customers!$A$1:$I$1001,MATCH($E608,customers!$A$1:$A$1001,0),3)=0,"",INDEX(customers!$A$1:$I$1001,MATCH($E608,customers!$A$1:$A$1001,0),3))</f>
        <v/>
      </c>
      <c r="J608" s="2" t="str">
        <f>_xlfn.XLOOKUP(E608,customers!$A$1:$A$1001,customers!$G$1:$G$1001)</f>
        <v>Ireland</v>
      </c>
      <c r="K608" t="str">
        <f>INDEX(products!$A$1:$G$49,MATCH($F608,products!$A$1:$A$49,0),MATCH(K$1,products!$A$1:$G$1,0))</f>
        <v>Ara</v>
      </c>
      <c r="L608" t="str">
        <f>INDEX(products!$A$1:$G$49,MATCH($F608,products!$A$1:$A$49,0),MATCH(L$1,products!$A$1:$G$1,0))</f>
        <v>D</v>
      </c>
      <c r="M608" s="5">
        <f>INDEX(products!$A$1:$G$49,MATCH($F608,products!$A$1:$A$49,0),MATCH(M$1,products!$A$1:$G$1,0))</f>
        <v>2.5</v>
      </c>
      <c r="N608" s="7">
        <f>INDEX(products!$A$1:$G$49,MATCH($F608,products!$A$1:$A$49,0),MATCH(N$1,products!$A$1:$G$1,0))</f>
        <v>22.884999999999998</v>
      </c>
      <c r="O608" s="7">
        <f t="shared" si="9"/>
        <v>22.884999999999998</v>
      </c>
      <c r="P608" t="str" cm="1">
        <f t="array" ref="P608">_xlfn.IFS(K608="Rob","Robusta",K608="Exc","Excelsa",K608="Ara","Arabica",K608="Lib","Liberica")</f>
        <v>Arabica</v>
      </c>
      <c r="Q608" t="str" cm="1">
        <f t="array" ref="Q608">_xlfn.IFS(L608="M","Medium",L608="L","Light",L608="D","Dark")</f>
        <v>Dark</v>
      </c>
      <c r="R608" t="str">
        <f>_xlfn.XLOOKUP(Orders[[#This Row],[Customer ID]],customers!$A$1:$A$1001,customers!$I$1:$I$1001)</f>
        <v>Yes</v>
      </c>
    </row>
    <row r="609" spans="1:18" x14ac:dyDescent="0.35">
      <c r="A609" s="2" t="s">
        <v>4776</v>
      </c>
      <c r="B609" s="4">
        <v>43672</v>
      </c>
      <c r="C609" s="23">
        <f>Orders[[#This Row],[Order Date]]</f>
        <v>43672</v>
      </c>
      <c r="D609" s="2">
        <f>YEAR(Orders[[#This Row],[Order Date]])</f>
        <v>2019</v>
      </c>
      <c r="E609" s="2" t="s">
        <v>4777</v>
      </c>
      <c r="F609" t="s">
        <v>6177</v>
      </c>
      <c r="G609" s="20">
        <v>1</v>
      </c>
      <c r="H609" s="2" t="str">
        <f>INDEX(customers!$A$1:$I$1001,MATCH($E609,customers!$A$1:$A$1001,),MATCH($H$1,customers!$A$1:$I$1,0))</f>
        <v>Lorelei Nardoni</v>
      </c>
      <c r="I609" s="2" t="str">
        <f>IF(INDEX(customers!$A$1:$I$1001,MATCH($E609,customers!$A$1:$A$1001,0),3)=0,"",INDEX(customers!$A$1:$I$1001,MATCH($E609,customers!$A$1:$A$1001,0),3))</f>
        <v>lnardonil2@hao123.com</v>
      </c>
      <c r="J609" s="2" t="str">
        <f>_xlfn.XLOOKUP(E609,customers!$A$1:$A$1001,customers!$G$1:$G$1001)</f>
        <v>United States</v>
      </c>
      <c r="K609" t="str">
        <f>INDEX(products!$A$1:$G$49,MATCH($F609,products!$A$1:$A$49,0),MATCH(K$1,products!$A$1:$G$1,0))</f>
        <v>Rob</v>
      </c>
      <c r="L609" t="str">
        <f>INDEX(products!$A$1:$G$49,MATCH($F609,products!$A$1:$A$49,0),MATCH(L$1,products!$A$1:$G$1,0))</f>
        <v>D</v>
      </c>
      <c r="M609" s="5">
        <f>INDEX(products!$A$1:$G$49,MATCH($F609,products!$A$1:$A$49,0),MATCH(M$1,products!$A$1:$G$1,0))</f>
        <v>1</v>
      </c>
      <c r="N609" s="7">
        <f>INDEX(products!$A$1:$G$49,MATCH($F609,products!$A$1:$A$49,0),MATCH(N$1,products!$A$1:$G$1,0))</f>
        <v>8.9499999999999993</v>
      </c>
      <c r="O609" s="7">
        <f t="shared" si="9"/>
        <v>8.9499999999999993</v>
      </c>
      <c r="P609" t="str" cm="1">
        <f t="array" ref="P609">_xlfn.IFS(K609="Rob","Robusta",K609="Exc","Excelsa",K609="Ara","Arabica",K609="Lib","Liberica")</f>
        <v>Robusta</v>
      </c>
      <c r="Q609" t="str" cm="1">
        <f t="array" ref="Q609">_xlfn.IFS(L609="M","Medium",L609="L","Light",L609="D","Dark")</f>
        <v>Dark</v>
      </c>
      <c r="R609" t="str">
        <f>_xlfn.XLOOKUP(Orders[[#This Row],[Customer ID]],customers!$A$1:$A$1001,customers!$I$1:$I$1001)</f>
        <v>No</v>
      </c>
    </row>
    <row r="610" spans="1:18" x14ac:dyDescent="0.35">
      <c r="A610" s="2" t="s">
        <v>720</v>
      </c>
      <c r="B610" s="4">
        <v>44749</v>
      </c>
      <c r="C610" s="23">
        <f>Orders[[#This Row],[Order Date]]</f>
        <v>44749</v>
      </c>
      <c r="D610" s="2">
        <f>YEAR(Orders[[#This Row],[Order Date]])</f>
        <v>2022</v>
      </c>
      <c r="E610" s="2" t="s">
        <v>721</v>
      </c>
      <c r="F610" t="s">
        <v>6153</v>
      </c>
      <c r="G610" s="20">
        <v>2</v>
      </c>
      <c r="H610" s="2" t="str">
        <f>INDEX(customers!$A$1:$I$1001,MATCH($E610,customers!$A$1:$A$1001,),MATCH($H$1,customers!$A$1:$I$1,0))</f>
        <v>Lorenzo Yeoland</v>
      </c>
      <c r="I610" s="2" t="str">
        <f>IF(INDEX(customers!$A$1:$I$1001,MATCH($E610,customers!$A$1:$A$1001,0),3)=0,"",INDEX(customers!$A$1:$I$1001,MATCH($E610,customers!$A$1:$A$1001,0),3))</f>
        <v>lyeoland15@pbs.org</v>
      </c>
      <c r="J610" s="2" t="str">
        <f>_xlfn.XLOOKUP(E610,customers!$A$1:$A$1001,customers!$G$1:$G$1001)</f>
        <v>United States</v>
      </c>
      <c r="K610" t="str">
        <f>INDEX(products!$A$1:$G$49,MATCH($F610,products!$A$1:$A$49,0),MATCH(K$1,products!$A$1:$G$1,0))</f>
        <v>Exc</v>
      </c>
      <c r="L610" t="str">
        <f>INDEX(products!$A$1:$G$49,MATCH($F610,products!$A$1:$A$49,0),MATCH(L$1,products!$A$1:$G$1,0))</f>
        <v>D</v>
      </c>
      <c r="M610" s="5">
        <f>INDEX(products!$A$1:$G$49,MATCH($F610,products!$A$1:$A$49,0),MATCH(M$1,products!$A$1:$G$1,0))</f>
        <v>0.2</v>
      </c>
      <c r="N610" s="7">
        <f>INDEX(products!$A$1:$G$49,MATCH($F610,products!$A$1:$A$49,0),MATCH(N$1,products!$A$1:$G$1,0))</f>
        <v>3.645</v>
      </c>
      <c r="O610" s="7">
        <f t="shared" si="9"/>
        <v>7.29</v>
      </c>
      <c r="P610" t="str" cm="1">
        <f t="array" ref="P610">_xlfn.IFS(K610="Rob","Robusta",K610="Exc","Excelsa",K610="Ara","Arabica",K610="Lib","Liberica")</f>
        <v>Excelsa</v>
      </c>
      <c r="Q610" t="str" cm="1">
        <f t="array" ref="Q610">_xlfn.IFS(L610="M","Medium",L610="L","Light",L610="D","Dark")</f>
        <v>Dark</v>
      </c>
      <c r="R610" t="str">
        <f>_xlfn.XLOOKUP(Orders[[#This Row],[Customer ID]],customers!$A$1:$A$1001,customers!$I$1:$I$1001)</f>
        <v>Yes</v>
      </c>
    </row>
    <row r="611" spans="1:18" x14ac:dyDescent="0.35">
      <c r="A611" s="2" t="s">
        <v>6070</v>
      </c>
      <c r="B611" s="4">
        <v>44247</v>
      </c>
      <c r="C611" s="23">
        <f>Orders[[#This Row],[Order Date]]</f>
        <v>44247</v>
      </c>
      <c r="D611" s="2">
        <f>YEAR(Orders[[#This Row],[Order Date]])</f>
        <v>2021</v>
      </c>
      <c r="E611" s="2" t="s">
        <v>6071</v>
      </c>
      <c r="F611" t="s">
        <v>6158</v>
      </c>
      <c r="G611" s="20">
        <v>5</v>
      </c>
      <c r="H611" s="2" t="str">
        <f>INDEX(customers!$A$1:$I$1001,MATCH($E611,customers!$A$1:$A$1001,),MATCH($H$1,customers!$A$1:$I$1,0))</f>
        <v>Lorianne Kyneton</v>
      </c>
      <c r="I611" s="2" t="str">
        <f>IF(INDEX(customers!$A$1:$I$1001,MATCH($E611,customers!$A$1:$A$1001,0),3)=0,"",INDEX(customers!$A$1:$I$1001,MATCH($E611,customers!$A$1:$A$1001,0),3))</f>
        <v>lkynetonrf@macromedia.com</v>
      </c>
      <c r="J611" s="2" t="str">
        <f>_xlfn.XLOOKUP(E611,customers!$A$1:$A$1001,customers!$G$1:$G$1001)</f>
        <v>United Kingdom</v>
      </c>
      <c r="K611" t="str">
        <f>INDEX(products!$A$1:$G$49,MATCH($F611,products!$A$1:$A$49,0),MATCH(K$1,products!$A$1:$G$1,0))</f>
        <v>Ara</v>
      </c>
      <c r="L611" t="str">
        <f>INDEX(products!$A$1:$G$49,MATCH($F611,products!$A$1:$A$49,0),MATCH(L$1,products!$A$1:$G$1,0))</f>
        <v>D</v>
      </c>
      <c r="M611" s="5">
        <f>INDEX(products!$A$1:$G$49,MATCH($F611,products!$A$1:$A$49,0),MATCH(M$1,products!$A$1:$G$1,0))</f>
        <v>0.5</v>
      </c>
      <c r="N611" s="7">
        <f>INDEX(products!$A$1:$G$49,MATCH($F611,products!$A$1:$A$49,0),MATCH(N$1,products!$A$1:$G$1,0))</f>
        <v>5.97</v>
      </c>
      <c r="O611" s="7">
        <f t="shared" si="9"/>
        <v>29.849999999999998</v>
      </c>
      <c r="P611" t="str" cm="1">
        <f t="array" ref="P611">_xlfn.IFS(K611="Rob","Robusta",K611="Exc","Excelsa",K611="Ara","Arabica",K611="Lib","Liberica")</f>
        <v>Arabica</v>
      </c>
      <c r="Q611" t="str" cm="1">
        <f t="array" ref="Q611">_xlfn.IFS(L611="M","Medium",L611="L","Light",L611="D","Dark")</f>
        <v>Dark</v>
      </c>
      <c r="R611" t="str">
        <f>_xlfn.XLOOKUP(Orders[[#This Row],[Customer ID]],customers!$A$1:$A$1001,customers!$I$1:$I$1001)</f>
        <v>Yes</v>
      </c>
    </row>
    <row r="612" spans="1:18" x14ac:dyDescent="0.35">
      <c r="A612" s="2" t="s">
        <v>2787</v>
      </c>
      <c r="B612" s="4">
        <v>44595</v>
      </c>
      <c r="C612" s="23">
        <f>Orders[[#This Row],[Order Date]]</f>
        <v>44595</v>
      </c>
      <c r="D612" s="2">
        <f>YEAR(Orders[[#This Row],[Order Date]])</f>
        <v>2022</v>
      </c>
      <c r="E612" s="2" t="s">
        <v>2788</v>
      </c>
      <c r="F612" t="s">
        <v>6139</v>
      </c>
      <c r="G612" s="20">
        <v>6</v>
      </c>
      <c r="H612" s="2" t="str">
        <f>INDEX(customers!$A$1:$I$1001,MATCH($E612,customers!$A$1:$A$1001,),MATCH($H$1,customers!$A$1:$I$1,0))</f>
        <v>Lorin Guerrazzi</v>
      </c>
      <c r="I612" s="2" t="str">
        <f>IF(INDEX(customers!$A$1:$I$1001,MATCH($E612,customers!$A$1:$A$1001,0),3)=0,"",INDEX(customers!$A$1:$I$1001,MATCH($E612,customers!$A$1:$A$1001,0),3))</f>
        <v/>
      </c>
      <c r="J612" s="2" t="str">
        <f>_xlfn.XLOOKUP(E612,customers!$A$1:$A$1001,customers!$G$1:$G$1001)</f>
        <v>Ireland</v>
      </c>
      <c r="K612" t="str">
        <f>INDEX(products!$A$1:$G$49,MATCH($F612,products!$A$1:$A$49,0),MATCH(K$1,products!$A$1:$G$1,0))</f>
        <v>Exc</v>
      </c>
      <c r="L612" t="str">
        <f>INDEX(products!$A$1:$G$49,MATCH($F612,products!$A$1:$A$49,0),MATCH(L$1,products!$A$1:$G$1,0))</f>
        <v>M</v>
      </c>
      <c r="M612" s="5">
        <f>INDEX(products!$A$1:$G$49,MATCH($F612,products!$A$1:$A$49,0),MATCH(M$1,products!$A$1:$G$1,0))</f>
        <v>0.5</v>
      </c>
      <c r="N612" s="7">
        <f>INDEX(products!$A$1:$G$49,MATCH($F612,products!$A$1:$A$49,0),MATCH(N$1,products!$A$1:$G$1,0))</f>
        <v>8.25</v>
      </c>
      <c r="O612" s="7">
        <f t="shared" si="9"/>
        <v>49.5</v>
      </c>
      <c r="P612" t="str" cm="1">
        <f t="array" ref="P612">_xlfn.IFS(K612="Rob","Robusta",K612="Exc","Excelsa",K612="Ara","Arabica",K612="Lib","Liberica")</f>
        <v>Excelsa</v>
      </c>
      <c r="Q612" t="str" cm="1">
        <f t="array" ref="Q612">_xlfn.IFS(L612="M","Medium",L612="L","Light",L612="D","Dark")</f>
        <v>Medium</v>
      </c>
      <c r="R612" t="str">
        <f>_xlfn.XLOOKUP(Orders[[#This Row],[Customer ID]],customers!$A$1:$A$1001,customers!$I$1:$I$1001)</f>
        <v>No</v>
      </c>
    </row>
    <row r="613" spans="1:18" x14ac:dyDescent="0.35">
      <c r="A613" s="2" t="s">
        <v>930</v>
      </c>
      <c r="B613" s="4">
        <v>43920</v>
      </c>
      <c r="C613" s="23">
        <f>Orders[[#This Row],[Order Date]]</f>
        <v>43920</v>
      </c>
      <c r="D613" s="2">
        <f>YEAR(Orders[[#This Row],[Order Date]])</f>
        <v>2020</v>
      </c>
      <c r="E613" s="2" t="s">
        <v>931</v>
      </c>
      <c r="F613" t="s">
        <v>6157</v>
      </c>
      <c r="G613" s="20">
        <v>6</v>
      </c>
      <c r="H613" s="2" t="str">
        <f>INDEX(customers!$A$1:$I$1001,MATCH($E613,customers!$A$1:$A$1001,),MATCH($H$1,customers!$A$1:$I$1,0))</f>
        <v>Lothaire Mizzi</v>
      </c>
      <c r="I613" s="2" t="str">
        <f>IF(INDEX(customers!$A$1:$I$1001,MATCH($E613,customers!$A$1:$A$1001,0),3)=0,"",INDEX(customers!$A$1:$I$1001,MATCH($E613,customers!$A$1:$A$1001,0),3))</f>
        <v>lmizzi26@rakuten.co.jp</v>
      </c>
      <c r="J613" s="2" t="str">
        <f>_xlfn.XLOOKUP(E613,customers!$A$1:$A$1001,customers!$G$1:$G$1001)</f>
        <v>United States</v>
      </c>
      <c r="K613" t="str">
        <f>INDEX(products!$A$1:$G$49,MATCH($F613,products!$A$1:$A$49,0),MATCH(K$1,products!$A$1:$G$1,0))</f>
        <v>Ara</v>
      </c>
      <c r="L613" t="str">
        <f>INDEX(products!$A$1:$G$49,MATCH($F613,products!$A$1:$A$49,0),MATCH(L$1,products!$A$1:$G$1,0))</f>
        <v>M</v>
      </c>
      <c r="M613" s="5">
        <f>INDEX(products!$A$1:$G$49,MATCH($F613,products!$A$1:$A$49,0),MATCH(M$1,products!$A$1:$G$1,0))</f>
        <v>0.5</v>
      </c>
      <c r="N613" s="7">
        <f>INDEX(products!$A$1:$G$49,MATCH($F613,products!$A$1:$A$49,0),MATCH(N$1,products!$A$1:$G$1,0))</f>
        <v>6.75</v>
      </c>
      <c r="O613" s="7">
        <f t="shared" si="9"/>
        <v>40.5</v>
      </c>
      <c r="P613" t="str" cm="1">
        <f t="array" ref="P613">_xlfn.IFS(K613="Rob","Robusta",K613="Exc","Excelsa",K613="Ara","Arabica",K613="Lib","Liberica")</f>
        <v>Arabica</v>
      </c>
      <c r="Q613" t="str" cm="1">
        <f t="array" ref="Q613">_xlfn.IFS(L613="M","Medium",L613="L","Light",L613="D","Dark")</f>
        <v>Medium</v>
      </c>
      <c r="R613" t="str">
        <f>_xlfn.XLOOKUP(Orders[[#This Row],[Customer ID]],customers!$A$1:$A$1001,customers!$I$1:$I$1001)</f>
        <v>Yes</v>
      </c>
    </row>
    <row r="614" spans="1:18" x14ac:dyDescent="0.35">
      <c r="A614" s="2" t="s">
        <v>1255</v>
      </c>
      <c r="B614" s="4">
        <v>44406</v>
      </c>
      <c r="C614" s="23">
        <f>Orders[[#This Row],[Order Date]]</f>
        <v>44406</v>
      </c>
      <c r="D614" s="2">
        <f>YEAR(Orders[[#This Row],[Order Date]])</f>
        <v>2021</v>
      </c>
      <c r="E614" s="2" t="s">
        <v>1256</v>
      </c>
      <c r="F614" t="s">
        <v>6154</v>
      </c>
      <c r="G614" s="20">
        <v>4</v>
      </c>
      <c r="H614" s="2" t="str">
        <f>INDEX(customers!$A$1:$I$1001,MATCH($E614,customers!$A$1:$A$1001,),MATCH($H$1,customers!$A$1:$I$1,0))</f>
        <v>Lowell Keenleyside</v>
      </c>
      <c r="I614" s="2" t="str">
        <f>IF(INDEX(customers!$A$1:$I$1001,MATCH($E614,customers!$A$1:$A$1001,0),3)=0,"",INDEX(customers!$A$1:$I$1001,MATCH($E614,customers!$A$1:$A$1001,0),3))</f>
        <v>lkeenleyside3s@topsy.com</v>
      </c>
      <c r="J614" s="2" t="str">
        <f>_xlfn.XLOOKUP(E614,customers!$A$1:$A$1001,customers!$G$1:$G$1001)</f>
        <v>United States</v>
      </c>
      <c r="K614" t="str">
        <f>INDEX(products!$A$1:$G$49,MATCH($F614,products!$A$1:$A$49,0),MATCH(K$1,products!$A$1:$G$1,0))</f>
        <v>Ara</v>
      </c>
      <c r="L614" t="str">
        <f>INDEX(products!$A$1:$G$49,MATCH($F614,products!$A$1:$A$49,0),MATCH(L$1,products!$A$1:$G$1,0))</f>
        <v>D</v>
      </c>
      <c r="M614" s="5">
        <f>INDEX(products!$A$1:$G$49,MATCH($F614,products!$A$1:$A$49,0),MATCH(M$1,products!$A$1:$G$1,0))</f>
        <v>0.2</v>
      </c>
      <c r="N614" s="7">
        <f>INDEX(products!$A$1:$G$49,MATCH($F614,products!$A$1:$A$49,0),MATCH(N$1,products!$A$1:$G$1,0))</f>
        <v>2.9849999999999999</v>
      </c>
      <c r="O614" s="7">
        <f t="shared" si="9"/>
        <v>11.94</v>
      </c>
      <c r="P614" t="str" cm="1">
        <f t="array" ref="P614">_xlfn.IFS(K614="Rob","Robusta",K614="Exc","Excelsa",K614="Ara","Arabica",K614="Lib","Liberica")</f>
        <v>Arabica</v>
      </c>
      <c r="Q614" t="str" cm="1">
        <f t="array" ref="Q614">_xlfn.IFS(L614="M","Medium",L614="L","Light",L614="D","Dark")</f>
        <v>Dark</v>
      </c>
      <c r="R614" t="str">
        <f>_xlfn.XLOOKUP(Orders[[#This Row],[Customer ID]],customers!$A$1:$A$1001,customers!$I$1:$I$1001)</f>
        <v>No</v>
      </c>
    </row>
    <row r="615" spans="1:18" x14ac:dyDescent="0.35">
      <c r="A615" s="2" t="s">
        <v>996</v>
      </c>
      <c r="B615" s="4">
        <v>43971</v>
      </c>
      <c r="C615" s="23">
        <f>Orders[[#This Row],[Order Date]]</f>
        <v>43971</v>
      </c>
      <c r="D615" s="2">
        <f>YEAR(Orders[[#This Row],[Order Date]])</f>
        <v>2020</v>
      </c>
      <c r="E615" s="2" t="s">
        <v>997</v>
      </c>
      <c r="F615" t="s">
        <v>6140</v>
      </c>
      <c r="G615" s="20">
        <v>4</v>
      </c>
      <c r="H615" s="2" t="str">
        <f>INDEX(customers!$A$1:$I$1001,MATCH($E615,customers!$A$1:$A$1001,),MATCH($H$1,customers!$A$1:$I$1,0))</f>
        <v>Loydie Langlais</v>
      </c>
      <c r="I615" s="2" t="str">
        <f>IF(INDEX(customers!$A$1:$I$1001,MATCH($E615,customers!$A$1:$A$1001,0),3)=0,"",INDEX(customers!$A$1:$I$1001,MATCH($E615,customers!$A$1:$A$1001,0),3))</f>
        <v/>
      </c>
      <c r="J615" s="2" t="str">
        <f>_xlfn.XLOOKUP(E615,customers!$A$1:$A$1001,customers!$G$1:$G$1001)</f>
        <v>Ireland</v>
      </c>
      <c r="K615" t="str">
        <f>INDEX(products!$A$1:$G$49,MATCH($F615,products!$A$1:$A$49,0),MATCH(K$1,products!$A$1:$G$1,0))</f>
        <v>Ara</v>
      </c>
      <c r="L615" t="str">
        <f>INDEX(products!$A$1:$G$49,MATCH($F615,products!$A$1:$A$49,0),MATCH(L$1,products!$A$1:$G$1,0))</f>
        <v>L</v>
      </c>
      <c r="M615" s="5">
        <f>INDEX(products!$A$1:$G$49,MATCH($F615,products!$A$1:$A$49,0),MATCH(M$1,products!$A$1:$G$1,0))</f>
        <v>1</v>
      </c>
      <c r="N615" s="7">
        <f>INDEX(products!$A$1:$G$49,MATCH($F615,products!$A$1:$A$49,0),MATCH(N$1,products!$A$1:$G$1,0))</f>
        <v>12.95</v>
      </c>
      <c r="O615" s="7">
        <f t="shared" si="9"/>
        <v>51.8</v>
      </c>
      <c r="P615" t="str" cm="1">
        <f t="array" ref="P615">_xlfn.IFS(K615="Rob","Robusta",K615="Exc","Excelsa",K615="Ara","Arabica",K615="Lib","Liberica")</f>
        <v>Arabica</v>
      </c>
      <c r="Q615" t="str" cm="1">
        <f t="array" ref="Q615">_xlfn.IFS(L615="M","Medium",L615="L","Light",L615="D","Dark")</f>
        <v>Light</v>
      </c>
      <c r="R615" t="str">
        <f>_xlfn.XLOOKUP(Orders[[#This Row],[Customer ID]],customers!$A$1:$A$1001,customers!$I$1:$I$1001)</f>
        <v>Yes</v>
      </c>
    </row>
    <row r="616" spans="1:18" x14ac:dyDescent="0.35">
      <c r="A616" s="2" t="s">
        <v>2414</v>
      </c>
      <c r="B616" s="4">
        <v>43751</v>
      </c>
      <c r="C616" s="23">
        <f>Orders[[#This Row],[Order Date]]</f>
        <v>43751</v>
      </c>
      <c r="D616" s="2">
        <f>YEAR(Orders[[#This Row],[Order Date]])</f>
        <v>2019</v>
      </c>
      <c r="E616" s="2" t="s">
        <v>2415</v>
      </c>
      <c r="F616" t="s">
        <v>6176</v>
      </c>
      <c r="G616" s="20">
        <v>2</v>
      </c>
      <c r="H616" s="2" t="str">
        <f>INDEX(customers!$A$1:$I$1001,MATCH($E616,customers!$A$1:$A$1001,),MATCH($H$1,customers!$A$1:$I$1,0))</f>
        <v>Lucienne Scargle</v>
      </c>
      <c r="I616" s="2" t="str">
        <f>IF(INDEX(customers!$A$1:$I$1001,MATCH($E616,customers!$A$1:$A$1001,0),3)=0,"",INDEX(customers!$A$1:$I$1001,MATCH($E616,customers!$A$1:$A$1001,0),3))</f>
        <v>lscargle9h@myspace.com</v>
      </c>
      <c r="J616" s="2" t="str">
        <f>_xlfn.XLOOKUP(E616,customers!$A$1:$A$1001,customers!$G$1:$G$1001)</f>
        <v>United States</v>
      </c>
      <c r="K616" t="str">
        <f>INDEX(products!$A$1:$G$49,MATCH($F616,products!$A$1:$A$49,0),MATCH(K$1,products!$A$1:$G$1,0))</f>
        <v>Exc</v>
      </c>
      <c r="L616" t="str">
        <f>INDEX(products!$A$1:$G$49,MATCH($F616,products!$A$1:$A$49,0),MATCH(L$1,products!$A$1:$G$1,0))</f>
        <v>L</v>
      </c>
      <c r="M616" s="5">
        <f>INDEX(products!$A$1:$G$49,MATCH($F616,products!$A$1:$A$49,0),MATCH(M$1,products!$A$1:$G$1,0))</f>
        <v>0.5</v>
      </c>
      <c r="N616" s="7">
        <f>INDEX(products!$A$1:$G$49,MATCH($F616,products!$A$1:$A$49,0),MATCH(N$1,products!$A$1:$G$1,0))</f>
        <v>8.91</v>
      </c>
      <c r="O616" s="7">
        <f t="shared" si="9"/>
        <v>17.82</v>
      </c>
      <c r="P616" t="str" cm="1">
        <f t="array" ref="P616">_xlfn.IFS(K616="Rob","Robusta",K616="Exc","Excelsa",K616="Ara","Arabica",K616="Lib","Liberica")</f>
        <v>Excelsa</v>
      </c>
      <c r="Q616" t="str" cm="1">
        <f t="array" ref="Q616">_xlfn.IFS(L616="M","Medium",L616="L","Light",L616="D","Dark")</f>
        <v>Light</v>
      </c>
      <c r="R616" t="str">
        <f>_xlfn.XLOOKUP(Orders[[#This Row],[Customer ID]],customers!$A$1:$A$1001,customers!$I$1:$I$1001)</f>
        <v>No</v>
      </c>
    </row>
    <row r="617" spans="1:18" x14ac:dyDescent="0.35">
      <c r="A617" s="2" t="s">
        <v>2414</v>
      </c>
      <c r="B617" s="4">
        <v>43751</v>
      </c>
      <c r="C617" s="23">
        <f>Orders[[#This Row],[Order Date]]</f>
        <v>43751</v>
      </c>
      <c r="D617" s="2">
        <f>YEAR(Orders[[#This Row],[Order Date]])</f>
        <v>2019</v>
      </c>
      <c r="E617" s="2" t="s">
        <v>2415</v>
      </c>
      <c r="F617" t="s">
        <v>6169</v>
      </c>
      <c r="G617" s="20">
        <v>5</v>
      </c>
      <c r="H617" s="2" t="str">
        <f>INDEX(customers!$A$1:$I$1001,MATCH($E617,customers!$A$1:$A$1001,),MATCH($H$1,customers!$A$1:$I$1,0))</f>
        <v>Lucienne Scargle</v>
      </c>
      <c r="I617" s="2" t="str">
        <f>IF(INDEX(customers!$A$1:$I$1001,MATCH($E617,customers!$A$1:$A$1001,0),3)=0,"",INDEX(customers!$A$1:$I$1001,MATCH($E617,customers!$A$1:$A$1001,0),3))</f>
        <v>lscargle9h@myspace.com</v>
      </c>
      <c r="J617" s="2" t="str">
        <f>_xlfn.XLOOKUP(E617,customers!$A$1:$A$1001,customers!$G$1:$G$1001)</f>
        <v>United States</v>
      </c>
      <c r="K617" t="str">
        <f>INDEX(products!$A$1:$G$49,MATCH($F617,products!$A$1:$A$49,0),MATCH(K$1,products!$A$1:$G$1,0))</f>
        <v>Lib</v>
      </c>
      <c r="L617" t="str">
        <f>INDEX(products!$A$1:$G$49,MATCH($F617,products!$A$1:$A$49,0),MATCH(L$1,products!$A$1:$G$1,0))</f>
        <v>D</v>
      </c>
      <c r="M617" s="5">
        <f>INDEX(products!$A$1:$G$49,MATCH($F617,products!$A$1:$A$49,0),MATCH(M$1,products!$A$1:$G$1,0))</f>
        <v>0.5</v>
      </c>
      <c r="N617" s="7">
        <f>INDEX(products!$A$1:$G$49,MATCH($F617,products!$A$1:$A$49,0),MATCH(N$1,products!$A$1:$G$1,0))</f>
        <v>7.77</v>
      </c>
      <c r="O617" s="7">
        <f t="shared" si="9"/>
        <v>38.849999999999994</v>
      </c>
      <c r="P617" t="str" cm="1">
        <f t="array" ref="P617">_xlfn.IFS(K617="Rob","Robusta",K617="Exc","Excelsa",K617="Ara","Arabica",K617="Lib","Liberica")</f>
        <v>Liberica</v>
      </c>
      <c r="Q617" t="str" cm="1">
        <f t="array" ref="Q617">_xlfn.IFS(L617="M","Medium",L617="L","Light",L617="D","Dark")</f>
        <v>Dark</v>
      </c>
      <c r="R617" t="str">
        <f>_xlfn.XLOOKUP(Orders[[#This Row],[Customer ID]],customers!$A$1:$A$1001,customers!$I$1:$I$1001)</f>
        <v>No</v>
      </c>
    </row>
    <row r="618" spans="1:18" x14ac:dyDescent="0.35">
      <c r="A618" s="2" t="s">
        <v>4973</v>
      </c>
      <c r="B618" s="4">
        <v>43629</v>
      </c>
      <c r="C618" s="23">
        <f>Orders[[#This Row],[Order Date]]</f>
        <v>43629</v>
      </c>
      <c r="D618" s="2">
        <f>YEAR(Orders[[#This Row],[Order Date]])</f>
        <v>2019</v>
      </c>
      <c r="E618" s="2" t="s">
        <v>4974</v>
      </c>
      <c r="F618" t="s">
        <v>6178</v>
      </c>
      <c r="G618" s="20">
        <v>5</v>
      </c>
      <c r="H618" s="2" t="str">
        <f>INDEX(customers!$A$1:$I$1001,MATCH($E618,customers!$A$1:$A$1001,),MATCH($H$1,customers!$A$1:$I$1,0))</f>
        <v>Lukas Whittlesee</v>
      </c>
      <c r="I618" s="2" t="str">
        <f>IF(INDEX(customers!$A$1:$I$1001,MATCH($E618,customers!$A$1:$A$1001,0),3)=0,"",INDEX(customers!$A$1:$I$1001,MATCH($E618,customers!$A$1:$A$1001,0),3))</f>
        <v>lwhittleseem1@e-recht24.de</v>
      </c>
      <c r="J618" s="2" t="str">
        <f>_xlfn.XLOOKUP(E618,customers!$A$1:$A$1001,customers!$G$1:$G$1001)</f>
        <v>United States</v>
      </c>
      <c r="K618" t="str">
        <f>INDEX(products!$A$1:$G$49,MATCH($F618,products!$A$1:$A$49,0),MATCH(K$1,products!$A$1:$G$1,0))</f>
        <v>Rob</v>
      </c>
      <c r="L618" t="str">
        <f>INDEX(products!$A$1:$G$49,MATCH($F618,products!$A$1:$A$49,0),MATCH(L$1,products!$A$1:$G$1,0))</f>
        <v>L</v>
      </c>
      <c r="M618" s="5">
        <f>INDEX(products!$A$1:$G$49,MATCH($F618,products!$A$1:$A$49,0),MATCH(M$1,products!$A$1:$G$1,0))</f>
        <v>0.2</v>
      </c>
      <c r="N618" s="7">
        <f>INDEX(products!$A$1:$G$49,MATCH($F618,products!$A$1:$A$49,0),MATCH(N$1,products!$A$1:$G$1,0))</f>
        <v>3.5849999999999995</v>
      </c>
      <c r="O618" s="7">
        <f t="shared" si="9"/>
        <v>17.924999999999997</v>
      </c>
      <c r="P618" t="str" cm="1">
        <f t="array" ref="P618">_xlfn.IFS(K618="Rob","Robusta",K618="Exc","Excelsa",K618="Ara","Arabica",K618="Lib","Liberica")</f>
        <v>Robusta</v>
      </c>
      <c r="Q618" t="str" cm="1">
        <f t="array" ref="Q618">_xlfn.IFS(L618="M","Medium",L618="L","Light",L618="D","Dark")</f>
        <v>Light</v>
      </c>
      <c r="R618" t="str">
        <f>_xlfn.XLOOKUP(Orders[[#This Row],[Customer ID]],customers!$A$1:$A$1001,customers!$I$1:$I$1001)</f>
        <v>No</v>
      </c>
    </row>
    <row r="619" spans="1:18" x14ac:dyDescent="0.35">
      <c r="A619" s="2" t="s">
        <v>4494</v>
      </c>
      <c r="B619" s="4">
        <v>43485</v>
      </c>
      <c r="C619" s="23">
        <f>Orders[[#This Row],[Order Date]]</f>
        <v>43485</v>
      </c>
      <c r="D619" s="2">
        <f>YEAR(Orders[[#This Row],[Order Date]])</f>
        <v>2019</v>
      </c>
      <c r="E619" s="2" t="s">
        <v>4495</v>
      </c>
      <c r="F619" t="s">
        <v>6176</v>
      </c>
      <c r="G619" s="20">
        <v>2</v>
      </c>
      <c r="H619" s="2" t="str">
        <f>INDEX(customers!$A$1:$I$1001,MATCH($E619,customers!$A$1:$A$1001,),MATCH($H$1,customers!$A$1:$I$1,0))</f>
        <v>Lyell Murch</v>
      </c>
      <c r="I619" s="2" t="str">
        <f>IF(INDEX(customers!$A$1:$I$1001,MATCH($E619,customers!$A$1:$A$1001,0),3)=0,"",INDEX(customers!$A$1:$I$1001,MATCH($E619,customers!$A$1:$A$1001,0),3))</f>
        <v/>
      </c>
      <c r="J619" s="2" t="str">
        <f>_xlfn.XLOOKUP(E619,customers!$A$1:$A$1001,customers!$G$1:$G$1001)</f>
        <v>United States</v>
      </c>
      <c r="K619" t="str">
        <f>INDEX(products!$A$1:$G$49,MATCH($F619,products!$A$1:$A$49,0),MATCH(K$1,products!$A$1:$G$1,0))</f>
        <v>Exc</v>
      </c>
      <c r="L619" t="str">
        <f>INDEX(products!$A$1:$G$49,MATCH($F619,products!$A$1:$A$49,0),MATCH(L$1,products!$A$1:$G$1,0))</f>
        <v>L</v>
      </c>
      <c r="M619" s="5">
        <f>INDEX(products!$A$1:$G$49,MATCH($F619,products!$A$1:$A$49,0),MATCH(M$1,products!$A$1:$G$1,0))</f>
        <v>0.5</v>
      </c>
      <c r="N619" s="7">
        <f>INDEX(products!$A$1:$G$49,MATCH($F619,products!$A$1:$A$49,0),MATCH(N$1,products!$A$1:$G$1,0))</f>
        <v>8.91</v>
      </c>
      <c r="O619" s="7">
        <f t="shared" si="9"/>
        <v>17.82</v>
      </c>
      <c r="P619" t="str" cm="1">
        <f t="array" ref="P619">_xlfn.IFS(K619="Rob","Robusta",K619="Exc","Excelsa",K619="Ara","Arabica",K619="Lib","Liberica")</f>
        <v>Excelsa</v>
      </c>
      <c r="Q619" t="str" cm="1">
        <f t="array" ref="Q619">_xlfn.IFS(L619="M","Medium",L619="L","Light",L619="D","Dark")</f>
        <v>Light</v>
      </c>
      <c r="R619" t="str">
        <f>_xlfn.XLOOKUP(Orders[[#This Row],[Customer ID]],customers!$A$1:$A$1001,customers!$I$1:$I$1001)</f>
        <v>Yes</v>
      </c>
    </row>
    <row r="620" spans="1:18" x14ac:dyDescent="0.35">
      <c r="A620" s="2" t="s">
        <v>1889</v>
      </c>
      <c r="B620" s="4">
        <v>44019</v>
      </c>
      <c r="C620" s="23">
        <f>Orders[[#This Row],[Order Date]]</f>
        <v>44019</v>
      </c>
      <c r="D620" s="2">
        <f>YEAR(Orders[[#This Row],[Order Date]])</f>
        <v>2020</v>
      </c>
      <c r="E620" s="2" t="s">
        <v>1890</v>
      </c>
      <c r="F620" t="s">
        <v>6147</v>
      </c>
      <c r="G620" s="20">
        <v>1</v>
      </c>
      <c r="H620" s="2" t="str">
        <f>INDEX(customers!$A$1:$I$1001,MATCH($E620,customers!$A$1:$A$1001,),MATCH($H$1,customers!$A$1:$I$1,0))</f>
        <v>Lyn Entwistle</v>
      </c>
      <c r="I620" s="2" t="str">
        <f>IF(INDEX(customers!$A$1:$I$1001,MATCH($E620,customers!$A$1:$A$1001,0),3)=0,"",INDEX(customers!$A$1:$I$1001,MATCH($E620,customers!$A$1:$A$1001,0),3))</f>
        <v>lentwistle6w@omniture.com</v>
      </c>
      <c r="J620" s="2" t="str">
        <f>_xlfn.XLOOKUP(E620,customers!$A$1:$A$1001,customers!$G$1:$G$1001)</f>
        <v>United States</v>
      </c>
      <c r="K620" t="str">
        <f>INDEX(products!$A$1:$G$49,MATCH($F620,products!$A$1:$A$49,0),MATCH(K$1,products!$A$1:$G$1,0))</f>
        <v>Ara</v>
      </c>
      <c r="L620" t="str">
        <f>INDEX(products!$A$1:$G$49,MATCH($F620,products!$A$1:$A$49,0),MATCH(L$1,products!$A$1:$G$1,0))</f>
        <v>D</v>
      </c>
      <c r="M620" s="5">
        <f>INDEX(products!$A$1:$G$49,MATCH($F620,products!$A$1:$A$49,0),MATCH(M$1,products!$A$1:$G$1,0))</f>
        <v>1</v>
      </c>
      <c r="N620" s="7">
        <f>INDEX(products!$A$1:$G$49,MATCH($F620,products!$A$1:$A$49,0),MATCH(N$1,products!$A$1:$G$1,0))</f>
        <v>9.9499999999999993</v>
      </c>
      <c r="O620" s="7">
        <f t="shared" si="9"/>
        <v>9.9499999999999993</v>
      </c>
      <c r="P620" t="str" cm="1">
        <f t="array" ref="P620">_xlfn.IFS(K620="Rob","Robusta",K620="Exc","Excelsa",K620="Ara","Arabica",K620="Lib","Liberica")</f>
        <v>Arabica</v>
      </c>
      <c r="Q620" t="str" cm="1">
        <f t="array" ref="Q620">_xlfn.IFS(L620="M","Medium",L620="L","Light",L620="D","Dark")</f>
        <v>Dark</v>
      </c>
      <c r="R620" t="str">
        <f>_xlfn.XLOOKUP(Orders[[#This Row],[Customer ID]],customers!$A$1:$A$1001,customers!$I$1:$I$1001)</f>
        <v>Yes</v>
      </c>
    </row>
    <row r="621" spans="1:18" x14ac:dyDescent="0.35">
      <c r="A621" s="2" t="s">
        <v>5135</v>
      </c>
      <c r="B621" s="4">
        <v>43585</v>
      </c>
      <c r="C621" s="23">
        <f>Orders[[#This Row],[Order Date]]</f>
        <v>43585</v>
      </c>
      <c r="D621" s="2">
        <f>YEAR(Orders[[#This Row],[Order Date]])</f>
        <v>2019</v>
      </c>
      <c r="E621" s="2" t="s">
        <v>5136</v>
      </c>
      <c r="F621" t="s">
        <v>6148</v>
      </c>
      <c r="G621" s="20">
        <v>4</v>
      </c>
      <c r="H621" s="2" t="str">
        <f>INDEX(customers!$A$1:$I$1001,MATCH($E621,customers!$A$1:$A$1001,),MATCH($H$1,customers!$A$1:$I$1,0))</f>
        <v>Lyndsey MacManus</v>
      </c>
      <c r="I621" s="2" t="str">
        <f>IF(INDEX(customers!$A$1:$I$1001,MATCH($E621,customers!$A$1:$A$1001,0),3)=0,"",INDEX(customers!$A$1:$I$1001,MATCH($E621,customers!$A$1:$A$1001,0),3))</f>
        <v>lmacmanusmu@imdb.com</v>
      </c>
      <c r="J621" s="2" t="str">
        <f>_xlfn.XLOOKUP(E621,customers!$A$1:$A$1001,customers!$G$1:$G$1001)</f>
        <v>United States</v>
      </c>
      <c r="K621" t="str">
        <f>INDEX(products!$A$1:$G$49,MATCH($F621,products!$A$1:$A$49,0),MATCH(K$1,products!$A$1:$G$1,0))</f>
        <v>Exc</v>
      </c>
      <c r="L621" t="str">
        <f>INDEX(products!$A$1:$G$49,MATCH($F621,products!$A$1:$A$49,0),MATCH(L$1,products!$A$1:$G$1,0))</f>
        <v>L</v>
      </c>
      <c r="M621" s="5">
        <f>INDEX(products!$A$1:$G$49,MATCH($F621,products!$A$1:$A$49,0),MATCH(M$1,products!$A$1:$G$1,0))</f>
        <v>2.5</v>
      </c>
      <c r="N621" s="7">
        <f>INDEX(products!$A$1:$G$49,MATCH($F621,products!$A$1:$A$49,0),MATCH(N$1,products!$A$1:$G$1,0))</f>
        <v>34.154999999999994</v>
      </c>
      <c r="O621" s="7">
        <f t="shared" si="9"/>
        <v>136.61999999999998</v>
      </c>
      <c r="P621" t="str" cm="1">
        <f t="array" ref="P621">_xlfn.IFS(K621="Rob","Robusta",K621="Exc","Excelsa",K621="Ara","Arabica",K621="Lib","Liberica")</f>
        <v>Excelsa</v>
      </c>
      <c r="Q621" t="str" cm="1">
        <f t="array" ref="Q621">_xlfn.IFS(L621="M","Medium",L621="L","Light",L621="D","Dark")</f>
        <v>Light</v>
      </c>
      <c r="R621" t="str">
        <f>_xlfn.XLOOKUP(Orders[[#This Row],[Customer ID]],customers!$A$1:$A$1001,customers!$I$1:$I$1001)</f>
        <v>No</v>
      </c>
    </row>
    <row r="622" spans="1:18" x14ac:dyDescent="0.35">
      <c r="A622" s="2" t="s">
        <v>2102</v>
      </c>
      <c r="B622" s="4">
        <v>44030</v>
      </c>
      <c r="C622" s="23">
        <f>Orders[[#This Row],[Order Date]]</f>
        <v>44030</v>
      </c>
      <c r="D622" s="2">
        <f>YEAR(Orders[[#This Row],[Order Date]])</f>
        <v>2020</v>
      </c>
      <c r="E622" s="2" t="s">
        <v>2103</v>
      </c>
      <c r="F622" t="s">
        <v>6164</v>
      </c>
      <c r="G622" s="20">
        <v>1</v>
      </c>
      <c r="H622" s="2" t="str">
        <f>INDEX(customers!$A$1:$I$1001,MATCH($E622,customers!$A$1:$A$1001,),MATCH($H$1,customers!$A$1:$I$1,0))</f>
        <v>Lyndsey Megany</v>
      </c>
      <c r="I622" s="2" t="str">
        <f>IF(INDEX(customers!$A$1:$I$1001,MATCH($E622,customers!$A$1:$A$1001,0),3)=0,"",INDEX(customers!$A$1:$I$1001,MATCH($E622,customers!$A$1:$A$1001,0),3))</f>
        <v/>
      </c>
      <c r="J622" s="2" t="str">
        <f>_xlfn.XLOOKUP(E622,customers!$A$1:$A$1001,customers!$G$1:$G$1001)</f>
        <v>United States</v>
      </c>
      <c r="K622" t="str">
        <f>INDEX(products!$A$1:$G$49,MATCH($F622,products!$A$1:$A$49,0),MATCH(K$1,products!$A$1:$G$1,0))</f>
        <v>Lib</v>
      </c>
      <c r="L622" t="str">
        <f>INDEX(products!$A$1:$G$49,MATCH($F622,products!$A$1:$A$49,0),MATCH(L$1,products!$A$1:$G$1,0))</f>
        <v>L</v>
      </c>
      <c r="M622" s="5">
        <f>INDEX(products!$A$1:$G$49,MATCH($F622,products!$A$1:$A$49,0),MATCH(M$1,products!$A$1:$G$1,0))</f>
        <v>2.5</v>
      </c>
      <c r="N622" s="7">
        <f>INDEX(products!$A$1:$G$49,MATCH($F622,products!$A$1:$A$49,0),MATCH(N$1,products!$A$1:$G$1,0))</f>
        <v>36.454999999999998</v>
      </c>
      <c r="O622" s="7">
        <f t="shared" si="9"/>
        <v>36.454999999999998</v>
      </c>
      <c r="P622" t="str" cm="1">
        <f t="array" ref="P622">_xlfn.IFS(K622="Rob","Robusta",K622="Exc","Excelsa",K622="Ara","Arabica",K622="Lib","Liberica")</f>
        <v>Liberica</v>
      </c>
      <c r="Q622" t="str" cm="1">
        <f t="array" ref="Q622">_xlfn.IFS(L622="M","Medium",L622="L","Light",L622="D","Dark")</f>
        <v>Light</v>
      </c>
      <c r="R622" t="str">
        <f>_xlfn.XLOOKUP(Orders[[#This Row],[Customer ID]],customers!$A$1:$A$1001,customers!$I$1:$I$1001)</f>
        <v>No</v>
      </c>
    </row>
    <row r="623" spans="1:18" x14ac:dyDescent="0.35">
      <c r="A623" s="2" t="s">
        <v>5310</v>
      </c>
      <c r="B623" s="4">
        <v>44259</v>
      </c>
      <c r="C623" s="23">
        <f>Orders[[#This Row],[Order Date]]</f>
        <v>44259</v>
      </c>
      <c r="D623" s="2">
        <f>YEAR(Orders[[#This Row],[Order Date]])</f>
        <v>2021</v>
      </c>
      <c r="E623" s="2" t="s">
        <v>5311</v>
      </c>
      <c r="F623" t="s">
        <v>6147</v>
      </c>
      <c r="G623" s="20">
        <v>2</v>
      </c>
      <c r="H623" s="2" t="str">
        <f>INDEX(customers!$A$1:$I$1001,MATCH($E623,customers!$A$1:$A$1001,),MATCH($H$1,customers!$A$1:$I$1,0))</f>
        <v>Lynnea Danton</v>
      </c>
      <c r="I623" s="2" t="str">
        <f>IF(INDEX(customers!$A$1:$I$1001,MATCH($E623,customers!$A$1:$A$1001,0),3)=0,"",INDEX(customers!$A$1:$I$1001,MATCH($E623,customers!$A$1:$A$1001,0),3))</f>
        <v>ldantonnp@miitbeian.gov.cn</v>
      </c>
      <c r="J623" s="2" t="str">
        <f>_xlfn.XLOOKUP(E623,customers!$A$1:$A$1001,customers!$G$1:$G$1001)</f>
        <v>United States</v>
      </c>
      <c r="K623" t="str">
        <f>INDEX(products!$A$1:$G$49,MATCH($F623,products!$A$1:$A$49,0),MATCH(K$1,products!$A$1:$G$1,0))</f>
        <v>Ara</v>
      </c>
      <c r="L623" t="str">
        <f>INDEX(products!$A$1:$G$49,MATCH($F623,products!$A$1:$A$49,0),MATCH(L$1,products!$A$1:$G$1,0))</f>
        <v>D</v>
      </c>
      <c r="M623" s="5">
        <f>INDEX(products!$A$1:$G$49,MATCH($F623,products!$A$1:$A$49,0),MATCH(M$1,products!$A$1:$G$1,0))</f>
        <v>1</v>
      </c>
      <c r="N623" s="7">
        <f>INDEX(products!$A$1:$G$49,MATCH($F623,products!$A$1:$A$49,0),MATCH(N$1,products!$A$1:$G$1,0))</f>
        <v>9.9499999999999993</v>
      </c>
      <c r="O623" s="7">
        <f t="shared" si="9"/>
        <v>19.899999999999999</v>
      </c>
      <c r="P623" t="str" cm="1">
        <f t="array" ref="P623">_xlfn.IFS(K623="Rob","Robusta",K623="Exc","Excelsa",K623="Ara","Arabica",K623="Lib","Liberica")</f>
        <v>Arabica</v>
      </c>
      <c r="Q623" t="str" cm="1">
        <f t="array" ref="Q623">_xlfn.IFS(L623="M","Medium",L623="L","Light",L623="D","Dark")</f>
        <v>Dark</v>
      </c>
      <c r="R623" t="str">
        <f>_xlfn.XLOOKUP(Orders[[#This Row],[Customer ID]],customers!$A$1:$A$1001,customers!$I$1:$I$1001)</f>
        <v>No</v>
      </c>
    </row>
    <row r="624" spans="1:18" x14ac:dyDescent="0.35">
      <c r="A624" s="2" t="s">
        <v>4676</v>
      </c>
      <c r="B624" s="4">
        <v>43566</v>
      </c>
      <c r="C624" s="23">
        <f>Orders[[#This Row],[Order Date]]</f>
        <v>43566</v>
      </c>
      <c r="D624" s="2">
        <f>YEAR(Orders[[#This Row],[Order Date]])</f>
        <v>2019</v>
      </c>
      <c r="E624" s="2" t="s">
        <v>4677</v>
      </c>
      <c r="F624" t="s">
        <v>6159</v>
      </c>
      <c r="G624" s="20">
        <v>2</v>
      </c>
      <c r="H624" s="2" t="str">
        <f>INDEX(customers!$A$1:$I$1001,MATCH($E624,customers!$A$1:$A$1001,),MATCH($H$1,customers!$A$1:$I$1,0))</f>
        <v>Lyon Ibert</v>
      </c>
      <c r="I624" s="2" t="str">
        <f>IF(INDEX(customers!$A$1:$I$1001,MATCH($E624,customers!$A$1:$A$1001,0),3)=0,"",INDEX(customers!$A$1:$I$1001,MATCH($E624,customers!$A$1:$A$1001,0),3))</f>
        <v>libertkl@huffingtonpost.com</v>
      </c>
      <c r="J624" s="2" t="str">
        <f>_xlfn.XLOOKUP(E624,customers!$A$1:$A$1001,customers!$G$1:$G$1001)</f>
        <v>United States</v>
      </c>
      <c r="K624" t="str">
        <f>INDEX(products!$A$1:$G$49,MATCH($F624,products!$A$1:$A$49,0),MATCH(K$1,products!$A$1:$G$1,0))</f>
        <v>Lib</v>
      </c>
      <c r="L624" t="str">
        <f>INDEX(products!$A$1:$G$49,MATCH($F624,products!$A$1:$A$49,0),MATCH(L$1,products!$A$1:$G$1,0))</f>
        <v>M</v>
      </c>
      <c r="M624" s="5">
        <f>INDEX(products!$A$1:$G$49,MATCH($F624,products!$A$1:$A$49,0),MATCH(M$1,products!$A$1:$G$1,0))</f>
        <v>0.2</v>
      </c>
      <c r="N624" s="7">
        <f>INDEX(products!$A$1:$G$49,MATCH($F624,products!$A$1:$A$49,0),MATCH(N$1,products!$A$1:$G$1,0))</f>
        <v>4.3650000000000002</v>
      </c>
      <c r="O624" s="7">
        <f t="shared" si="9"/>
        <v>8.73</v>
      </c>
      <c r="P624" t="str" cm="1">
        <f t="array" ref="P624">_xlfn.IFS(K624="Rob","Robusta",K624="Exc","Excelsa",K624="Ara","Arabica",K624="Lib","Liberica")</f>
        <v>Liberica</v>
      </c>
      <c r="Q624" t="str" cm="1">
        <f t="array" ref="Q624">_xlfn.IFS(L624="M","Medium",L624="L","Light",L624="D","Dark")</f>
        <v>Medium</v>
      </c>
      <c r="R624" t="str">
        <f>_xlfn.XLOOKUP(Orders[[#This Row],[Customer ID]],customers!$A$1:$A$1001,customers!$I$1:$I$1001)</f>
        <v>No</v>
      </c>
    </row>
    <row r="625" spans="1:18" x14ac:dyDescent="0.35">
      <c r="A625" s="2" t="s">
        <v>6013</v>
      </c>
      <c r="B625" s="4">
        <v>44026</v>
      </c>
      <c r="C625" s="23">
        <f>Orders[[#This Row],[Order Date]]</f>
        <v>44026</v>
      </c>
      <c r="D625" s="2">
        <f>YEAR(Orders[[#This Row],[Order Date]])</f>
        <v>2020</v>
      </c>
      <c r="E625" s="2" t="s">
        <v>6014</v>
      </c>
      <c r="F625" t="s">
        <v>6179</v>
      </c>
      <c r="G625" s="20">
        <v>5</v>
      </c>
      <c r="H625" s="2" t="str">
        <f>INDEX(customers!$A$1:$I$1001,MATCH($E625,customers!$A$1:$A$1001,),MATCH($H$1,customers!$A$1:$I$1,0))</f>
        <v>Mab Blakemore</v>
      </c>
      <c r="I625" s="2" t="str">
        <f>IF(INDEX(customers!$A$1:$I$1001,MATCH($E625,customers!$A$1:$A$1001,0),3)=0,"",INDEX(customers!$A$1:$I$1001,MATCH($E625,customers!$A$1:$A$1001,0),3))</f>
        <v>mblakemorer5@nsw.gov.au</v>
      </c>
      <c r="J625" s="2" t="str">
        <f>_xlfn.XLOOKUP(E625,customers!$A$1:$A$1001,customers!$G$1:$G$1001)</f>
        <v>United States</v>
      </c>
      <c r="K625" t="str">
        <f>INDEX(products!$A$1:$G$49,MATCH($F625,products!$A$1:$A$49,0),MATCH(K$1,products!$A$1:$G$1,0))</f>
        <v>Rob</v>
      </c>
      <c r="L625" t="str">
        <f>INDEX(products!$A$1:$G$49,MATCH($F625,products!$A$1:$A$49,0),MATCH(L$1,products!$A$1:$G$1,0))</f>
        <v>L</v>
      </c>
      <c r="M625" s="5">
        <f>INDEX(products!$A$1:$G$49,MATCH($F625,products!$A$1:$A$49,0),MATCH(M$1,products!$A$1:$G$1,0))</f>
        <v>1</v>
      </c>
      <c r="N625" s="7">
        <f>INDEX(products!$A$1:$G$49,MATCH($F625,products!$A$1:$A$49,0),MATCH(N$1,products!$A$1:$G$1,0))</f>
        <v>11.95</v>
      </c>
      <c r="O625" s="7">
        <f t="shared" si="9"/>
        <v>59.75</v>
      </c>
      <c r="P625" t="str" cm="1">
        <f t="array" ref="P625">_xlfn.IFS(K625="Rob","Robusta",K625="Exc","Excelsa",K625="Ara","Arabica",K625="Lib","Liberica")</f>
        <v>Robusta</v>
      </c>
      <c r="Q625" t="str" cm="1">
        <f t="array" ref="Q625">_xlfn.IFS(L625="M","Medium",L625="L","Light",L625="D","Dark")</f>
        <v>Light</v>
      </c>
      <c r="R625" t="str">
        <f>_xlfn.XLOOKUP(Orders[[#This Row],[Customer ID]],customers!$A$1:$A$1001,customers!$I$1:$I$1001)</f>
        <v>No</v>
      </c>
    </row>
    <row r="626" spans="1:18" x14ac:dyDescent="0.35">
      <c r="A626" s="2" t="s">
        <v>3622</v>
      </c>
      <c r="B626" s="4">
        <v>43737</v>
      </c>
      <c r="C626" s="23">
        <f>Orders[[#This Row],[Order Date]]</f>
        <v>43737</v>
      </c>
      <c r="D626" s="2">
        <f>YEAR(Orders[[#This Row],[Order Date]])</f>
        <v>2019</v>
      </c>
      <c r="E626" s="2" t="s">
        <v>3623</v>
      </c>
      <c r="F626" t="s">
        <v>6142</v>
      </c>
      <c r="G626" s="20">
        <v>2</v>
      </c>
      <c r="H626" s="2" t="str">
        <f>INDEX(customers!$A$1:$I$1001,MATCH($E626,customers!$A$1:$A$1001,),MATCH($H$1,customers!$A$1:$I$1,0))</f>
        <v>Madelaine Sharples</v>
      </c>
      <c r="I626" s="2" t="str">
        <f>IF(INDEX(customers!$A$1:$I$1001,MATCH($E626,customers!$A$1:$A$1001,0),3)=0,"",INDEX(customers!$A$1:$I$1001,MATCH($E626,customers!$A$1:$A$1001,0),3))</f>
        <v/>
      </c>
      <c r="J626" s="2" t="str">
        <f>_xlfn.XLOOKUP(E626,customers!$A$1:$A$1001,customers!$G$1:$G$1001)</f>
        <v>United Kingdom</v>
      </c>
      <c r="K626" t="str">
        <f>INDEX(products!$A$1:$G$49,MATCH($F626,products!$A$1:$A$49,0),MATCH(K$1,products!$A$1:$G$1,0))</f>
        <v>Rob</v>
      </c>
      <c r="L626" t="str">
        <f>INDEX(products!$A$1:$G$49,MATCH($F626,products!$A$1:$A$49,0),MATCH(L$1,products!$A$1:$G$1,0))</f>
        <v>L</v>
      </c>
      <c r="M626" s="5">
        <f>INDEX(products!$A$1:$G$49,MATCH($F626,products!$A$1:$A$49,0),MATCH(M$1,products!$A$1:$G$1,0))</f>
        <v>2.5</v>
      </c>
      <c r="N626" s="7">
        <f>INDEX(products!$A$1:$G$49,MATCH($F626,products!$A$1:$A$49,0),MATCH(N$1,products!$A$1:$G$1,0))</f>
        <v>27.484999999999996</v>
      </c>
      <c r="O626" s="7">
        <f t="shared" si="9"/>
        <v>54.969999999999992</v>
      </c>
      <c r="P626" t="str" cm="1">
        <f t="array" ref="P626">_xlfn.IFS(K626="Rob","Robusta",K626="Exc","Excelsa",K626="Ara","Arabica",K626="Lib","Liberica")</f>
        <v>Robusta</v>
      </c>
      <c r="Q626" t="str" cm="1">
        <f t="array" ref="Q626">_xlfn.IFS(L626="M","Medium",L626="L","Light",L626="D","Dark")</f>
        <v>Light</v>
      </c>
      <c r="R626" t="str">
        <f>_xlfn.XLOOKUP(Orders[[#This Row],[Customer ID]],customers!$A$1:$A$1001,customers!$I$1:$I$1001)</f>
        <v>Yes</v>
      </c>
    </row>
    <row r="627" spans="1:18" x14ac:dyDescent="0.35">
      <c r="A627" s="2" t="s">
        <v>1561</v>
      </c>
      <c r="B627" s="4">
        <v>43845</v>
      </c>
      <c r="C627" s="23">
        <f>Orders[[#This Row],[Order Date]]</f>
        <v>43845</v>
      </c>
      <c r="D627" s="2">
        <f>YEAR(Orders[[#This Row],[Order Date]])</f>
        <v>2020</v>
      </c>
      <c r="E627" s="2" t="s">
        <v>1562</v>
      </c>
      <c r="F627" t="s">
        <v>6181</v>
      </c>
      <c r="G627" s="20">
        <v>1</v>
      </c>
      <c r="H627" s="2" t="str">
        <f>INDEX(customers!$A$1:$I$1001,MATCH($E627,customers!$A$1:$A$1001,),MATCH($H$1,customers!$A$1:$I$1,0))</f>
        <v>Madelene Prinn</v>
      </c>
      <c r="I627" s="2" t="str">
        <f>IF(INDEX(customers!$A$1:$I$1001,MATCH($E627,customers!$A$1:$A$1001,0),3)=0,"",INDEX(customers!$A$1:$I$1001,MATCH($E627,customers!$A$1:$A$1001,0),3))</f>
        <v>mprinn5a@usa.gov</v>
      </c>
      <c r="J627" s="2" t="str">
        <f>_xlfn.XLOOKUP(E627,customers!$A$1:$A$1001,customers!$G$1:$G$1001)</f>
        <v>United States</v>
      </c>
      <c r="K627" t="str">
        <f>INDEX(products!$A$1:$G$49,MATCH($F627,products!$A$1:$A$49,0),MATCH(K$1,products!$A$1:$G$1,0))</f>
        <v>Lib</v>
      </c>
      <c r="L627" t="str">
        <f>INDEX(products!$A$1:$G$49,MATCH($F627,products!$A$1:$A$49,0),MATCH(L$1,products!$A$1:$G$1,0))</f>
        <v>M</v>
      </c>
      <c r="M627" s="5">
        <f>INDEX(products!$A$1:$G$49,MATCH($F627,products!$A$1:$A$49,0),MATCH(M$1,products!$A$1:$G$1,0))</f>
        <v>2.5</v>
      </c>
      <c r="N627" s="7">
        <f>INDEX(products!$A$1:$G$49,MATCH($F627,products!$A$1:$A$49,0),MATCH(N$1,products!$A$1:$G$1,0))</f>
        <v>33.464999999999996</v>
      </c>
      <c r="O627" s="7">
        <f t="shared" si="9"/>
        <v>33.464999999999996</v>
      </c>
      <c r="P627" t="str" cm="1">
        <f t="array" ref="P627">_xlfn.IFS(K627="Rob","Robusta",K627="Exc","Excelsa",K627="Ara","Arabica",K627="Lib","Liberica")</f>
        <v>Liberica</v>
      </c>
      <c r="Q627" t="str" cm="1">
        <f t="array" ref="Q627">_xlfn.IFS(L627="M","Medium",L627="L","Light",L627="D","Dark")</f>
        <v>Medium</v>
      </c>
      <c r="R627" t="str">
        <f>_xlfn.XLOOKUP(Orders[[#This Row],[Customer ID]],customers!$A$1:$A$1001,customers!$I$1:$I$1001)</f>
        <v>Yes</v>
      </c>
    </row>
    <row r="628" spans="1:18" x14ac:dyDescent="0.35">
      <c r="A628" s="2" t="s">
        <v>3430</v>
      </c>
      <c r="B628" s="4">
        <v>44446</v>
      </c>
      <c r="C628" s="23">
        <f>Orders[[#This Row],[Order Date]]</f>
        <v>44446</v>
      </c>
      <c r="D628" s="2">
        <f>YEAR(Orders[[#This Row],[Order Date]])</f>
        <v>2021</v>
      </c>
      <c r="E628" s="2" t="s">
        <v>3431</v>
      </c>
      <c r="F628" t="s">
        <v>6150</v>
      </c>
      <c r="G628" s="20">
        <v>1</v>
      </c>
      <c r="H628" s="2" t="str">
        <f>INDEX(customers!$A$1:$I$1001,MATCH($E628,customers!$A$1:$A$1001,),MATCH($H$1,customers!$A$1:$I$1,0))</f>
        <v>Mag Armistead</v>
      </c>
      <c r="I628" s="2" t="str">
        <f>IF(INDEX(customers!$A$1:$I$1001,MATCH($E628,customers!$A$1:$A$1001,0),3)=0,"",INDEX(customers!$A$1:$I$1001,MATCH($E628,customers!$A$1:$A$1001,0),3))</f>
        <v>marmisteadeg@blogtalkradio.com</v>
      </c>
      <c r="J628" s="2" t="str">
        <f>_xlfn.XLOOKUP(E628,customers!$A$1:$A$1001,customers!$G$1:$G$1001)</f>
        <v>United States</v>
      </c>
      <c r="K628" t="str">
        <f>INDEX(products!$A$1:$G$49,MATCH($F628,products!$A$1:$A$49,0),MATCH(K$1,products!$A$1:$G$1,0))</f>
        <v>Lib</v>
      </c>
      <c r="L628" t="str">
        <f>INDEX(products!$A$1:$G$49,MATCH($F628,products!$A$1:$A$49,0),MATCH(L$1,products!$A$1:$G$1,0))</f>
        <v>D</v>
      </c>
      <c r="M628" s="5">
        <f>INDEX(products!$A$1:$G$49,MATCH($F628,products!$A$1:$A$49,0),MATCH(M$1,products!$A$1:$G$1,0))</f>
        <v>0.2</v>
      </c>
      <c r="N628" s="7">
        <f>INDEX(products!$A$1:$G$49,MATCH($F628,products!$A$1:$A$49,0),MATCH(N$1,products!$A$1:$G$1,0))</f>
        <v>3.8849999999999998</v>
      </c>
      <c r="O628" s="7">
        <f t="shared" si="9"/>
        <v>3.8849999999999998</v>
      </c>
      <c r="P628" t="str" cm="1">
        <f t="array" ref="P628">_xlfn.IFS(K628="Rob","Robusta",K628="Exc","Excelsa",K628="Ara","Arabica",K628="Lib","Liberica")</f>
        <v>Liberica</v>
      </c>
      <c r="Q628" t="str" cm="1">
        <f t="array" ref="Q628">_xlfn.IFS(L628="M","Medium",L628="L","Light",L628="D","Dark")</f>
        <v>Dark</v>
      </c>
      <c r="R628" t="str">
        <f>_xlfn.XLOOKUP(Orders[[#This Row],[Customer ID]],customers!$A$1:$A$1001,customers!$I$1:$I$1001)</f>
        <v>No</v>
      </c>
    </row>
    <row r="629" spans="1:18" x14ac:dyDescent="0.35">
      <c r="A629" s="2" t="s">
        <v>3430</v>
      </c>
      <c r="B629" s="4">
        <v>44446</v>
      </c>
      <c r="C629" s="23">
        <f>Orders[[#This Row],[Order Date]]</f>
        <v>44446</v>
      </c>
      <c r="D629" s="2">
        <f>YEAR(Orders[[#This Row],[Order Date]])</f>
        <v>2021</v>
      </c>
      <c r="E629" s="2" t="s">
        <v>3431</v>
      </c>
      <c r="F629" t="s">
        <v>6138</v>
      </c>
      <c r="G629" s="20">
        <v>4</v>
      </c>
      <c r="H629" s="2" t="str">
        <f>INDEX(customers!$A$1:$I$1001,MATCH($E629,customers!$A$1:$A$1001,),MATCH($H$1,customers!$A$1:$I$1,0))</f>
        <v>Mag Armistead</v>
      </c>
      <c r="I629" s="2" t="str">
        <f>IF(INDEX(customers!$A$1:$I$1001,MATCH($E629,customers!$A$1:$A$1001,0),3)=0,"",INDEX(customers!$A$1:$I$1001,MATCH($E629,customers!$A$1:$A$1001,0),3))</f>
        <v>marmisteadeg@blogtalkradio.com</v>
      </c>
      <c r="J629" s="2" t="str">
        <f>_xlfn.XLOOKUP(E629,customers!$A$1:$A$1001,customers!$G$1:$G$1001)</f>
        <v>United States</v>
      </c>
      <c r="K629" t="str">
        <f>INDEX(products!$A$1:$G$49,MATCH($F629,products!$A$1:$A$49,0),MATCH(K$1,products!$A$1:$G$1,0))</f>
        <v>Rob</v>
      </c>
      <c r="L629" t="str">
        <f>INDEX(products!$A$1:$G$49,MATCH($F629,products!$A$1:$A$49,0),MATCH(L$1,products!$A$1:$G$1,0))</f>
        <v>M</v>
      </c>
      <c r="M629" s="5">
        <f>INDEX(products!$A$1:$G$49,MATCH($F629,products!$A$1:$A$49,0),MATCH(M$1,products!$A$1:$G$1,0))</f>
        <v>1</v>
      </c>
      <c r="N629" s="7">
        <f>INDEX(products!$A$1:$G$49,MATCH($F629,products!$A$1:$A$49,0),MATCH(N$1,products!$A$1:$G$1,0))</f>
        <v>9.9499999999999993</v>
      </c>
      <c r="O629" s="7">
        <f t="shared" si="9"/>
        <v>39.799999999999997</v>
      </c>
      <c r="P629" t="str" cm="1">
        <f t="array" ref="P629">_xlfn.IFS(K629="Rob","Robusta",K629="Exc","Excelsa",K629="Ara","Arabica",K629="Lib","Liberica")</f>
        <v>Robusta</v>
      </c>
      <c r="Q629" t="str" cm="1">
        <f t="array" ref="Q629">_xlfn.IFS(L629="M","Medium",L629="L","Light",L629="D","Dark")</f>
        <v>Medium</v>
      </c>
      <c r="R629" t="str">
        <f>_xlfn.XLOOKUP(Orders[[#This Row],[Customer ID]],customers!$A$1:$A$1001,customers!$I$1:$I$1001)</f>
        <v>No</v>
      </c>
    </row>
    <row r="630" spans="1:18" x14ac:dyDescent="0.35">
      <c r="A630" s="2" t="s">
        <v>4115</v>
      </c>
      <c r="B630" s="4">
        <v>43880</v>
      </c>
      <c r="C630" s="23">
        <f>Orders[[#This Row],[Order Date]]</f>
        <v>43880</v>
      </c>
      <c r="D630" s="2">
        <f>YEAR(Orders[[#This Row],[Order Date]])</f>
        <v>2020</v>
      </c>
      <c r="E630" s="2" t="s">
        <v>4116</v>
      </c>
      <c r="F630" t="s">
        <v>6156</v>
      </c>
      <c r="G630" s="20">
        <v>2</v>
      </c>
      <c r="H630" s="2" t="str">
        <f>INDEX(customers!$A$1:$I$1001,MATCH($E630,customers!$A$1:$A$1001,),MATCH($H$1,customers!$A$1:$I$1,0))</f>
        <v>Maggy Baistow</v>
      </c>
      <c r="I630" s="2" t="str">
        <f>IF(INDEX(customers!$A$1:$I$1001,MATCH($E630,customers!$A$1:$A$1001,0),3)=0,"",INDEX(customers!$A$1:$I$1001,MATCH($E630,customers!$A$1:$A$1001,0),3))</f>
        <v>mbaistowhu@i2i.jp</v>
      </c>
      <c r="J630" s="2" t="str">
        <f>_xlfn.XLOOKUP(E630,customers!$A$1:$A$1001,customers!$G$1:$G$1001)</f>
        <v>United Kingdom</v>
      </c>
      <c r="K630" t="str">
        <f>INDEX(products!$A$1:$G$49,MATCH($F630,products!$A$1:$A$49,0),MATCH(K$1,products!$A$1:$G$1,0))</f>
        <v>Exc</v>
      </c>
      <c r="L630" t="str">
        <f>INDEX(products!$A$1:$G$49,MATCH($F630,products!$A$1:$A$49,0),MATCH(L$1,products!$A$1:$G$1,0))</f>
        <v>M</v>
      </c>
      <c r="M630" s="5">
        <f>INDEX(products!$A$1:$G$49,MATCH($F630,products!$A$1:$A$49,0),MATCH(M$1,products!$A$1:$G$1,0))</f>
        <v>0.2</v>
      </c>
      <c r="N630" s="7">
        <f>INDEX(products!$A$1:$G$49,MATCH($F630,products!$A$1:$A$49,0),MATCH(N$1,products!$A$1:$G$1,0))</f>
        <v>4.125</v>
      </c>
      <c r="O630" s="7">
        <f t="shared" si="9"/>
        <v>8.25</v>
      </c>
      <c r="P630" t="str" cm="1">
        <f t="array" ref="P630">_xlfn.IFS(K630="Rob","Robusta",K630="Exc","Excelsa",K630="Ara","Arabica",K630="Lib","Liberica")</f>
        <v>Excelsa</v>
      </c>
      <c r="Q630" t="str" cm="1">
        <f t="array" ref="Q630">_xlfn.IFS(L630="M","Medium",L630="L","Light",L630="D","Dark")</f>
        <v>Medium</v>
      </c>
      <c r="R630" t="str">
        <f>_xlfn.XLOOKUP(Orders[[#This Row],[Customer ID]],customers!$A$1:$A$1001,customers!$I$1:$I$1001)</f>
        <v>Yes</v>
      </c>
    </row>
    <row r="631" spans="1:18" x14ac:dyDescent="0.35">
      <c r="A631" s="2" t="s">
        <v>3734</v>
      </c>
      <c r="B631" s="4">
        <v>44697</v>
      </c>
      <c r="C631" s="23">
        <f>Orders[[#This Row],[Order Date]]</f>
        <v>44697</v>
      </c>
      <c r="D631" s="2">
        <f>YEAR(Orders[[#This Row],[Order Date]])</f>
        <v>2022</v>
      </c>
      <c r="E631" s="2" t="s">
        <v>3735</v>
      </c>
      <c r="F631" t="s">
        <v>6178</v>
      </c>
      <c r="G631" s="20">
        <v>6</v>
      </c>
      <c r="H631" s="2" t="str">
        <f>INDEX(customers!$A$1:$I$1001,MATCH($E631,customers!$A$1:$A$1001,),MATCH($H$1,customers!$A$1:$I$1,0))</f>
        <v>Maggy Harby</v>
      </c>
      <c r="I631" s="2" t="str">
        <f>IF(INDEX(customers!$A$1:$I$1001,MATCH($E631,customers!$A$1:$A$1001,0),3)=0,"",INDEX(customers!$A$1:$I$1001,MATCH($E631,customers!$A$1:$A$1001,0),3))</f>
        <v>mharbyfy@163.com</v>
      </c>
      <c r="J631" s="2" t="str">
        <f>_xlfn.XLOOKUP(E631,customers!$A$1:$A$1001,customers!$G$1:$G$1001)</f>
        <v>United States</v>
      </c>
      <c r="K631" t="str">
        <f>INDEX(products!$A$1:$G$49,MATCH($F631,products!$A$1:$A$49,0),MATCH(K$1,products!$A$1:$G$1,0))</f>
        <v>Rob</v>
      </c>
      <c r="L631" t="str">
        <f>INDEX(products!$A$1:$G$49,MATCH($F631,products!$A$1:$A$49,0),MATCH(L$1,products!$A$1:$G$1,0))</f>
        <v>L</v>
      </c>
      <c r="M631" s="5">
        <f>INDEX(products!$A$1:$G$49,MATCH($F631,products!$A$1:$A$49,0),MATCH(M$1,products!$A$1:$G$1,0))</f>
        <v>0.2</v>
      </c>
      <c r="N631" s="7">
        <f>INDEX(products!$A$1:$G$49,MATCH($F631,products!$A$1:$A$49,0),MATCH(N$1,products!$A$1:$G$1,0))</f>
        <v>3.5849999999999995</v>
      </c>
      <c r="O631" s="7">
        <f t="shared" si="9"/>
        <v>21.509999999999998</v>
      </c>
      <c r="P631" t="str" cm="1">
        <f t="array" ref="P631">_xlfn.IFS(K631="Rob","Robusta",K631="Exc","Excelsa",K631="Ara","Arabica",K631="Lib","Liberica")</f>
        <v>Robusta</v>
      </c>
      <c r="Q631" t="str" cm="1">
        <f t="array" ref="Q631">_xlfn.IFS(L631="M","Medium",L631="L","Light",L631="D","Dark")</f>
        <v>Light</v>
      </c>
      <c r="R631" t="str">
        <f>_xlfn.XLOOKUP(Orders[[#This Row],[Customer ID]],customers!$A$1:$A$1001,customers!$I$1:$I$1001)</f>
        <v>Yes</v>
      </c>
    </row>
    <row r="632" spans="1:18" x14ac:dyDescent="0.35">
      <c r="A632" s="2" t="s">
        <v>1174</v>
      </c>
      <c r="B632" s="4">
        <v>44268</v>
      </c>
      <c r="C632" s="23">
        <f>Orders[[#This Row],[Order Date]]</f>
        <v>44268</v>
      </c>
      <c r="D632" s="2">
        <f>YEAR(Orders[[#This Row],[Order Date]])</f>
        <v>2021</v>
      </c>
      <c r="E632" s="2" t="s">
        <v>1175</v>
      </c>
      <c r="F632" t="s">
        <v>6158</v>
      </c>
      <c r="G632" s="20">
        <v>4</v>
      </c>
      <c r="H632" s="2" t="str">
        <f>INDEX(customers!$A$1:$I$1001,MATCH($E632,customers!$A$1:$A$1001,),MATCH($H$1,customers!$A$1:$I$1,0))</f>
        <v>Mahala Ludwell</v>
      </c>
      <c r="I632" s="2" t="str">
        <f>IF(INDEX(customers!$A$1:$I$1001,MATCH($E632,customers!$A$1:$A$1001,0),3)=0,"",INDEX(customers!$A$1:$I$1001,MATCH($E632,customers!$A$1:$A$1001,0),3))</f>
        <v>mludwell3e@blogger.com</v>
      </c>
      <c r="J632" s="2" t="str">
        <f>_xlfn.XLOOKUP(E632,customers!$A$1:$A$1001,customers!$G$1:$G$1001)</f>
        <v>United States</v>
      </c>
      <c r="K632" t="str">
        <f>INDEX(products!$A$1:$G$49,MATCH($F632,products!$A$1:$A$49,0),MATCH(K$1,products!$A$1:$G$1,0))</f>
        <v>Ara</v>
      </c>
      <c r="L632" t="str">
        <f>INDEX(products!$A$1:$G$49,MATCH($F632,products!$A$1:$A$49,0),MATCH(L$1,products!$A$1:$G$1,0))</f>
        <v>D</v>
      </c>
      <c r="M632" s="5">
        <f>INDEX(products!$A$1:$G$49,MATCH($F632,products!$A$1:$A$49,0),MATCH(M$1,products!$A$1:$G$1,0))</f>
        <v>0.5</v>
      </c>
      <c r="N632" s="7">
        <f>INDEX(products!$A$1:$G$49,MATCH($F632,products!$A$1:$A$49,0),MATCH(N$1,products!$A$1:$G$1,0))</f>
        <v>5.97</v>
      </c>
      <c r="O632" s="7">
        <f t="shared" si="9"/>
        <v>23.88</v>
      </c>
      <c r="P632" t="str" cm="1">
        <f t="array" ref="P632">_xlfn.IFS(K632="Rob","Robusta",K632="Exc","Excelsa",K632="Ara","Arabica",K632="Lib","Liberica")</f>
        <v>Arabica</v>
      </c>
      <c r="Q632" t="str" cm="1">
        <f t="array" ref="Q632">_xlfn.IFS(L632="M","Medium",L632="L","Light",L632="D","Dark")</f>
        <v>Dark</v>
      </c>
      <c r="R632" t="str">
        <f>_xlfn.XLOOKUP(Orders[[#This Row],[Customer ID]],customers!$A$1:$A$1001,customers!$I$1:$I$1001)</f>
        <v>Yes</v>
      </c>
    </row>
    <row r="633" spans="1:18" x14ac:dyDescent="0.35">
      <c r="A633" s="2" t="s">
        <v>2677</v>
      </c>
      <c r="B633" s="4">
        <v>44130</v>
      </c>
      <c r="C633" s="23">
        <f>Orders[[#This Row],[Order Date]]</f>
        <v>44130</v>
      </c>
      <c r="D633" s="2">
        <f>YEAR(Orders[[#This Row],[Order Date]])</f>
        <v>2020</v>
      </c>
      <c r="E633" s="2" t="s">
        <v>2678</v>
      </c>
      <c r="F633" t="s">
        <v>6150</v>
      </c>
      <c r="G633" s="20">
        <v>3</v>
      </c>
      <c r="H633" s="2" t="str">
        <f>INDEX(customers!$A$1:$I$1001,MATCH($E633,customers!$A$1:$A$1001,),MATCH($H$1,customers!$A$1:$I$1,0))</f>
        <v>Maisie Sarvar</v>
      </c>
      <c r="I633" s="2" t="str">
        <f>IF(INDEX(customers!$A$1:$I$1001,MATCH($E633,customers!$A$1:$A$1001,0),3)=0,"",INDEX(customers!$A$1:$I$1001,MATCH($E633,customers!$A$1:$A$1001,0),3))</f>
        <v>msarvaras@artisteer.com</v>
      </c>
      <c r="J633" s="2" t="str">
        <f>_xlfn.XLOOKUP(E633,customers!$A$1:$A$1001,customers!$G$1:$G$1001)</f>
        <v>United States</v>
      </c>
      <c r="K633" t="str">
        <f>INDEX(products!$A$1:$G$49,MATCH($F633,products!$A$1:$A$49,0),MATCH(K$1,products!$A$1:$G$1,0))</f>
        <v>Lib</v>
      </c>
      <c r="L633" t="str">
        <f>INDEX(products!$A$1:$G$49,MATCH($F633,products!$A$1:$A$49,0),MATCH(L$1,products!$A$1:$G$1,0))</f>
        <v>D</v>
      </c>
      <c r="M633" s="5">
        <f>INDEX(products!$A$1:$G$49,MATCH($F633,products!$A$1:$A$49,0),MATCH(M$1,products!$A$1:$G$1,0))</f>
        <v>0.2</v>
      </c>
      <c r="N633" s="7">
        <f>INDEX(products!$A$1:$G$49,MATCH($F633,products!$A$1:$A$49,0),MATCH(N$1,products!$A$1:$G$1,0))</f>
        <v>3.8849999999999998</v>
      </c>
      <c r="O633" s="7">
        <f t="shared" si="9"/>
        <v>11.654999999999999</v>
      </c>
      <c r="P633" t="str" cm="1">
        <f t="array" ref="P633">_xlfn.IFS(K633="Rob","Robusta",K633="Exc","Excelsa",K633="Ara","Arabica",K633="Lib","Liberica")</f>
        <v>Liberica</v>
      </c>
      <c r="Q633" t="str" cm="1">
        <f t="array" ref="Q633">_xlfn.IFS(L633="M","Medium",L633="L","Light",L633="D","Dark")</f>
        <v>Dark</v>
      </c>
      <c r="R633" t="str">
        <f>_xlfn.XLOOKUP(Orders[[#This Row],[Customer ID]],customers!$A$1:$A$1001,customers!$I$1:$I$1001)</f>
        <v>Yes</v>
      </c>
    </row>
    <row r="634" spans="1:18" x14ac:dyDescent="0.35">
      <c r="A634" s="2" t="s">
        <v>2482</v>
      </c>
      <c r="B634" s="4">
        <v>43860</v>
      </c>
      <c r="C634" s="23">
        <f>Orders[[#This Row],[Order Date]]</f>
        <v>43860</v>
      </c>
      <c r="D634" s="2">
        <f>YEAR(Orders[[#This Row],[Order Date]])</f>
        <v>2020</v>
      </c>
      <c r="E634" s="2" t="s">
        <v>2483</v>
      </c>
      <c r="F634" t="s">
        <v>6157</v>
      </c>
      <c r="G634" s="20">
        <v>4</v>
      </c>
      <c r="H634" s="2" t="str">
        <f>INDEX(customers!$A$1:$I$1001,MATCH($E634,customers!$A$1:$A$1001,),MATCH($H$1,customers!$A$1:$I$1,0))</f>
        <v>Maitilde Boxill</v>
      </c>
      <c r="I634" s="2" t="str">
        <f>IF(INDEX(customers!$A$1:$I$1001,MATCH($E634,customers!$A$1:$A$1001,0),3)=0,"",INDEX(customers!$A$1:$I$1001,MATCH($E634,customers!$A$1:$A$1001,0),3))</f>
        <v/>
      </c>
      <c r="J634" s="2" t="str">
        <f>_xlfn.XLOOKUP(E634,customers!$A$1:$A$1001,customers!$G$1:$G$1001)</f>
        <v>United States</v>
      </c>
      <c r="K634" t="str">
        <f>INDEX(products!$A$1:$G$49,MATCH($F634,products!$A$1:$A$49,0),MATCH(K$1,products!$A$1:$G$1,0))</f>
        <v>Ara</v>
      </c>
      <c r="L634" t="str">
        <f>INDEX(products!$A$1:$G$49,MATCH($F634,products!$A$1:$A$49,0),MATCH(L$1,products!$A$1:$G$1,0))</f>
        <v>M</v>
      </c>
      <c r="M634" s="5">
        <f>INDEX(products!$A$1:$G$49,MATCH($F634,products!$A$1:$A$49,0),MATCH(M$1,products!$A$1:$G$1,0))</f>
        <v>0.5</v>
      </c>
      <c r="N634" s="7">
        <f>INDEX(products!$A$1:$G$49,MATCH($F634,products!$A$1:$A$49,0),MATCH(N$1,products!$A$1:$G$1,0))</f>
        <v>6.75</v>
      </c>
      <c r="O634" s="7">
        <f t="shared" si="9"/>
        <v>27</v>
      </c>
      <c r="P634" t="str" cm="1">
        <f t="array" ref="P634">_xlfn.IFS(K634="Rob","Robusta",K634="Exc","Excelsa",K634="Ara","Arabica",K634="Lib","Liberica")</f>
        <v>Arabica</v>
      </c>
      <c r="Q634" t="str" cm="1">
        <f t="array" ref="Q634">_xlfn.IFS(L634="M","Medium",L634="L","Light",L634="D","Dark")</f>
        <v>Medium</v>
      </c>
      <c r="R634" t="str">
        <f>_xlfn.XLOOKUP(Orders[[#This Row],[Customer ID]],customers!$A$1:$A$1001,customers!$I$1:$I$1001)</f>
        <v>Yes</v>
      </c>
    </row>
    <row r="635" spans="1:18" x14ac:dyDescent="0.35">
      <c r="A635" s="2" t="s">
        <v>5753</v>
      </c>
      <c r="B635" s="4">
        <v>44607</v>
      </c>
      <c r="C635" s="23">
        <f>Orders[[#This Row],[Order Date]]</f>
        <v>44607</v>
      </c>
      <c r="D635" s="2">
        <f>YEAR(Orders[[#This Row],[Order Date]])</f>
        <v>2022</v>
      </c>
      <c r="E635" s="2" t="s">
        <v>5754</v>
      </c>
      <c r="F635" t="s">
        <v>6158</v>
      </c>
      <c r="G635" s="20">
        <v>4</v>
      </c>
      <c r="H635" s="2" t="str">
        <f>INDEX(customers!$A$1:$I$1001,MATCH($E635,customers!$A$1:$A$1001,),MATCH($H$1,customers!$A$1:$I$1,0))</f>
        <v>Mallory Shrimpling</v>
      </c>
      <c r="I635" s="2" t="str">
        <f>IF(INDEX(customers!$A$1:$I$1001,MATCH($E635,customers!$A$1:$A$1001,0),3)=0,"",INDEX(customers!$A$1:$I$1001,MATCH($E635,customers!$A$1:$A$1001,0),3))</f>
        <v/>
      </c>
      <c r="J635" s="2" t="str">
        <f>_xlfn.XLOOKUP(E635,customers!$A$1:$A$1001,customers!$G$1:$G$1001)</f>
        <v>United States</v>
      </c>
      <c r="K635" t="str">
        <f>INDEX(products!$A$1:$G$49,MATCH($F635,products!$A$1:$A$49,0),MATCH(K$1,products!$A$1:$G$1,0))</f>
        <v>Ara</v>
      </c>
      <c r="L635" t="str">
        <f>INDEX(products!$A$1:$G$49,MATCH($F635,products!$A$1:$A$49,0),MATCH(L$1,products!$A$1:$G$1,0))</f>
        <v>D</v>
      </c>
      <c r="M635" s="5">
        <f>INDEX(products!$A$1:$G$49,MATCH($F635,products!$A$1:$A$49,0),MATCH(M$1,products!$A$1:$G$1,0))</f>
        <v>0.5</v>
      </c>
      <c r="N635" s="7">
        <f>INDEX(products!$A$1:$G$49,MATCH($F635,products!$A$1:$A$49,0),MATCH(N$1,products!$A$1:$G$1,0))</f>
        <v>5.97</v>
      </c>
      <c r="O635" s="7">
        <f t="shared" si="9"/>
        <v>23.88</v>
      </c>
      <c r="P635" t="str" cm="1">
        <f t="array" ref="P635">_xlfn.IFS(K635="Rob","Robusta",K635="Exc","Excelsa",K635="Ara","Arabica",K635="Lib","Liberica")</f>
        <v>Arabica</v>
      </c>
      <c r="Q635" t="str" cm="1">
        <f t="array" ref="Q635">_xlfn.IFS(L635="M","Medium",L635="L","Light",L635="D","Dark")</f>
        <v>Dark</v>
      </c>
      <c r="R635" t="str">
        <f>_xlfn.XLOOKUP(Orders[[#This Row],[Customer ID]],customers!$A$1:$A$1001,customers!$I$1:$I$1001)</f>
        <v>Yes</v>
      </c>
    </row>
    <row r="636" spans="1:18" x14ac:dyDescent="0.35">
      <c r="A636" s="2" t="s">
        <v>3605</v>
      </c>
      <c r="B636" s="4">
        <v>44694</v>
      </c>
      <c r="C636" s="23">
        <f>Orders[[#This Row],[Order Date]]</f>
        <v>44694</v>
      </c>
      <c r="D636" s="2">
        <f>YEAR(Orders[[#This Row],[Order Date]])</f>
        <v>2022</v>
      </c>
      <c r="E636" s="2" t="s">
        <v>3606</v>
      </c>
      <c r="F636" t="s">
        <v>6153</v>
      </c>
      <c r="G636" s="20">
        <v>2</v>
      </c>
      <c r="H636" s="2" t="str">
        <f>INDEX(customers!$A$1:$I$1001,MATCH($E636,customers!$A$1:$A$1001,),MATCH($H$1,customers!$A$1:$I$1,0))</f>
        <v>Malynda Glawsop</v>
      </c>
      <c r="I636" s="2" t="str">
        <f>IF(INDEX(customers!$A$1:$I$1001,MATCH($E636,customers!$A$1:$A$1001,0),3)=0,"",INDEX(customers!$A$1:$I$1001,MATCH($E636,customers!$A$1:$A$1001,0),3))</f>
        <v>mglawsopfb@reverbnation.com</v>
      </c>
      <c r="J636" s="2" t="str">
        <f>_xlfn.XLOOKUP(E636,customers!$A$1:$A$1001,customers!$G$1:$G$1001)</f>
        <v>United States</v>
      </c>
      <c r="K636" t="str">
        <f>INDEX(products!$A$1:$G$49,MATCH($F636,products!$A$1:$A$49,0),MATCH(K$1,products!$A$1:$G$1,0))</f>
        <v>Exc</v>
      </c>
      <c r="L636" t="str">
        <f>INDEX(products!$A$1:$G$49,MATCH($F636,products!$A$1:$A$49,0),MATCH(L$1,products!$A$1:$G$1,0))</f>
        <v>D</v>
      </c>
      <c r="M636" s="5">
        <f>INDEX(products!$A$1:$G$49,MATCH($F636,products!$A$1:$A$49,0),MATCH(M$1,products!$A$1:$G$1,0))</f>
        <v>0.2</v>
      </c>
      <c r="N636" s="7">
        <f>INDEX(products!$A$1:$G$49,MATCH($F636,products!$A$1:$A$49,0),MATCH(N$1,products!$A$1:$G$1,0))</f>
        <v>3.645</v>
      </c>
      <c r="O636" s="7">
        <f t="shared" si="9"/>
        <v>7.29</v>
      </c>
      <c r="P636" t="str" cm="1">
        <f t="array" ref="P636">_xlfn.IFS(K636="Rob","Robusta",K636="Exc","Excelsa",K636="Ara","Arabica",K636="Lib","Liberica")</f>
        <v>Excelsa</v>
      </c>
      <c r="Q636" t="str" cm="1">
        <f t="array" ref="Q636">_xlfn.IFS(L636="M","Medium",L636="L","Light",L636="D","Dark")</f>
        <v>Dark</v>
      </c>
      <c r="R636" t="str">
        <f>_xlfn.XLOOKUP(Orders[[#This Row],[Customer ID]],customers!$A$1:$A$1001,customers!$I$1:$I$1001)</f>
        <v>No</v>
      </c>
    </row>
    <row r="637" spans="1:18" x14ac:dyDescent="0.35">
      <c r="A637" s="2" t="s">
        <v>3313</v>
      </c>
      <c r="B637" s="4">
        <v>44003</v>
      </c>
      <c r="C637" s="23">
        <f>Orders[[#This Row],[Order Date]]</f>
        <v>44003</v>
      </c>
      <c r="D637" s="2">
        <f>YEAR(Orders[[#This Row],[Order Date]])</f>
        <v>2020</v>
      </c>
      <c r="E637" s="2" t="s">
        <v>3314</v>
      </c>
      <c r="F637" t="s">
        <v>6163</v>
      </c>
      <c r="G637" s="20">
        <v>3</v>
      </c>
      <c r="H637" s="2" t="str">
        <f>INDEX(customers!$A$1:$I$1001,MATCH($E637,customers!$A$1:$A$1001,),MATCH($H$1,customers!$A$1:$I$1,0))</f>
        <v>Malynda Purbrick</v>
      </c>
      <c r="I637" s="2" t="str">
        <f>IF(INDEX(customers!$A$1:$I$1001,MATCH($E637,customers!$A$1:$A$1001,0),3)=0,"",INDEX(customers!$A$1:$I$1001,MATCH($E637,customers!$A$1:$A$1001,0),3))</f>
        <v/>
      </c>
      <c r="J637" s="2" t="str">
        <f>_xlfn.XLOOKUP(E637,customers!$A$1:$A$1001,customers!$G$1:$G$1001)</f>
        <v>Ireland</v>
      </c>
      <c r="K637" t="str">
        <f>INDEX(products!$A$1:$G$49,MATCH($F637,products!$A$1:$A$49,0),MATCH(K$1,products!$A$1:$G$1,0))</f>
        <v>Rob</v>
      </c>
      <c r="L637" t="str">
        <f>INDEX(products!$A$1:$G$49,MATCH($F637,products!$A$1:$A$49,0),MATCH(L$1,products!$A$1:$G$1,0))</f>
        <v>D</v>
      </c>
      <c r="M637" s="5">
        <f>INDEX(products!$A$1:$G$49,MATCH($F637,products!$A$1:$A$49,0),MATCH(M$1,products!$A$1:$G$1,0))</f>
        <v>0.2</v>
      </c>
      <c r="N637" s="7">
        <f>INDEX(products!$A$1:$G$49,MATCH($F637,products!$A$1:$A$49,0),MATCH(N$1,products!$A$1:$G$1,0))</f>
        <v>2.6849999999999996</v>
      </c>
      <c r="O637" s="7">
        <f t="shared" si="9"/>
        <v>8.0549999999999997</v>
      </c>
      <c r="P637" t="str" cm="1">
        <f t="array" ref="P637">_xlfn.IFS(K637="Rob","Robusta",K637="Exc","Excelsa",K637="Ara","Arabica",K637="Lib","Liberica")</f>
        <v>Robusta</v>
      </c>
      <c r="Q637" t="str" cm="1">
        <f t="array" ref="Q637">_xlfn.IFS(L637="M","Medium",L637="L","Light",L637="D","Dark")</f>
        <v>Dark</v>
      </c>
      <c r="R637" t="str">
        <f>_xlfn.XLOOKUP(Orders[[#This Row],[Customer ID]],customers!$A$1:$A$1001,customers!$I$1:$I$1001)</f>
        <v>Yes</v>
      </c>
    </row>
    <row r="638" spans="1:18" x14ac:dyDescent="0.35">
      <c r="A638" s="2" t="s">
        <v>5012</v>
      </c>
      <c r="B638" s="4">
        <v>44240</v>
      </c>
      <c r="C638" s="23">
        <f>Orders[[#This Row],[Order Date]]</f>
        <v>44240</v>
      </c>
      <c r="D638" s="2">
        <f>YEAR(Orders[[#This Row],[Order Date]])</f>
        <v>2021</v>
      </c>
      <c r="E638" s="2" t="s">
        <v>5013</v>
      </c>
      <c r="F638" t="s">
        <v>6163</v>
      </c>
      <c r="G638" s="20">
        <v>6</v>
      </c>
      <c r="H638" s="2" t="str">
        <f>INDEX(customers!$A$1:$I$1001,MATCH($E638,customers!$A$1:$A$1001,),MATCH($H$1,customers!$A$1:$I$1,0))</f>
        <v>Man Fright</v>
      </c>
      <c r="I638" s="2" t="str">
        <f>IF(INDEX(customers!$A$1:$I$1001,MATCH($E638,customers!$A$1:$A$1001,0),3)=0,"",INDEX(customers!$A$1:$I$1001,MATCH($E638,customers!$A$1:$A$1001,0),3))</f>
        <v>mfrightm8@harvard.edu</v>
      </c>
      <c r="J638" s="2" t="str">
        <f>_xlfn.XLOOKUP(E638,customers!$A$1:$A$1001,customers!$G$1:$G$1001)</f>
        <v>Ireland</v>
      </c>
      <c r="K638" t="str">
        <f>INDEX(products!$A$1:$G$49,MATCH($F638,products!$A$1:$A$49,0),MATCH(K$1,products!$A$1:$G$1,0))</f>
        <v>Rob</v>
      </c>
      <c r="L638" t="str">
        <f>INDEX(products!$A$1:$G$49,MATCH($F638,products!$A$1:$A$49,0),MATCH(L$1,products!$A$1:$G$1,0))</f>
        <v>D</v>
      </c>
      <c r="M638" s="5">
        <f>INDEX(products!$A$1:$G$49,MATCH($F638,products!$A$1:$A$49,0),MATCH(M$1,products!$A$1:$G$1,0))</f>
        <v>0.2</v>
      </c>
      <c r="N638" s="7">
        <f>INDEX(products!$A$1:$G$49,MATCH($F638,products!$A$1:$A$49,0),MATCH(N$1,products!$A$1:$G$1,0))</f>
        <v>2.6849999999999996</v>
      </c>
      <c r="O638" s="7">
        <f t="shared" si="9"/>
        <v>16.11</v>
      </c>
      <c r="P638" t="str" cm="1">
        <f t="array" ref="P638">_xlfn.IFS(K638="Rob","Robusta",K638="Exc","Excelsa",K638="Ara","Arabica",K638="Lib","Liberica")</f>
        <v>Robusta</v>
      </c>
      <c r="Q638" t="str" cm="1">
        <f t="array" ref="Q638">_xlfn.IFS(L638="M","Medium",L638="L","Light",L638="D","Dark")</f>
        <v>Dark</v>
      </c>
      <c r="R638" t="str">
        <f>_xlfn.XLOOKUP(Orders[[#This Row],[Customer ID]],customers!$A$1:$A$1001,customers!$I$1:$I$1001)</f>
        <v>No</v>
      </c>
    </row>
    <row r="639" spans="1:18" x14ac:dyDescent="0.35">
      <c r="A639" s="2" t="s">
        <v>2888</v>
      </c>
      <c r="B639" s="4">
        <v>43556</v>
      </c>
      <c r="C639" s="23">
        <f>Orders[[#This Row],[Order Date]]</f>
        <v>43556</v>
      </c>
      <c r="D639" s="2">
        <f>YEAR(Orders[[#This Row],[Order Date]])</f>
        <v>2019</v>
      </c>
      <c r="E639" s="2" t="s">
        <v>2889</v>
      </c>
      <c r="F639" t="s">
        <v>6178</v>
      </c>
      <c r="G639" s="20">
        <v>4</v>
      </c>
      <c r="H639" s="2" t="str">
        <f>INDEX(customers!$A$1:$I$1001,MATCH($E639,customers!$A$1:$A$1001,),MATCH($H$1,customers!$A$1:$I$1,0))</f>
        <v>Manuel Darrigoe</v>
      </c>
      <c r="I639" s="2" t="str">
        <f>IF(INDEX(customers!$A$1:$I$1001,MATCH($E639,customers!$A$1:$A$1001,0),3)=0,"",INDEX(customers!$A$1:$I$1001,MATCH($E639,customers!$A$1:$A$1001,0),3))</f>
        <v>mdarrigoebu@hud.gov</v>
      </c>
      <c r="J639" s="2" t="str">
        <f>_xlfn.XLOOKUP(E639,customers!$A$1:$A$1001,customers!$G$1:$G$1001)</f>
        <v>Ireland</v>
      </c>
      <c r="K639" t="str">
        <f>INDEX(products!$A$1:$G$49,MATCH($F639,products!$A$1:$A$49,0),MATCH(K$1,products!$A$1:$G$1,0))</f>
        <v>Rob</v>
      </c>
      <c r="L639" t="str">
        <f>INDEX(products!$A$1:$G$49,MATCH($F639,products!$A$1:$A$49,0),MATCH(L$1,products!$A$1:$G$1,0))</f>
        <v>L</v>
      </c>
      <c r="M639" s="5">
        <f>INDEX(products!$A$1:$G$49,MATCH($F639,products!$A$1:$A$49,0),MATCH(M$1,products!$A$1:$G$1,0))</f>
        <v>0.2</v>
      </c>
      <c r="N639" s="7">
        <f>INDEX(products!$A$1:$G$49,MATCH($F639,products!$A$1:$A$49,0),MATCH(N$1,products!$A$1:$G$1,0))</f>
        <v>3.5849999999999995</v>
      </c>
      <c r="O639" s="7">
        <f t="shared" si="9"/>
        <v>14.339999999999998</v>
      </c>
      <c r="P639" t="str" cm="1">
        <f t="array" ref="P639">_xlfn.IFS(K639="Rob","Robusta",K639="Exc","Excelsa",K639="Ara","Arabica",K639="Lib","Liberica")</f>
        <v>Robusta</v>
      </c>
      <c r="Q639" t="str" cm="1">
        <f t="array" ref="Q639">_xlfn.IFS(L639="M","Medium",L639="L","Light",L639="D","Dark")</f>
        <v>Light</v>
      </c>
      <c r="R639" t="str">
        <f>_xlfn.XLOOKUP(Orders[[#This Row],[Customer ID]],customers!$A$1:$A$1001,customers!$I$1:$I$1001)</f>
        <v>Yes</v>
      </c>
    </row>
    <row r="640" spans="1:18" x14ac:dyDescent="0.35">
      <c r="A640" s="2" t="s">
        <v>1975</v>
      </c>
      <c r="B640" s="4">
        <v>43577</v>
      </c>
      <c r="C640" s="23">
        <f>Orders[[#This Row],[Order Date]]</f>
        <v>43577</v>
      </c>
      <c r="D640" s="2">
        <f>YEAR(Orders[[#This Row],[Order Date]])</f>
        <v>2019</v>
      </c>
      <c r="E640" s="2" t="s">
        <v>1976</v>
      </c>
      <c r="F640" t="s">
        <v>6181</v>
      </c>
      <c r="G640" s="20">
        <v>4</v>
      </c>
      <c r="H640" s="2" t="str">
        <f>INDEX(customers!$A$1:$I$1001,MATCH($E640,customers!$A$1:$A$1001,),MATCH($H$1,customers!$A$1:$I$1,0))</f>
        <v>Mar McIver</v>
      </c>
      <c r="I640" s="2" t="str">
        <f>IF(INDEX(customers!$A$1:$I$1001,MATCH($E640,customers!$A$1:$A$1001,0),3)=0,"",INDEX(customers!$A$1:$I$1001,MATCH($E640,customers!$A$1:$A$1001,0),3))</f>
        <v/>
      </c>
      <c r="J640" s="2" t="str">
        <f>_xlfn.XLOOKUP(E640,customers!$A$1:$A$1001,customers!$G$1:$G$1001)</f>
        <v>United States</v>
      </c>
      <c r="K640" t="str">
        <f>INDEX(products!$A$1:$G$49,MATCH($F640,products!$A$1:$A$49,0),MATCH(K$1,products!$A$1:$G$1,0))</f>
        <v>Lib</v>
      </c>
      <c r="L640" t="str">
        <f>INDEX(products!$A$1:$G$49,MATCH($F640,products!$A$1:$A$49,0),MATCH(L$1,products!$A$1:$G$1,0))</f>
        <v>M</v>
      </c>
      <c r="M640" s="5">
        <f>INDEX(products!$A$1:$G$49,MATCH($F640,products!$A$1:$A$49,0),MATCH(M$1,products!$A$1:$G$1,0))</f>
        <v>2.5</v>
      </c>
      <c r="N640" s="7">
        <f>INDEX(products!$A$1:$G$49,MATCH($F640,products!$A$1:$A$49,0),MATCH(N$1,products!$A$1:$G$1,0))</f>
        <v>33.464999999999996</v>
      </c>
      <c r="O640" s="7">
        <f t="shared" si="9"/>
        <v>133.85999999999999</v>
      </c>
      <c r="P640" t="str" cm="1">
        <f t="array" ref="P640">_xlfn.IFS(K640="Rob","Robusta",K640="Exc","Excelsa",K640="Ara","Arabica",K640="Lib","Liberica")</f>
        <v>Liberica</v>
      </c>
      <c r="Q640" t="str" cm="1">
        <f t="array" ref="Q640">_xlfn.IFS(L640="M","Medium",L640="L","Light",L640="D","Dark")</f>
        <v>Medium</v>
      </c>
      <c r="R640" t="str">
        <f>_xlfn.XLOOKUP(Orders[[#This Row],[Customer ID]],customers!$A$1:$A$1001,customers!$I$1:$I$1001)</f>
        <v>No</v>
      </c>
    </row>
    <row r="641" spans="1:18" x14ac:dyDescent="0.35">
      <c r="A641" s="2" t="s">
        <v>6101</v>
      </c>
      <c r="B641" s="4">
        <v>44549</v>
      </c>
      <c r="C641" s="23">
        <f>Orders[[#This Row],[Order Date]]</f>
        <v>44549</v>
      </c>
      <c r="D641" s="2">
        <f>YEAR(Orders[[#This Row],[Order Date]])</f>
        <v>2021</v>
      </c>
      <c r="E641" s="2" t="s">
        <v>6102</v>
      </c>
      <c r="F641" t="s">
        <v>6140</v>
      </c>
      <c r="G641" s="20">
        <v>6</v>
      </c>
      <c r="H641" s="2" t="str">
        <f>INDEX(customers!$A$1:$I$1001,MATCH($E641,customers!$A$1:$A$1001,),MATCH($H$1,customers!$A$1:$I$1,0))</f>
        <v>Margarette Sterland</v>
      </c>
      <c r="I641" s="2" t="str">
        <f>IF(INDEX(customers!$A$1:$I$1001,MATCH($E641,customers!$A$1:$A$1001,0),3)=0,"",INDEX(customers!$A$1:$I$1001,MATCH($E641,customers!$A$1:$A$1001,0),3))</f>
        <v/>
      </c>
      <c r="J641" s="2" t="str">
        <f>_xlfn.XLOOKUP(E641,customers!$A$1:$A$1001,customers!$G$1:$G$1001)</f>
        <v>United States</v>
      </c>
      <c r="K641" t="str">
        <f>INDEX(products!$A$1:$G$49,MATCH($F641,products!$A$1:$A$49,0),MATCH(K$1,products!$A$1:$G$1,0))</f>
        <v>Ara</v>
      </c>
      <c r="L641" t="str">
        <f>INDEX(products!$A$1:$G$49,MATCH($F641,products!$A$1:$A$49,0),MATCH(L$1,products!$A$1:$G$1,0))</f>
        <v>L</v>
      </c>
      <c r="M641" s="5">
        <f>INDEX(products!$A$1:$G$49,MATCH($F641,products!$A$1:$A$49,0),MATCH(M$1,products!$A$1:$G$1,0))</f>
        <v>1</v>
      </c>
      <c r="N641" s="7">
        <f>INDEX(products!$A$1:$G$49,MATCH($F641,products!$A$1:$A$49,0),MATCH(N$1,products!$A$1:$G$1,0))</f>
        <v>12.95</v>
      </c>
      <c r="O641" s="7">
        <f t="shared" si="9"/>
        <v>77.699999999999989</v>
      </c>
      <c r="P641" t="str" cm="1">
        <f t="array" ref="P641">_xlfn.IFS(K641="Rob","Robusta",K641="Exc","Excelsa",K641="Ara","Arabica",K641="Lib","Liberica")</f>
        <v>Arabica</v>
      </c>
      <c r="Q641" t="str" cm="1">
        <f t="array" ref="Q641">_xlfn.IFS(L641="M","Medium",L641="L","Light",L641="D","Dark")</f>
        <v>Light</v>
      </c>
      <c r="R641" t="str">
        <f>_xlfn.XLOOKUP(Orders[[#This Row],[Customer ID]],customers!$A$1:$A$1001,customers!$I$1:$I$1001)</f>
        <v>No</v>
      </c>
    </row>
    <row r="642" spans="1:18" x14ac:dyDescent="0.35">
      <c r="A642" s="2" t="s">
        <v>5396</v>
      </c>
      <c r="B642" s="4">
        <v>43526</v>
      </c>
      <c r="C642" s="23">
        <f>Orders[[#This Row],[Order Date]]</f>
        <v>43526</v>
      </c>
      <c r="D642" s="2">
        <f>YEAR(Orders[[#This Row],[Order Date]])</f>
        <v>2019</v>
      </c>
      <c r="E642" s="2" t="s">
        <v>5397</v>
      </c>
      <c r="F642" t="s">
        <v>6139</v>
      </c>
      <c r="G642" s="20">
        <v>5</v>
      </c>
      <c r="H642" s="2" t="str">
        <f>INDEX(customers!$A$1:$I$1001,MATCH($E642,customers!$A$1:$A$1001,),MATCH($H$1,customers!$A$1:$I$1,0))</f>
        <v>Margie Palleske</v>
      </c>
      <c r="I642" s="2" t="str">
        <f>IF(INDEX(customers!$A$1:$I$1001,MATCH($E642,customers!$A$1:$A$1001,0),3)=0,"",INDEX(customers!$A$1:$I$1001,MATCH($E642,customers!$A$1:$A$1001,0),3))</f>
        <v>mpalleskeo4@nyu.edu</v>
      </c>
      <c r="J642" s="2" t="str">
        <f>_xlfn.XLOOKUP(E642,customers!$A$1:$A$1001,customers!$G$1:$G$1001)</f>
        <v>United States</v>
      </c>
      <c r="K642" t="str">
        <f>INDEX(products!$A$1:$G$49,MATCH($F642,products!$A$1:$A$49,0),MATCH(K$1,products!$A$1:$G$1,0))</f>
        <v>Exc</v>
      </c>
      <c r="L642" t="str">
        <f>INDEX(products!$A$1:$G$49,MATCH($F642,products!$A$1:$A$49,0),MATCH(L$1,products!$A$1:$G$1,0))</f>
        <v>M</v>
      </c>
      <c r="M642" s="5">
        <f>INDEX(products!$A$1:$G$49,MATCH($F642,products!$A$1:$A$49,0),MATCH(M$1,products!$A$1:$G$1,0))</f>
        <v>0.5</v>
      </c>
      <c r="N642" s="7">
        <f>INDEX(products!$A$1:$G$49,MATCH($F642,products!$A$1:$A$49,0),MATCH(N$1,products!$A$1:$G$1,0))</f>
        <v>8.25</v>
      </c>
      <c r="O642" s="7">
        <f t="shared" ref="O642:O705" si="10">N642*G642</f>
        <v>41.25</v>
      </c>
      <c r="P642" t="str" cm="1">
        <f t="array" ref="P642">_xlfn.IFS(K642="Rob","Robusta",K642="Exc","Excelsa",K642="Ara","Arabica",K642="Lib","Liberica")</f>
        <v>Excelsa</v>
      </c>
      <c r="Q642" t="str" cm="1">
        <f t="array" ref="Q642">_xlfn.IFS(L642="M","Medium",L642="L","Light",L642="D","Dark")</f>
        <v>Medium</v>
      </c>
      <c r="R642" t="str">
        <f>_xlfn.XLOOKUP(Orders[[#This Row],[Customer ID]],customers!$A$1:$A$1001,customers!$I$1:$I$1001)</f>
        <v>Yes</v>
      </c>
    </row>
    <row r="643" spans="1:18" x14ac:dyDescent="0.35">
      <c r="A643" s="2" t="s">
        <v>6086</v>
      </c>
      <c r="B643" s="4">
        <v>44718</v>
      </c>
      <c r="C643" s="23">
        <f>Orders[[#This Row],[Order Date]]</f>
        <v>44718</v>
      </c>
      <c r="D643" s="2">
        <f>YEAR(Orders[[#This Row],[Order Date]])</f>
        <v>2022</v>
      </c>
      <c r="E643" s="2" t="s">
        <v>6118</v>
      </c>
      <c r="F643" t="s">
        <v>6153</v>
      </c>
      <c r="G643" s="20">
        <v>5</v>
      </c>
      <c r="H643" s="2" t="str">
        <f>INDEX(customers!$A$1:$I$1001,MATCH($E643,customers!$A$1:$A$1001,),MATCH($H$1,customers!$A$1:$I$1,0))</f>
        <v>Marguerite Graves</v>
      </c>
      <c r="I643" s="2" t="str">
        <f>IF(INDEX(customers!$A$1:$I$1001,MATCH($E643,customers!$A$1:$A$1001,0),3)=0,"",INDEX(customers!$A$1:$I$1001,MATCH($E643,customers!$A$1:$A$1001,0),3))</f>
        <v/>
      </c>
      <c r="J643" s="2" t="str">
        <f>_xlfn.XLOOKUP(E643,customers!$A$1:$A$1001,customers!$G$1:$G$1001)</f>
        <v>United States</v>
      </c>
      <c r="K643" t="str">
        <f>INDEX(products!$A$1:$G$49,MATCH($F643,products!$A$1:$A$49,0),MATCH(K$1,products!$A$1:$G$1,0))</f>
        <v>Exc</v>
      </c>
      <c r="L643" t="str">
        <f>INDEX(products!$A$1:$G$49,MATCH($F643,products!$A$1:$A$49,0),MATCH(L$1,products!$A$1:$G$1,0))</f>
        <v>D</v>
      </c>
      <c r="M643" s="5">
        <f>INDEX(products!$A$1:$G$49,MATCH($F643,products!$A$1:$A$49,0),MATCH(M$1,products!$A$1:$G$1,0))</f>
        <v>0.2</v>
      </c>
      <c r="N643" s="7">
        <f>INDEX(products!$A$1:$G$49,MATCH($F643,products!$A$1:$A$49,0),MATCH(N$1,products!$A$1:$G$1,0))</f>
        <v>3.645</v>
      </c>
      <c r="O643" s="7">
        <f t="shared" si="10"/>
        <v>18.225000000000001</v>
      </c>
      <c r="P643" t="str" cm="1">
        <f t="array" ref="P643">_xlfn.IFS(K643="Rob","Robusta",K643="Exc","Excelsa",K643="Ara","Arabica",K643="Lib","Liberica")</f>
        <v>Excelsa</v>
      </c>
      <c r="Q643" t="str" cm="1">
        <f t="array" ref="Q643">_xlfn.IFS(L643="M","Medium",L643="L","Light",L643="D","Dark")</f>
        <v>Dark</v>
      </c>
      <c r="R643" t="str">
        <f>_xlfn.XLOOKUP(Orders[[#This Row],[Customer ID]],customers!$A$1:$A$1001,customers!$I$1:$I$1001)</f>
        <v>No</v>
      </c>
    </row>
    <row r="644" spans="1:18" x14ac:dyDescent="0.35">
      <c r="A644" s="2" t="s">
        <v>6086</v>
      </c>
      <c r="B644" s="4">
        <v>44718</v>
      </c>
      <c r="C644" s="23">
        <f>Orders[[#This Row],[Order Date]]</f>
        <v>44718</v>
      </c>
      <c r="D644" s="2">
        <f>YEAR(Orders[[#This Row],[Order Date]])</f>
        <v>2022</v>
      </c>
      <c r="E644" s="2" t="s">
        <v>6118</v>
      </c>
      <c r="F644" t="s">
        <v>6169</v>
      </c>
      <c r="G644" s="20">
        <v>2</v>
      </c>
      <c r="H644" s="2" t="str">
        <f>INDEX(customers!$A$1:$I$1001,MATCH($E644,customers!$A$1:$A$1001,),MATCH($H$1,customers!$A$1:$I$1,0))</f>
        <v>Marguerite Graves</v>
      </c>
      <c r="I644" s="2" t="str">
        <f>IF(INDEX(customers!$A$1:$I$1001,MATCH($E644,customers!$A$1:$A$1001,0),3)=0,"",INDEX(customers!$A$1:$I$1001,MATCH($E644,customers!$A$1:$A$1001,0),3))</f>
        <v/>
      </c>
      <c r="J644" s="2" t="str">
        <f>_xlfn.XLOOKUP(E644,customers!$A$1:$A$1001,customers!$G$1:$G$1001)</f>
        <v>United States</v>
      </c>
      <c r="K644" t="str">
        <f>INDEX(products!$A$1:$G$49,MATCH($F644,products!$A$1:$A$49,0),MATCH(K$1,products!$A$1:$G$1,0))</f>
        <v>Lib</v>
      </c>
      <c r="L644" t="str">
        <f>INDEX(products!$A$1:$G$49,MATCH($F644,products!$A$1:$A$49,0),MATCH(L$1,products!$A$1:$G$1,0))</f>
        <v>D</v>
      </c>
      <c r="M644" s="5">
        <f>INDEX(products!$A$1:$G$49,MATCH($F644,products!$A$1:$A$49,0),MATCH(M$1,products!$A$1:$G$1,0))</f>
        <v>0.5</v>
      </c>
      <c r="N644" s="7">
        <f>INDEX(products!$A$1:$G$49,MATCH($F644,products!$A$1:$A$49,0),MATCH(N$1,products!$A$1:$G$1,0))</f>
        <v>7.77</v>
      </c>
      <c r="O644" s="7">
        <f t="shared" si="10"/>
        <v>15.54</v>
      </c>
      <c r="P644" t="str" cm="1">
        <f t="array" ref="P644">_xlfn.IFS(K644="Rob","Robusta",K644="Exc","Excelsa",K644="Ara","Arabica",K644="Lib","Liberica")</f>
        <v>Liberica</v>
      </c>
      <c r="Q644" t="str" cm="1">
        <f t="array" ref="Q644">_xlfn.IFS(L644="M","Medium",L644="L","Light",L644="D","Dark")</f>
        <v>Dark</v>
      </c>
      <c r="R644" t="str">
        <f>_xlfn.XLOOKUP(Orders[[#This Row],[Customer ID]],customers!$A$1:$A$1001,customers!$I$1:$I$1001)</f>
        <v>No</v>
      </c>
    </row>
    <row r="645" spans="1:18" x14ac:dyDescent="0.35">
      <c r="A645" s="2" t="s">
        <v>6117</v>
      </c>
      <c r="B645" s="4">
        <v>44685</v>
      </c>
      <c r="C645" s="23">
        <f>Orders[[#This Row],[Order Date]]</f>
        <v>44685</v>
      </c>
      <c r="D645" s="2">
        <f>YEAR(Orders[[#This Row],[Order Date]])</f>
        <v>2022</v>
      </c>
      <c r="E645" s="2" t="s">
        <v>6118</v>
      </c>
      <c r="F645" t="s">
        <v>6146</v>
      </c>
      <c r="G645" s="20">
        <v>5</v>
      </c>
      <c r="H645" s="2" t="str">
        <f>INDEX(customers!$A$1:$I$1001,MATCH($E645,customers!$A$1:$A$1001,),MATCH($H$1,customers!$A$1:$I$1,0))</f>
        <v>Marguerite Graves</v>
      </c>
      <c r="I645" s="2" t="str">
        <f>IF(INDEX(customers!$A$1:$I$1001,MATCH($E645,customers!$A$1:$A$1001,0),3)=0,"",INDEX(customers!$A$1:$I$1001,MATCH($E645,customers!$A$1:$A$1001,0),3))</f>
        <v/>
      </c>
      <c r="J645" s="2" t="str">
        <f>_xlfn.XLOOKUP(E645,customers!$A$1:$A$1001,customers!$G$1:$G$1001)</f>
        <v>United States</v>
      </c>
      <c r="K645" t="str">
        <f>INDEX(products!$A$1:$G$49,MATCH($F645,products!$A$1:$A$49,0),MATCH(K$1,products!$A$1:$G$1,0))</f>
        <v>Rob</v>
      </c>
      <c r="L645" t="str">
        <f>INDEX(products!$A$1:$G$49,MATCH($F645,products!$A$1:$A$49,0),MATCH(L$1,products!$A$1:$G$1,0))</f>
        <v>M</v>
      </c>
      <c r="M645" s="5">
        <f>INDEX(products!$A$1:$G$49,MATCH($F645,products!$A$1:$A$49,0),MATCH(M$1,products!$A$1:$G$1,0))</f>
        <v>0.5</v>
      </c>
      <c r="N645" s="7">
        <f>INDEX(products!$A$1:$G$49,MATCH($F645,products!$A$1:$A$49,0),MATCH(N$1,products!$A$1:$G$1,0))</f>
        <v>5.97</v>
      </c>
      <c r="O645" s="7">
        <f t="shared" si="10"/>
        <v>29.849999999999998</v>
      </c>
      <c r="P645" t="str" cm="1">
        <f t="array" ref="P645">_xlfn.IFS(K645="Rob","Robusta",K645="Exc","Excelsa",K645="Ara","Arabica",K645="Lib","Liberica")</f>
        <v>Robusta</v>
      </c>
      <c r="Q645" t="str" cm="1">
        <f t="array" ref="Q645">_xlfn.IFS(L645="M","Medium",L645="L","Light",L645="D","Dark")</f>
        <v>Medium</v>
      </c>
      <c r="R645" t="str">
        <f>_xlfn.XLOOKUP(Orders[[#This Row],[Customer ID]],customers!$A$1:$A$1001,customers!$I$1:$I$1001)</f>
        <v>No</v>
      </c>
    </row>
    <row r="646" spans="1:18" x14ac:dyDescent="0.35">
      <c r="A646" s="2" t="s">
        <v>6122</v>
      </c>
      <c r="B646" s="4">
        <v>43749</v>
      </c>
      <c r="C646" s="23">
        <f>Orders[[#This Row],[Order Date]]</f>
        <v>43749</v>
      </c>
      <c r="D646" s="2">
        <f>YEAR(Orders[[#This Row],[Order Date]])</f>
        <v>2019</v>
      </c>
      <c r="E646" s="2" t="s">
        <v>6118</v>
      </c>
      <c r="F646" t="s">
        <v>6157</v>
      </c>
      <c r="G646" s="20">
        <v>4</v>
      </c>
      <c r="H646" s="2" t="str">
        <f>INDEX(customers!$A$1:$I$1001,MATCH($E646,customers!$A$1:$A$1001,),MATCH($H$1,customers!$A$1:$I$1,0))</f>
        <v>Marguerite Graves</v>
      </c>
      <c r="I646" s="2" t="str">
        <f>IF(INDEX(customers!$A$1:$I$1001,MATCH($E646,customers!$A$1:$A$1001,0),3)=0,"",INDEX(customers!$A$1:$I$1001,MATCH($E646,customers!$A$1:$A$1001,0),3))</f>
        <v/>
      </c>
      <c r="J646" s="2" t="str">
        <f>_xlfn.XLOOKUP(E646,customers!$A$1:$A$1001,customers!$G$1:$G$1001)</f>
        <v>United States</v>
      </c>
      <c r="K646" t="str">
        <f>INDEX(products!$A$1:$G$49,MATCH($F646,products!$A$1:$A$49,0),MATCH(K$1,products!$A$1:$G$1,0))</f>
        <v>Ara</v>
      </c>
      <c r="L646" t="str">
        <f>INDEX(products!$A$1:$G$49,MATCH($F646,products!$A$1:$A$49,0),MATCH(L$1,products!$A$1:$G$1,0))</f>
        <v>M</v>
      </c>
      <c r="M646" s="5">
        <f>INDEX(products!$A$1:$G$49,MATCH($F646,products!$A$1:$A$49,0),MATCH(M$1,products!$A$1:$G$1,0))</f>
        <v>0.5</v>
      </c>
      <c r="N646" s="7">
        <f>INDEX(products!$A$1:$G$49,MATCH($F646,products!$A$1:$A$49,0),MATCH(N$1,products!$A$1:$G$1,0))</f>
        <v>6.75</v>
      </c>
      <c r="O646" s="7">
        <f t="shared" si="10"/>
        <v>27</v>
      </c>
      <c r="P646" t="str" cm="1">
        <f t="array" ref="P646">_xlfn.IFS(K646="Rob","Robusta",K646="Exc","Excelsa",K646="Ara","Arabica",K646="Lib","Liberica")</f>
        <v>Arabica</v>
      </c>
      <c r="Q646" t="str" cm="1">
        <f t="array" ref="Q646">_xlfn.IFS(L646="M","Medium",L646="L","Light",L646="D","Dark")</f>
        <v>Medium</v>
      </c>
      <c r="R646" t="str">
        <f>_xlfn.XLOOKUP(Orders[[#This Row],[Customer ID]],customers!$A$1:$A$1001,customers!$I$1:$I$1001)</f>
        <v>No</v>
      </c>
    </row>
    <row r="647" spans="1:18" x14ac:dyDescent="0.35">
      <c r="A647" s="2" t="s">
        <v>2492</v>
      </c>
      <c r="B647" s="4">
        <v>44358</v>
      </c>
      <c r="C647" s="23">
        <f>Orders[[#This Row],[Order Date]]</f>
        <v>44358</v>
      </c>
      <c r="D647" s="2">
        <f>YEAR(Orders[[#This Row],[Order Date]])</f>
        <v>2021</v>
      </c>
      <c r="E647" s="2" t="s">
        <v>2493</v>
      </c>
      <c r="F647" t="s">
        <v>6168</v>
      </c>
      <c r="G647" s="20">
        <v>5</v>
      </c>
      <c r="H647" s="2" t="str">
        <f>INDEX(customers!$A$1:$I$1001,MATCH($E647,customers!$A$1:$A$1001,),MATCH($H$1,customers!$A$1:$I$1,0))</f>
        <v>Marianna Vedmore</v>
      </c>
      <c r="I647" s="2" t="str">
        <f>IF(INDEX(customers!$A$1:$I$1001,MATCH($E647,customers!$A$1:$A$1001,0),3)=0,"",INDEX(customers!$A$1:$I$1001,MATCH($E647,customers!$A$1:$A$1001,0),3))</f>
        <v>mvedmore9v@a8.net</v>
      </c>
      <c r="J647" s="2" t="str">
        <f>_xlfn.XLOOKUP(E647,customers!$A$1:$A$1001,customers!$G$1:$G$1001)</f>
        <v>United States</v>
      </c>
      <c r="K647" t="str">
        <f>INDEX(products!$A$1:$G$49,MATCH($F647,products!$A$1:$A$49,0),MATCH(K$1,products!$A$1:$G$1,0))</f>
        <v>Ara</v>
      </c>
      <c r="L647" t="str">
        <f>INDEX(products!$A$1:$G$49,MATCH($F647,products!$A$1:$A$49,0),MATCH(L$1,products!$A$1:$G$1,0))</f>
        <v>D</v>
      </c>
      <c r="M647" s="5">
        <f>INDEX(products!$A$1:$G$49,MATCH($F647,products!$A$1:$A$49,0),MATCH(M$1,products!$A$1:$G$1,0))</f>
        <v>2.5</v>
      </c>
      <c r="N647" s="7">
        <f>INDEX(products!$A$1:$G$49,MATCH($F647,products!$A$1:$A$49,0),MATCH(N$1,products!$A$1:$G$1,0))</f>
        <v>22.884999999999998</v>
      </c>
      <c r="O647" s="7">
        <f t="shared" si="10"/>
        <v>114.42499999999998</v>
      </c>
      <c r="P647" t="str" cm="1">
        <f t="array" ref="P647">_xlfn.IFS(K647="Rob","Robusta",K647="Exc","Excelsa",K647="Ara","Arabica",K647="Lib","Liberica")</f>
        <v>Arabica</v>
      </c>
      <c r="Q647" t="str" cm="1">
        <f t="array" ref="Q647">_xlfn.IFS(L647="M","Medium",L647="L","Light",L647="D","Dark")</f>
        <v>Dark</v>
      </c>
      <c r="R647" t="str">
        <f>_xlfn.XLOOKUP(Orders[[#This Row],[Customer ID]],customers!$A$1:$A$1001,customers!$I$1:$I$1001)</f>
        <v>Yes</v>
      </c>
    </row>
    <row r="648" spans="1:18" x14ac:dyDescent="0.35">
      <c r="A648" s="2" t="s">
        <v>1106</v>
      </c>
      <c r="B648" s="4">
        <v>44727</v>
      </c>
      <c r="C648" s="23">
        <f>Orders[[#This Row],[Order Date]]</f>
        <v>44727</v>
      </c>
      <c r="D648" s="2">
        <f>YEAR(Orders[[#This Row],[Order Date]])</f>
        <v>2022</v>
      </c>
      <c r="E648" s="2" t="s">
        <v>1107</v>
      </c>
      <c r="F648" t="s">
        <v>6184</v>
      </c>
      <c r="G648" s="20">
        <v>3</v>
      </c>
      <c r="H648" s="2" t="str">
        <f>INDEX(customers!$A$1:$I$1001,MATCH($E648,customers!$A$1:$A$1001,),MATCH($H$1,customers!$A$1:$I$1,0))</f>
        <v>Marie-jeanne Redgrave</v>
      </c>
      <c r="I648" s="2" t="str">
        <f>IF(INDEX(customers!$A$1:$I$1001,MATCH($E648,customers!$A$1:$A$1001,0),3)=0,"",INDEX(customers!$A$1:$I$1001,MATCH($E648,customers!$A$1:$A$1001,0),3))</f>
        <v>mredgrave32@cargocollective.com</v>
      </c>
      <c r="J648" s="2" t="str">
        <f>_xlfn.XLOOKUP(E648,customers!$A$1:$A$1001,customers!$G$1:$G$1001)</f>
        <v>United States</v>
      </c>
      <c r="K648" t="str">
        <f>INDEX(products!$A$1:$G$49,MATCH($F648,products!$A$1:$A$49,0),MATCH(K$1,products!$A$1:$G$1,0))</f>
        <v>Exc</v>
      </c>
      <c r="L648" t="str">
        <f>INDEX(products!$A$1:$G$49,MATCH($F648,products!$A$1:$A$49,0),MATCH(L$1,products!$A$1:$G$1,0))</f>
        <v>L</v>
      </c>
      <c r="M648" s="5">
        <f>INDEX(products!$A$1:$G$49,MATCH($F648,products!$A$1:$A$49,0),MATCH(M$1,products!$A$1:$G$1,0))</f>
        <v>0.2</v>
      </c>
      <c r="N648" s="7">
        <f>INDEX(products!$A$1:$G$49,MATCH($F648,products!$A$1:$A$49,0),MATCH(N$1,products!$A$1:$G$1,0))</f>
        <v>4.4550000000000001</v>
      </c>
      <c r="O648" s="7">
        <f t="shared" si="10"/>
        <v>13.365</v>
      </c>
      <c r="P648" t="str" cm="1">
        <f t="array" ref="P648">_xlfn.IFS(K648="Rob","Robusta",K648="Exc","Excelsa",K648="Ara","Arabica",K648="Lib","Liberica")</f>
        <v>Excelsa</v>
      </c>
      <c r="Q648" t="str" cm="1">
        <f t="array" ref="Q648">_xlfn.IFS(L648="M","Medium",L648="L","Light",L648="D","Dark")</f>
        <v>Light</v>
      </c>
      <c r="R648" t="str">
        <f>_xlfn.XLOOKUP(Orders[[#This Row],[Customer ID]],customers!$A$1:$A$1001,customers!$I$1:$I$1001)</f>
        <v>Yes</v>
      </c>
    </row>
    <row r="649" spans="1:18" x14ac:dyDescent="0.35">
      <c r="A649" s="2" t="s">
        <v>3638</v>
      </c>
      <c r="B649" s="4">
        <v>44506</v>
      </c>
      <c r="C649" s="23">
        <f>Orders[[#This Row],[Order Date]]</f>
        <v>44506</v>
      </c>
      <c r="D649" s="2">
        <f>YEAR(Orders[[#This Row],[Order Date]])</f>
        <v>2021</v>
      </c>
      <c r="E649" s="2" t="s">
        <v>3368</v>
      </c>
      <c r="F649" t="s">
        <v>6171</v>
      </c>
      <c r="G649" s="20">
        <v>4</v>
      </c>
      <c r="H649" s="2" t="str">
        <f>INDEX(customers!$A$1:$I$1001,MATCH($E649,customers!$A$1:$A$1001,),MATCH($H$1,customers!$A$1:$I$1,0))</f>
        <v>Marja Urion</v>
      </c>
      <c r="I649" s="2" t="str">
        <f>IF(INDEX(customers!$A$1:$I$1001,MATCH($E649,customers!$A$1:$A$1001,0),3)=0,"",INDEX(customers!$A$1:$I$1001,MATCH($E649,customers!$A$1:$A$1001,0),3))</f>
        <v>murione5@alexa.com</v>
      </c>
      <c r="J649" s="2" t="str">
        <f>_xlfn.XLOOKUP(E649,customers!$A$1:$A$1001,customers!$G$1:$G$1001)</f>
        <v>Ireland</v>
      </c>
      <c r="K649" t="str">
        <f>INDEX(products!$A$1:$G$49,MATCH($F649,products!$A$1:$A$49,0),MATCH(K$1,products!$A$1:$G$1,0))</f>
        <v>Exc</v>
      </c>
      <c r="L649" t="str">
        <f>INDEX(products!$A$1:$G$49,MATCH($F649,products!$A$1:$A$49,0),MATCH(L$1,products!$A$1:$G$1,0))</f>
        <v>L</v>
      </c>
      <c r="M649" s="5">
        <f>INDEX(products!$A$1:$G$49,MATCH($F649,products!$A$1:$A$49,0),MATCH(M$1,products!$A$1:$G$1,0))</f>
        <v>1</v>
      </c>
      <c r="N649" s="7">
        <f>INDEX(products!$A$1:$G$49,MATCH($F649,products!$A$1:$A$49,0),MATCH(N$1,products!$A$1:$G$1,0))</f>
        <v>14.85</v>
      </c>
      <c r="O649" s="7">
        <f t="shared" si="10"/>
        <v>59.4</v>
      </c>
      <c r="P649" t="str" cm="1">
        <f t="array" ref="P649">_xlfn.IFS(K649="Rob","Robusta",K649="Exc","Excelsa",K649="Ara","Arabica",K649="Lib","Liberica")</f>
        <v>Excelsa</v>
      </c>
      <c r="Q649" t="str" cm="1">
        <f t="array" ref="Q649">_xlfn.IFS(L649="M","Medium",L649="L","Light",L649="D","Dark")</f>
        <v>Light</v>
      </c>
      <c r="R649" t="str">
        <f>_xlfn.XLOOKUP(Orders[[#This Row],[Customer ID]],customers!$A$1:$A$1001,customers!$I$1:$I$1001)</f>
        <v>Yes</v>
      </c>
    </row>
    <row r="650" spans="1:18" x14ac:dyDescent="0.35">
      <c r="A650" s="2" t="s">
        <v>3307</v>
      </c>
      <c r="B650" s="4">
        <v>44159</v>
      </c>
      <c r="C650" s="23">
        <f>Orders[[#This Row],[Order Date]]</f>
        <v>44159</v>
      </c>
      <c r="D650" s="2">
        <f>YEAR(Orders[[#This Row],[Order Date]])</f>
        <v>2020</v>
      </c>
      <c r="E650" s="2" t="s">
        <v>3368</v>
      </c>
      <c r="F650" t="s">
        <v>6138</v>
      </c>
      <c r="G650" s="20">
        <v>5</v>
      </c>
      <c r="H650" s="2" t="str">
        <f>INDEX(customers!$A$1:$I$1001,MATCH($E650,customers!$A$1:$A$1001,),MATCH($H$1,customers!$A$1:$I$1,0))</f>
        <v>Marja Urion</v>
      </c>
      <c r="I650" s="2" t="str">
        <f>IF(INDEX(customers!$A$1:$I$1001,MATCH($E650,customers!$A$1:$A$1001,0),3)=0,"",INDEX(customers!$A$1:$I$1001,MATCH($E650,customers!$A$1:$A$1001,0),3))</f>
        <v>murione5@alexa.com</v>
      </c>
      <c r="J650" s="2" t="str">
        <f>_xlfn.XLOOKUP(E650,customers!$A$1:$A$1001,customers!$G$1:$G$1001)</f>
        <v>Ireland</v>
      </c>
      <c r="K650" t="str">
        <f>INDEX(products!$A$1:$G$49,MATCH($F650,products!$A$1:$A$49,0),MATCH(K$1,products!$A$1:$G$1,0))</f>
        <v>Rob</v>
      </c>
      <c r="L650" t="str">
        <f>INDEX(products!$A$1:$G$49,MATCH($F650,products!$A$1:$A$49,0),MATCH(L$1,products!$A$1:$G$1,0))</f>
        <v>M</v>
      </c>
      <c r="M650" s="5">
        <f>INDEX(products!$A$1:$G$49,MATCH($F650,products!$A$1:$A$49,0),MATCH(M$1,products!$A$1:$G$1,0))</f>
        <v>1</v>
      </c>
      <c r="N650" s="7">
        <f>INDEX(products!$A$1:$G$49,MATCH($F650,products!$A$1:$A$49,0),MATCH(N$1,products!$A$1:$G$1,0))</f>
        <v>9.9499999999999993</v>
      </c>
      <c r="O650" s="7">
        <f t="shared" si="10"/>
        <v>49.75</v>
      </c>
      <c r="P650" t="str" cm="1">
        <f t="array" ref="P650">_xlfn.IFS(K650="Rob","Robusta",K650="Exc","Excelsa",K650="Ara","Arabica",K650="Lib","Liberica")</f>
        <v>Robusta</v>
      </c>
      <c r="Q650" t="str" cm="1">
        <f t="array" ref="Q650">_xlfn.IFS(L650="M","Medium",L650="L","Light",L650="D","Dark")</f>
        <v>Medium</v>
      </c>
      <c r="R650" t="str">
        <f>_xlfn.XLOOKUP(Orders[[#This Row],[Customer ID]],customers!$A$1:$A$1001,customers!$I$1:$I$1001)</f>
        <v>Yes</v>
      </c>
    </row>
    <row r="651" spans="1:18" x14ac:dyDescent="0.35">
      <c r="A651" s="2" t="s">
        <v>3424</v>
      </c>
      <c r="B651" s="4">
        <v>44026</v>
      </c>
      <c r="C651" s="23">
        <f>Orders[[#This Row],[Order Date]]</f>
        <v>44026</v>
      </c>
      <c r="D651" s="2">
        <f>YEAR(Orders[[#This Row],[Order Date]])</f>
        <v>2020</v>
      </c>
      <c r="E651" s="2" t="s">
        <v>3368</v>
      </c>
      <c r="F651" t="s">
        <v>6158</v>
      </c>
      <c r="G651" s="20">
        <v>2</v>
      </c>
      <c r="H651" s="2" t="str">
        <f>INDEX(customers!$A$1:$I$1001,MATCH($E651,customers!$A$1:$A$1001,),MATCH($H$1,customers!$A$1:$I$1,0))</f>
        <v>Marja Urion</v>
      </c>
      <c r="I651" s="2" t="str">
        <f>IF(INDEX(customers!$A$1:$I$1001,MATCH($E651,customers!$A$1:$A$1001,0),3)=0,"",INDEX(customers!$A$1:$I$1001,MATCH($E651,customers!$A$1:$A$1001,0),3))</f>
        <v>murione5@alexa.com</v>
      </c>
      <c r="J651" s="2" t="str">
        <f>_xlfn.XLOOKUP(E651,customers!$A$1:$A$1001,customers!$G$1:$G$1001)</f>
        <v>Ireland</v>
      </c>
      <c r="K651" t="str">
        <f>INDEX(products!$A$1:$G$49,MATCH($F651,products!$A$1:$A$49,0),MATCH(K$1,products!$A$1:$G$1,0))</f>
        <v>Ara</v>
      </c>
      <c r="L651" t="str">
        <f>INDEX(products!$A$1:$G$49,MATCH($F651,products!$A$1:$A$49,0),MATCH(L$1,products!$A$1:$G$1,0))</f>
        <v>D</v>
      </c>
      <c r="M651" s="5">
        <f>INDEX(products!$A$1:$G$49,MATCH($F651,products!$A$1:$A$49,0),MATCH(M$1,products!$A$1:$G$1,0))</f>
        <v>0.5</v>
      </c>
      <c r="N651" s="7">
        <f>INDEX(products!$A$1:$G$49,MATCH($F651,products!$A$1:$A$49,0),MATCH(N$1,products!$A$1:$G$1,0))</f>
        <v>5.97</v>
      </c>
      <c r="O651" s="7">
        <f t="shared" si="10"/>
        <v>11.94</v>
      </c>
      <c r="P651" t="str" cm="1">
        <f t="array" ref="P651">_xlfn.IFS(K651="Rob","Robusta",K651="Exc","Excelsa",K651="Ara","Arabica",K651="Lib","Liberica")</f>
        <v>Arabica</v>
      </c>
      <c r="Q651" t="str" cm="1">
        <f t="array" ref="Q651">_xlfn.IFS(L651="M","Medium",L651="L","Light",L651="D","Dark")</f>
        <v>Dark</v>
      </c>
      <c r="R651" t="str">
        <f>_xlfn.XLOOKUP(Orders[[#This Row],[Customer ID]],customers!$A$1:$A$1001,customers!$I$1:$I$1001)</f>
        <v>Yes</v>
      </c>
    </row>
    <row r="652" spans="1:18" x14ac:dyDescent="0.35">
      <c r="A652" s="2" t="s">
        <v>3367</v>
      </c>
      <c r="B652" s="4">
        <v>43785</v>
      </c>
      <c r="C652" s="23">
        <f>Orders[[#This Row],[Order Date]]</f>
        <v>43785</v>
      </c>
      <c r="D652" s="2">
        <f>YEAR(Orders[[#This Row],[Order Date]])</f>
        <v>2019</v>
      </c>
      <c r="E652" s="2" t="s">
        <v>3368</v>
      </c>
      <c r="F652" t="s">
        <v>6147</v>
      </c>
      <c r="G652" s="20">
        <v>3</v>
      </c>
      <c r="H652" s="2" t="str">
        <f>INDEX(customers!$A$1:$I$1001,MATCH($E652,customers!$A$1:$A$1001,),MATCH($H$1,customers!$A$1:$I$1,0))</f>
        <v>Marja Urion</v>
      </c>
      <c r="I652" s="2" t="str">
        <f>IF(INDEX(customers!$A$1:$I$1001,MATCH($E652,customers!$A$1:$A$1001,0),3)=0,"",INDEX(customers!$A$1:$I$1001,MATCH($E652,customers!$A$1:$A$1001,0),3))</f>
        <v>murione5@alexa.com</v>
      </c>
      <c r="J652" s="2" t="str">
        <f>_xlfn.XLOOKUP(E652,customers!$A$1:$A$1001,customers!$G$1:$G$1001)</f>
        <v>Ireland</v>
      </c>
      <c r="K652" t="str">
        <f>INDEX(products!$A$1:$G$49,MATCH($F652,products!$A$1:$A$49,0),MATCH(K$1,products!$A$1:$G$1,0))</f>
        <v>Ara</v>
      </c>
      <c r="L652" t="str">
        <f>INDEX(products!$A$1:$G$49,MATCH($F652,products!$A$1:$A$49,0),MATCH(L$1,products!$A$1:$G$1,0))</f>
        <v>D</v>
      </c>
      <c r="M652" s="5">
        <f>INDEX(products!$A$1:$G$49,MATCH($F652,products!$A$1:$A$49,0),MATCH(M$1,products!$A$1:$G$1,0))</f>
        <v>1</v>
      </c>
      <c r="N652" s="7">
        <f>INDEX(products!$A$1:$G$49,MATCH($F652,products!$A$1:$A$49,0),MATCH(N$1,products!$A$1:$G$1,0))</f>
        <v>9.9499999999999993</v>
      </c>
      <c r="O652" s="7">
        <f t="shared" si="10"/>
        <v>29.849999999999998</v>
      </c>
      <c r="P652" t="str" cm="1">
        <f t="array" ref="P652">_xlfn.IFS(K652="Rob","Robusta",K652="Exc","Excelsa",K652="Ara","Arabica",K652="Lib","Liberica")</f>
        <v>Arabica</v>
      </c>
      <c r="Q652" t="str" cm="1">
        <f t="array" ref="Q652">_xlfn.IFS(L652="M","Medium",L652="L","Light",L652="D","Dark")</f>
        <v>Dark</v>
      </c>
      <c r="R652" t="str">
        <f>_xlfn.XLOOKUP(Orders[[#This Row],[Customer ID]],customers!$A$1:$A$1001,customers!$I$1:$I$1001)</f>
        <v>Yes</v>
      </c>
    </row>
    <row r="653" spans="1:18" x14ac:dyDescent="0.35">
      <c r="A653" s="2" t="s">
        <v>3521</v>
      </c>
      <c r="B653" s="4">
        <v>43544</v>
      </c>
      <c r="C653" s="23">
        <f>Orders[[#This Row],[Order Date]]</f>
        <v>43544</v>
      </c>
      <c r="D653" s="2">
        <f>YEAR(Orders[[#This Row],[Order Date]])</f>
        <v>2019</v>
      </c>
      <c r="E653" s="2" t="s">
        <v>3368</v>
      </c>
      <c r="F653" t="s">
        <v>6163</v>
      </c>
      <c r="G653" s="20">
        <v>3</v>
      </c>
      <c r="H653" s="2" t="str">
        <f>INDEX(customers!$A$1:$I$1001,MATCH($E653,customers!$A$1:$A$1001,),MATCH($H$1,customers!$A$1:$I$1,0))</f>
        <v>Marja Urion</v>
      </c>
      <c r="I653" s="2" t="str">
        <f>IF(INDEX(customers!$A$1:$I$1001,MATCH($E653,customers!$A$1:$A$1001,0),3)=0,"",INDEX(customers!$A$1:$I$1001,MATCH($E653,customers!$A$1:$A$1001,0),3))</f>
        <v>murione5@alexa.com</v>
      </c>
      <c r="J653" s="2" t="str">
        <f>_xlfn.XLOOKUP(E653,customers!$A$1:$A$1001,customers!$G$1:$G$1001)</f>
        <v>Ireland</v>
      </c>
      <c r="K653" t="str">
        <f>INDEX(products!$A$1:$G$49,MATCH($F653,products!$A$1:$A$49,0),MATCH(K$1,products!$A$1:$G$1,0))</f>
        <v>Rob</v>
      </c>
      <c r="L653" t="str">
        <f>INDEX(products!$A$1:$G$49,MATCH($F653,products!$A$1:$A$49,0),MATCH(L$1,products!$A$1:$G$1,0))</f>
        <v>D</v>
      </c>
      <c r="M653" s="5">
        <f>INDEX(products!$A$1:$G$49,MATCH($F653,products!$A$1:$A$49,0),MATCH(M$1,products!$A$1:$G$1,0))</f>
        <v>0.2</v>
      </c>
      <c r="N653" s="7">
        <f>INDEX(products!$A$1:$G$49,MATCH($F653,products!$A$1:$A$49,0),MATCH(N$1,products!$A$1:$G$1,0))</f>
        <v>2.6849999999999996</v>
      </c>
      <c r="O653" s="7">
        <f t="shared" si="10"/>
        <v>8.0549999999999997</v>
      </c>
      <c r="P653" t="str" cm="1">
        <f t="array" ref="P653">_xlfn.IFS(K653="Rob","Robusta",K653="Exc","Excelsa",K653="Ara","Arabica",K653="Lib","Liberica")</f>
        <v>Robusta</v>
      </c>
      <c r="Q653" t="str" cm="1">
        <f t="array" ref="Q653">_xlfn.IFS(L653="M","Medium",L653="L","Light",L653="D","Dark")</f>
        <v>Dark</v>
      </c>
      <c r="R653" t="str">
        <f>_xlfn.XLOOKUP(Orders[[#This Row],[Customer ID]],customers!$A$1:$A$1001,customers!$I$1:$I$1001)</f>
        <v>Yes</v>
      </c>
    </row>
    <row r="654" spans="1:18" x14ac:dyDescent="0.35">
      <c r="A654" s="2" t="s">
        <v>4056</v>
      </c>
      <c r="B654" s="4">
        <v>44049</v>
      </c>
      <c r="C654" s="23">
        <f>Orders[[#This Row],[Order Date]]</f>
        <v>44049</v>
      </c>
      <c r="D654" s="2">
        <f>YEAR(Orders[[#This Row],[Order Date]])</f>
        <v>2020</v>
      </c>
      <c r="E654" s="2" t="s">
        <v>4057</v>
      </c>
      <c r="F654" t="s">
        <v>6176</v>
      </c>
      <c r="G654" s="20">
        <v>4</v>
      </c>
      <c r="H654" s="2" t="str">
        <f>INDEX(customers!$A$1:$I$1001,MATCH($E654,customers!$A$1:$A$1001,),MATCH($H$1,customers!$A$1:$I$1,0))</f>
        <v>Marjorie Yoxen</v>
      </c>
      <c r="I654" s="2" t="str">
        <f>IF(INDEX(customers!$A$1:$I$1001,MATCH($E654,customers!$A$1:$A$1001,0),3)=0,"",INDEX(customers!$A$1:$I$1001,MATCH($E654,customers!$A$1:$A$1001,0),3))</f>
        <v>myoxenhk@google.com</v>
      </c>
      <c r="J654" s="2" t="str">
        <f>_xlfn.XLOOKUP(E654,customers!$A$1:$A$1001,customers!$G$1:$G$1001)</f>
        <v>United States</v>
      </c>
      <c r="K654" t="str">
        <f>INDEX(products!$A$1:$G$49,MATCH($F654,products!$A$1:$A$49,0),MATCH(K$1,products!$A$1:$G$1,0))</f>
        <v>Exc</v>
      </c>
      <c r="L654" t="str">
        <f>INDEX(products!$A$1:$G$49,MATCH($F654,products!$A$1:$A$49,0),MATCH(L$1,products!$A$1:$G$1,0))</f>
        <v>L</v>
      </c>
      <c r="M654" s="5">
        <f>INDEX(products!$A$1:$G$49,MATCH($F654,products!$A$1:$A$49,0),MATCH(M$1,products!$A$1:$G$1,0))</f>
        <v>0.5</v>
      </c>
      <c r="N654" s="7">
        <f>INDEX(products!$A$1:$G$49,MATCH($F654,products!$A$1:$A$49,0),MATCH(N$1,products!$A$1:$G$1,0))</f>
        <v>8.91</v>
      </c>
      <c r="O654" s="7">
        <f t="shared" si="10"/>
        <v>35.64</v>
      </c>
      <c r="P654" t="str" cm="1">
        <f t="array" ref="P654">_xlfn.IFS(K654="Rob","Robusta",K654="Exc","Excelsa",K654="Ara","Arabica",K654="Lib","Liberica")</f>
        <v>Excelsa</v>
      </c>
      <c r="Q654" t="str" cm="1">
        <f t="array" ref="Q654">_xlfn.IFS(L654="M","Medium",L654="L","Light",L654="D","Dark")</f>
        <v>Light</v>
      </c>
      <c r="R654" t="str">
        <f>_xlfn.XLOOKUP(Orders[[#This Row],[Customer ID]],customers!$A$1:$A$1001,customers!$I$1:$I$1001)</f>
        <v>No</v>
      </c>
    </row>
    <row r="655" spans="1:18" x14ac:dyDescent="0.35">
      <c r="A655" s="2" t="s">
        <v>1590</v>
      </c>
      <c r="B655" s="4">
        <v>43683</v>
      </c>
      <c r="C655" s="23">
        <f>Orders[[#This Row],[Order Date]]</f>
        <v>43683</v>
      </c>
      <c r="D655" s="2">
        <f>YEAR(Orders[[#This Row],[Order Date]])</f>
        <v>2019</v>
      </c>
      <c r="E655" s="2" t="s">
        <v>1591</v>
      </c>
      <c r="F655" t="s">
        <v>6140</v>
      </c>
      <c r="G655" s="20">
        <v>3</v>
      </c>
      <c r="H655" s="2" t="str">
        <f>INDEX(customers!$A$1:$I$1001,MATCH($E655,customers!$A$1:$A$1001,),MATCH($H$1,customers!$A$1:$I$1,0))</f>
        <v>Marlena Howsden</v>
      </c>
      <c r="I655" s="2" t="str">
        <f>IF(INDEX(customers!$A$1:$I$1001,MATCH($E655,customers!$A$1:$A$1001,0),3)=0,"",INDEX(customers!$A$1:$I$1001,MATCH($E655,customers!$A$1:$A$1001,0),3))</f>
        <v>mhowsden5f@infoseek.co.jp</v>
      </c>
      <c r="J655" s="2" t="str">
        <f>_xlfn.XLOOKUP(E655,customers!$A$1:$A$1001,customers!$G$1:$G$1001)</f>
        <v>United States</v>
      </c>
      <c r="K655" t="str">
        <f>INDEX(products!$A$1:$G$49,MATCH($F655,products!$A$1:$A$49,0),MATCH(K$1,products!$A$1:$G$1,0))</f>
        <v>Ara</v>
      </c>
      <c r="L655" t="str">
        <f>INDEX(products!$A$1:$G$49,MATCH($F655,products!$A$1:$A$49,0),MATCH(L$1,products!$A$1:$G$1,0))</f>
        <v>L</v>
      </c>
      <c r="M655" s="5">
        <f>INDEX(products!$A$1:$G$49,MATCH($F655,products!$A$1:$A$49,0),MATCH(M$1,products!$A$1:$G$1,0))</f>
        <v>1</v>
      </c>
      <c r="N655" s="7">
        <f>INDEX(products!$A$1:$G$49,MATCH($F655,products!$A$1:$A$49,0),MATCH(N$1,products!$A$1:$G$1,0))</f>
        <v>12.95</v>
      </c>
      <c r="O655" s="7">
        <f t="shared" si="10"/>
        <v>38.849999999999994</v>
      </c>
      <c r="P655" t="str" cm="1">
        <f t="array" ref="P655">_xlfn.IFS(K655="Rob","Robusta",K655="Exc","Excelsa",K655="Ara","Arabica",K655="Lib","Liberica")</f>
        <v>Arabica</v>
      </c>
      <c r="Q655" t="str" cm="1">
        <f t="array" ref="Q655">_xlfn.IFS(L655="M","Medium",L655="L","Light",L655="D","Dark")</f>
        <v>Light</v>
      </c>
      <c r="R655" t="str">
        <f>_xlfn.XLOOKUP(Orders[[#This Row],[Customer ID]],customers!$A$1:$A$1001,customers!$I$1:$I$1001)</f>
        <v>No</v>
      </c>
    </row>
    <row r="656" spans="1:18" x14ac:dyDescent="0.35">
      <c r="A656" s="2" t="s">
        <v>4128</v>
      </c>
      <c r="B656" s="4">
        <v>44694</v>
      </c>
      <c r="C656" s="23">
        <f>Orders[[#This Row],[Order Date]]</f>
        <v>44694</v>
      </c>
      <c r="D656" s="2">
        <f>YEAR(Orders[[#This Row],[Order Date]])</f>
        <v>2022</v>
      </c>
      <c r="E656" s="2" t="s">
        <v>4129</v>
      </c>
      <c r="F656" t="s">
        <v>6149</v>
      </c>
      <c r="G656" s="20">
        <v>2</v>
      </c>
      <c r="H656" s="2" t="str">
        <f>INDEX(customers!$A$1:$I$1001,MATCH($E656,customers!$A$1:$A$1001,),MATCH($H$1,customers!$A$1:$I$1,0))</f>
        <v>Marne Mingey</v>
      </c>
      <c r="I656" s="2" t="str">
        <f>IF(INDEX(customers!$A$1:$I$1001,MATCH($E656,customers!$A$1:$A$1001,0),3)=0,"",INDEX(customers!$A$1:$I$1001,MATCH($E656,customers!$A$1:$A$1001,0),3))</f>
        <v/>
      </c>
      <c r="J656" s="2" t="str">
        <f>_xlfn.XLOOKUP(E656,customers!$A$1:$A$1001,customers!$G$1:$G$1001)</f>
        <v>United States</v>
      </c>
      <c r="K656" t="str">
        <f>INDEX(products!$A$1:$G$49,MATCH($F656,products!$A$1:$A$49,0),MATCH(K$1,products!$A$1:$G$1,0))</f>
        <v>Rob</v>
      </c>
      <c r="L656" t="str">
        <f>INDEX(products!$A$1:$G$49,MATCH($F656,products!$A$1:$A$49,0),MATCH(L$1,products!$A$1:$G$1,0))</f>
        <v>D</v>
      </c>
      <c r="M656" s="5">
        <f>INDEX(products!$A$1:$G$49,MATCH($F656,products!$A$1:$A$49,0),MATCH(M$1,products!$A$1:$G$1,0))</f>
        <v>2.5</v>
      </c>
      <c r="N656" s="7">
        <f>INDEX(products!$A$1:$G$49,MATCH($F656,products!$A$1:$A$49,0),MATCH(N$1,products!$A$1:$G$1,0))</f>
        <v>20.584999999999997</v>
      </c>
      <c r="O656" s="7">
        <f t="shared" si="10"/>
        <v>41.169999999999995</v>
      </c>
      <c r="P656" t="str" cm="1">
        <f t="array" ref="P656">_xlfn.IFS(K656="Rob","Robusta",K656="Exc","Excelsa",K656="Ara","Arabica",K656="Lib","Liberica")</f>
        <v>Robusta</v>
      </c>
      <c r="Q656" t="str" cm="1">
        <f t="array" ref="Q656">_xlfn.IFS(L656="M","Medium",L656="L","Light",L656="D","Dark")</f>
        <v>Dark</v>
      </c>
      <c r="R656" t="str">
        <f>_xlfn.XLOOKUP(Orders[[#This Row],[Customer ID]],customers!$A$1:$A$1001,customers!$I$1:$I$1001)</f>
        <v>No</v>
      </c>
    </row>
    <row r="657" spans="1:18" x14ac:dyDescent="0.35">
      <c r="A657" s="2" t="s">
        <v>2123</v>
      </c>
      <c r="B657" s="4">
        <v>43772</v>
      </c>
      <c r="C657" s="23">
        <f>Orders[[#This Row],[Order Date]]</f>
        <v>43772</v>
      </c>
      <c r="D657" s="2">
        <f>YEAR(Orders[[#This Row],[Order Date]])</f>
        <v>2019</v>
      </c>
      <c r="E657" s="2" t="s">
        <v>2124</v>
      </c>
      <c r="F657" t="s">
        <v>6163</v>
      </c>
      <c r="G657" s="20">
        <v>5</v>
      </c>
      <c r="H657" s="2" t="str">
        <f>INDEX(customers!$A$1:$I$1001,MATCH($E657,customers!$A$1:$A$1001,),MATCH($H$1,customers!$A$1:$I$1,0))</f>
        <v>Marris Grcic</v>
      </c>
      <c r="I657" s="2" t="str">
        <f>IF(INDEX(customers!$A$1:$I$1001,MATCH($E657,customers!$A$1:$A$1001,0),3)=0,"",INDEX(customers!$A$1:$I$1001,MATCH($E657,customers!$A$1:$A$1001,0),3))</f>
        <v/>
      </c>
      <c r="J657" s="2" t="str">
        <f>_xlfn.XLOOKUP(E657,customers!$A$1:$A$1001,customers!$G$1:$G$1001)</f>
        <v>United States</v>
      </c>
      <c r="K657" t="str">
        <f>INDEX(products!$A$1:$G$49,MATCH($F657,products!$A$1:$A$49,0),MATCH(K$1,products!$A$1:$G$1,0))</f>
        <v>Rob</v>
      </c>
      <c r="L657" t="str">
        <f>INDEX(products!$A$1:$G$49,MATCH($F657,products!$A$1:$A$49,0),MATCH(L$1,products!$A$1:$G$1,0))</f>
        <v>D</v>
      </c>
      <c r="M657" s="5">
        <f>INDEX(products!$A$1:$G$49,MATCH($F657,products!$A$1:$A$49,0),MATCH(M$1,products!$A$1:$G$1,0))</f>
        <v>0.2</v>
      </c>
      <c r="N657" s="7">
        <f>INDEX(products!$A$1:$G$49,MATCH($F657,products!$A$1:$A$49,0),MATCH(N$1,products!$A$1:$G$1,0))</f>
        <v>2.6849999999999996</v>
      </c>
      <c r="O657" s="7">
        <f t="shared" si="10"/>
        <v>13.424999999999997</v>
      </c>
      <c r="P657" t="str" cm="1">
        <f t="array" ref="P657">_xlfn.IFS(K657="Rob","Robusta",K657="Exc","Excelsa",K657="Ara","Arabica",K657="Lib","Liberica")</f>
        <v>Robusta</v>
      </c>
      <c r="Q657" t="str" cm="1">
        <f t="array" ref="Q657">_xlfn.IFS(L657="M","Medium",L657="L","Light",L657="D","Dark")</f>
        <v>Dark</v>
      </c>
      <c r="R657" t="str">
        <f>_xlfn.XLOOKUP(Orders[[#This Row],[Customer ID]],customers!$A$1:$A$1001,customers!$I$1:$I$1001)</f>
        <v>Yes</v>
      </c>
    </row>
    <row r="658" spans="1:18" x14ac:dyDescent="0.35">
      <c r="A658" s="2" t="s">
        <v>4842</v>
      </c>
      <c r="B658" s="4">
        <v>44092</v>
      </c>
      <c r="C658" s="23">
        <f>Orders[[#This Row],[Order Date]]</f>
        <v>44092</v>
      </c>
      <c r="D658" s="2">
        <f>YEAR(Orders[[#This Row],[Order Date]])</f>
        <v>2020</v>
      </c>
      <c r="E658" s="2" t="s">
        <v>4843</v>
      </c>
      <c r="F658" t="s">
        <v>6147</v>
      </c>
      <c r="G658" s="20">
        <v>1</v>
      </c>
      <c r="H658" s="2" t="str">
        <f>INDEX(customers!$A$1:$I$1001,MATCH($E658,customers!$A$1:$A$1001,),MATCH($H$1,customers!$A$1:$I$1,0))</f>
        <v>Martie Brimilcombe</v>
      </c>
      <c r="I658" s="2" t="str">
        <f>IF(INDEX(customers!$A$1:$I$1001,MATCH($E658,customers!$A$1:$A$1001,0),3)=0,"",INDEX(customers!$A$1:$I$1001,MATCH($E658,customers!$A$1:$A$1001,0),3))</f>
        <v>mbrimilcombele@cnn.com</v>
      </c>
      <c r="J658" s="2" t="str">
        <f>_xlfn.XLOOKUP(E658,customers!$A$1:$A$1001,customers!$G$1:$G$1001)</f>
        <v>United States</v>
      </c>
      <c r="K658" t="str">
        <f>INDEX(products!$A$1:$G$49,MATCH($F658,products!$A$1:$A$49,0),MATCH(K$1,products!$A$1:$G$1,0))</f>
        <v>Ara</v>
      </c>
      <c r="L658" t="str">
        <f>INDEX(products!$A$1:$G$49,MATCH($F658,products!$A$1:$A$49,0),MATCH(L$1,products!$A$1:$G$1,0))</f>
        <v>D</v>
      </c>
      <c r="M658" s="5">
        <f>INDEX(products!$A$1:$G$49,MATCH($F658,products!$A$1:$A$49,0),MATCH(M$1,products!$A$1:$G$1,0))</f>
        <v>1</v>
      </c>
      <c r="N658" s="7">
        <f>INDEX(products!$A$1:$G$49,MATCH($F658,products!$A$1:$A$49,0),MATCH(N$1,products!$A$1:$G$1,0))</f>
        <v>9.9499999999999993</v>
      </c>
      <c r="O658" s="7">
        <f t="shared" si="10"/>
        <v>9.9499999999999993</v>
      </c>
      <c r="P658" t="str" cm="1">
        <f t="array" ref="P658">_xlfn.IFS(K658="Rob","Robusta",K658="Exc","Excelsa",K658="Ara","Arabica",K658="Lib","Liberica")</f>
        <v>Arabica</v>
      </c>
      <c r="Q658" t="str" cm="1">
        <f t="array" ref="Q658">_xlfn.IFS(L658="M","Medium",L658="L","Light",L658="D","Dark")</f>
        <v>Dark</v>
      </c>
      <c r="R658" t="str">
        <f>_xlfn.XLOOKUP(Orders[[#This Row],[Customer ID]],customers!$A$1:$A$1001,customers!$I$1:$I$1001)</f>
        <v>No</v>
      </c>
    </row>
    <row r="659" spans="1:18" x14ac:dyDescent="0.35">
      <c r="A659" s="2" t="s">
        <v>2650</v>
      </c>
      <c r="B659" s="4">
        <v>43586</v>
      </c>
      <c r="C659" s="23">
        <f>Orders[[#This Row],[Order Date]]</f>
        <v>43586</v>
      </c>
      <c r="D659" s="2">
        <f>YEAR(Orders[[#This Row],[Order Date]])</f>
        <v>2019</v>
      </c>
      <c r="E659" s="2" t="s">
        <v>2651</v>
      </c>
      <c r="F659" t="s">
        <v>6176</v>
      </c>
      <c r="G659" s="20">
        <v>6</v>
      </c>
      <c r="H659" s="2" t="str">
        <f>INDEX(customers!$A$1:$I$1001,MATCH($E659,customers!$A$1:$A$1001,),MATCH($H$1,customers!$A$1:$I$1,0))</f>
        <v>Marty Kidstoun</v>
      </c>
      <c r="I659" s="2" t="str">
        <f>IF(INDEX(customers!$A$1:$I$1001,MATCH($E659,customers!$A$1:$A$1001,0),3)=0,"",INDEX(customers!$A$1:$I$1001,MATCH($E659,customers!$A$1:$A$1001,0),3))</f>
        <v/>
      </c>
      <c r="J659" s="2" t="str">
        <f>_xlfn.XLOOKUP(E659,customers!$A$1:$A$1001,customers!$G$1:$G$1001)</f>
        <v>United States</v>
      </c>
      <c r="K659" t="str">
        <f>INDEX(products!$A$1:$G$49,MATCH($F659,products!$A$1:$A$49,0),MATCH(K$1,products!$A$1:$G$1,0))</f>
        <v>Exc</v>
      </c>
      <c r="L659" t="str">
        <f>INDEX(products!$A$1:$G$49,MATCH($F659,products!$A$1:$A$49,0),MATCH(L$1,products!$A$1:$G$1,0))</f>
        <v>L</v>
      </c>
      <c r="M659" s="5">
        <f>INDEX(products!$A$1:$G$49,MATCH($F659,products!$A$1:$A$49,0),MATCH(M$1,products!$A$1:$G$1,0))</f>
        <v>0.5</v>
      </c>
      <c r="N659" s="7">
        <f>INDEX(products!$A$1:$G$49,MATCH($F659,products!$A$1:$A$49,0),MATCH(N$1,products!$A$1:$G$1,0))</f>
        <v>8.91</v>
      </c>
      <c r="O659" s="7">
        <f t="shared" si="10"/>
        <v>53.46</v>
      </c>
      <c r="P659" t="str" cm="1">
        <f t="array" ref="P659">_xlfn.IFS(K659="Rob","Robusta",K659="Exc","Excelsa",K659="Ara","Arabica",K659="Lib","Liberica")</f>
        <v>Excelsa</v>
      </c>
      <c r="Q659" t="str" cm="1">
        <f t="array" ref="Q659">_xlfn.IFS(L659="M","Medium",L659="L","Light",L659="D","Dark")</f>
        <v>Light</v>
      </c>
      <c r="R659" t="str">
        <f>_xlfn.XLOOKUP(Orders[[#This Row],[Customer ID]],customers!$A$1:$A$1001,customers!$I$1:$I$1001)</f>
        <v>Yes</v>
      </c>
    </row>
    <row r="660" spans="1:18" x14ac:dyDescent="0.35">
      <c r="A660" s="2" t="s">
        <v>5501</v>
      </c>
      <c r="B660" s="4">
        <v>44518</v>
      </c>
      <c r="C660" s="23">
        <f>Orders[[#This Row],[Order Date]]</f>
        <v>44518</v>
      </c>
      <c r="D660" s="2">
        <f>YEAR(Orders[[#This Row],[Order Date]])</f>
        <v>2021</v>
      </c>
      <c r="E660" s="2" t="s">
        <v>5502</v>
      </c>
      <c r="F660" t="s">
        <v>6160</v>
      </c>
      <c r="G660" s="20">
        <v>2</v>
      </c>
      <c r="H660" s="2" t="str">
        <f>INDEX(customers!$A$1:$I$1001,MATCH($E660,customers!$A$1:$A$1001,),MATCH($H$1,customers!$A$1:$I$1,0))</f>
        <v>Marty Scholl</v>
      </c>
      <c r="I660" s="2" t="str">
        <f>IF(INDEX(customers!$A$1:$I$1001,MATCH($E660,customers!$A$1:$A$1001,0),3)=0,"",INDEX(customers!$A$1:$I$1001,MATCH($E660,customers!$A$1:$A$1001,0),3))</f>
        <v>mschollom@taobao.com</v>
      </c>
      <c r="J660" s="2" t="str">
        <f>_xlfn.XLOOKUP(E660,customers!$A$1:$A$1001,customers!$G$1:$G$1001)</f>
        <v>United States</v>
      </c>
      <c r="K660" t="str">
        <f>INDEX(products!$A$1:$G$49,MATCH($F660,products!$A$1:$A$49,0),MATCH(K$1,products!$A$1:$G$1,0))</f>
        <v>Lib</v>
      </c>
      <c r="L660" t="str">
        <f>INDEX(products!$A$1:$G$49,MATCH($F660,products!$A$1:$A$49,0),MATCH(L$1,products!$A$1:$G$1,0))</f>
        <v>M</v>
      </c>
      <c r="M660" s="5">
        <f>INDEX(products!$A$1:$G$49,MATCH($F660,products!$A$1:$A$49,0),MATCH(M$1,products!$A$1:$G$1,0))</f>
        <v>0.5</v>
      </c>
      <c r="N660" s="7">
        <f>INDEX(products!$A$1:$G$49,MATCH($F660,products!$A$1:$A$49,0),MATCH(N$1,products!$A$1:$G$1,0))</f>
        <v>8.73</v>
      </c>
      <c r="O660" s="7">
        <f t="shared" si="10"/>
        <v>17.46</v>
      </c>
      <c r="P660" t="str" cm="1">
        <f t="array" ref="P660">_xlfn.IFS(K660="Rob","Robusta",K660="Exc","Excelsa",K660="Ara","Arabica",K660="Lib","Liberica")</f>
        <v>Liberica</v>
      </c>
      <c r="Q660" t="str" cm="1">
        <f t="array" ref="Q660">_xlfn.IFS(L660="M","Medium",L660="L","Light",L660="D","Dark")</f>
        <v>Medium</v>
      </c>
      <c r="R660" t="str">
        <f>_xlfn.XLOOKUP(Orders[[#This Row],[Customer ID]],customers!$A$1:$A$1001,customers!$I$1:$I$1001)</f>
        <v>No</v>
      </c>
    </row>
    <row r="661" spans="1:18" x14ac:dyDescent="0.35">
      <c r="A661" s="2" t="s">
        <v>5102</v>
      </c>
      <c r="B661" s="4">
        <v>43534</v>
      </c>
      <c r="C661" s="23">
        <f>Orders[[#This Row],[Order Date]]</f>
        <v>43534</v>
      </c>
      <c r="D661" s="2">
        <f>YEAR(Orders[[#This Row],[Order Date]])</f>
        <v>2019</v>
      </c>
      <c r="E661" s="2" t="s">
        <v>5103</v>
      </c>
      <c r="F661" t="s">
        <v>6161</v>
      </c>
      <c r="G661" s="20">
        <v>4</v>
      </c>
      <c r="H661" s="2" t="str">
        <f>INDEX(customers!$A$1:$I$1001,MATCH($E661,customers!$A$1:$A$1001,),MATCH($H$1,customers!$A$1:$I$1,0))</f>
        <v>Marvin Gundry</v>
      </c>
      <c r="I661" s="2" t="str">
        <f>IF(INDEX(customers!$A$1:$I$1001,MATCH($E661,customers!$A$1:$A$1001,0),3)=0,"",INDEX(customers!$A$1:$I$1001,MATCH($E661,customers!$A$1:$A$1001,0),3))</f>
        <v>mgundrymo@omniture.com</v>
      </c>
      <c r="J661" s="2" t="str">
        <f>_xlfn.XLOOKUP(E661,customers!$A$1:$A$1001,customers!$G$1:$G$1001)</f>
        <v>Ireland</v>
      </c>
      <c r="K661" t="str">
        <f>INDEX(products!$A$1:$G$49,MATCH($F661,products!$A$1:$A$49,0),MATCH(K$1,products!$A$1:$G$1,0))</f>
        <v>Lib</v>
      </c>
      <c r="L661" t="str">
        <f>INDEX(products!$A$1:$G$49,MATCH($F661,products!$A$1:$A$49,0),MATCH(L$1,products!$A$1:$G$1,0))</f>
        <v>L</v>
      </c>
      <c r="M661" s="5">
        <f>INDEX(products!$A$1:$G$49,MATCH($F661,products!$A$1:$A$49,0),MATCH(M$1,products!$A$1:$G$1,0))</f>
        <v>0.5</v>
      </c>
      <c r="N661" s="7">
        <f>INDEX(products!$A$1:$G$49,MATCH($F661,products!$A$1:$A$49,0),MATCH(N$1,products!$A$1:$G$1,0))</f>
        <v>9.51</v>
      </c>
      <c r="O661" s="7">
        <f t="shared" si="10"/>
        <v>38.04</v>
      </c>
      <c r="P661" t="str" cm="1">
        <f t="array" ref="P661">_xlfn.IFS(K661="Rob","Robusta",K661="Exc","Excelsa",K661="Ara","Arabica",K661="Lib","Liberica")</f>
        <v>Liberica</v>
      </c>
      <c r="Q661" t="str" cm="1">
        <f t="array" ref="Q661">_xlfn.IFS(L661="M","Medium",L661="L","Light",L661="D","Dark")</f>
        <v>Light</v>
      </c>
      <c r="R661" t="str">
        <f>_xlfn.XLOOKUP(Orders[[#This Row],[Customer ID]],customers!$A$1:$A$1001,customers!$I$1:$I$1001)</f>
        <v>No</v>
      </c>
    </row>
    <row r="662" spans="1:18" x14ac:dyDescent="0.35">
      <c r="A662" s="2" t="s">
        <v>4185</v>
      </c>
      <c r="B662" s="4">
        <v>43476</v>
      </c>
      <c r="C662" s="23">
        <f>Orders[[#This Row],[Order Date]]</f>
        <v>43476</v>
      </c>
      <c r="D662" s="2">
        <f>YEAR(Orders[[#This Row],[Order Date]])</f>
        <v>2019</v>
      </c>
      <c r="E662" s="2" t="s">
        <v>4186</v>
      </c>
      <c r="F662" t="s">
        <v>6168</v>
      </c>
      <c r="G662" s="20">
        <v>3</v>
      </c>
      <c r="H662" s="2" t="str">
        <f>INDEX(customers!$A$1:$I$1001,MATCH($E662,customers!$A$1:$A$1001,),MATCH($H$1,customers!$A$1:$I$1,0))</f>
        <v>Marvin Malloy</v>
      </c>
      <c r="I662" s="2" t="str">
        <f>IF(INDEX(customers!$A$1:$I$1001,MATCH($E662,customers!$A$1:$A$1001,0),3)=0,"",INDEX(customers!$A$1:$I$1001,MATCH($E662,customers!$A$1:$A$1001,0),3))</f>
        <v>mmalloyi6@seattletimes.com</v>
      </c>
      <c r="J662" s="2" t="str">
        <f>_xlfn.XLOOKUP(E662,customers!$A$1:$A$1001,customers!$G$1:$G$1001)</f>
        <v>United States</v>
      </c>
      <c r="K662" t="str">
        <f>INDEX(products!$A$1:$G$49,MATCH($F662,products!$A$1:$A$49,0),MATCH(K$1,products!$A$1:$G$1,0))</f>
        <v>Ara</v>
      </c>
      <c r="L662" t="str">
        <f>INDEX(products!$A$1:$G$49,MATCH($F662,products!$A$1:$A$49,0),MATCH(L$1,products!$A$1:$G$1,0))</f>
        <v>D</v>
      </c>
      <c r="M662" s="5">
        <f>INDEX(products!$A$1:$G$49,MATCH($F662,products!$A$1:$A$49,0),MATCH(M$1,products!$A$1:$G$1,0))</f>
        <v>2.5</v>
      </c>
      <c r="N662" s="7">
        <f>INDEX(products!$A$1:$G$49,MATCH($F662,products!$A$1:$A$49,0),MATCH(N$1,products!$A$1:$G$1,0))</f>
        <v>22.884999999999998</v>
      </c>
      <c r="O662" s="7">
        <f t="shared" si="10"/>
        <v>68.655000000000001</v>
      </c>
      <c r="P662" t="str" cm="1">
        <f t="array" ref="P662">_xlfn.IFS(K662="Rob","Robusta",K662="Exc","Excelsa",K662="Ara","Arabica",K662="Lib","Liberica")</f>
        <v>Arabica</v>
      </c>
      <c r="Q662" t="str" cm="1">
        <f t="array" ref="Q662">_xlfn.IFS(L662="M","Medium",L662="L","Light",L662="D","Dark")</f>
        <v>Dark</v>
      </c>
      <c r="R662" t="str">
        <f>_xlfn.XLOOKUP(Orders[[#This Row],[Customer ID]],customers!$A$1:$A$1001,customers!$I$1:$I$1001)</f>
        <v>No</v>
      </c>
    </row>
    <row r="663" spans="1:18" x14ac:dyDescent="0.35">
      <c r="A663" s="2" t="s">
        <v>2118</v>
      </c>
      <c r="B663" s="4">
        <v>44279</v>
      </c>
      <c r="C663" s="23">
        <f>Orders[[#This Row],[Order Date]]</f>
        <v>44279</v>
      </c>
      <c r="D663" s="2">
        <f>YEAR(Orders[[#This Row],[Order Date]])</f>
        <v>2021</v>
      </c>
      <c r="E663" s="2" t="s">
        <v>2119</v>
      </c>
      <c r="F663" t="s">
        <v>6139</v>
      </c>
      <c r="G663" s="20">
        <v>1</v>
      </c>
      <c r="H663" s="2" t="str">
        <f>INDEX(customers!$A$1:$I$1001,MATCH($E663,customers!$A$1:$A$1001,),MATCH($H$1,customers!$A$1:$I$1,0))</f>
        <v>Mathew Goulter</v>
      </c>
      <c r="I663" s="2" t="str">
        <f>IF(INDEX(customers!$A$1:$I$1001,MATCH($E663,customers!$A$1:$A$1001,0),3)=0,"",INDEX(customers!$A$1:$I$1001,MATCH($E663,customers!$A$1:$A$1001,0),3))</f>
        <v/>
      </c>
      <c r="J663" s="2" t="str">
        <f>_xlfn.XLOOKUP(E663,customers!$A$1:$A$1001,customers!$G$1:$G$1001)</f>
        <v>Ireland</v>
      </c>
      <c r="K663" t="str">
        <f>INDEX(products!$A$1:$G$49,MATCH($F663,products!$A$1:$A$49,0),MATCH(K$1,products!$A$1:$G$1,0))</f>
        <v>Exc</v>
      </c>
      <c r="L663" t="str">
        <f>INDEX(products!$A$1:$G$49,MATCH($F663,products!$A$1:$A$49,0),MATCH(L$1,products!$A$1:$G$1,0))</f>
        <v>M</v>
      </c>
      <c r="M663" s="5">
        <f>INDEX(products!$A$1:$G$49,MATCH($F663,products!$A$1:$A$49,0),MATCH(M$1,products!$A$1:$G$1,0))</f>
        <v>0.5</v>
      </c>
      <c r="N663" s="7">
        <f>INDEX(products!$A$1:$G$49,MATCH($F663,products!$A$1:$A$49,0),MATCH(N$1,products!$A$1:$G$1,0))</f>
        <v>8.25</v>
      </c>
      <c r="O663" s="7">
        <f t="shared" si="10"/>
        <v>8.25</v>
      </c>
      <c r="P663" t="str" cm="1">
        <f t="array" ref="P663">_xlfn.IFS(K663="Rob","Robusta",K663="Exc","Excelsa",K663="Ara","Arabica",K663="Lib","Liberica")</f>
        <v>Excelsa</v>
      </c>
      <c r="Q663" t="str" cm="1">
        <f t="array" ref="Q663">_xlfn.IFS(L663="M","Medium",L663="L","Light",L663="D","Dark")</f>
        <v>Medium</v>
      </c>
      <c r="R663" t="str">
        <f>_xlfn.XLOOKUP(Orders[[#This Row],[Customer ID]],customers!$A$1:$A$1001,customers!$I$1:$I$1001)</f>
        <v>Yes</v>
      </c>
    </row>
    <row r="664" spans="1:18" x14ac:dyDescent="0.35">
      <c r="A664" s="2" t="s">
        <v>5737</v>
      </c>
      <c r="B664" s="4">
        <v>44754</v>
      </c>
      <c r="C664" s="23">
        <f>Orders[[#This Row],[Order Date]]</f>
        <v>44754</v>
      </c>
      <c r="D664" s="2">
        <f>YEAR(Orders[[#This Row],[Order Date]])</f>
        <v>2022</v>
      </c>
      <c r="E664" s="2" t="s">
        <v>5738</v>
      </c>
      <c r="F664" t="s">
        <v>6166</v>
      </c>
      <c r="G664" s="20">
        <v>2</v>
      </c>
      <c r="H664" s="2" t="str">
        <f>INDEX(customers!$A$1:$I$1001,MATCH($E664,customers!$A$1:$A$1001,),MATCH($H$1,customers!$A$1:$I$1,0))</f>
        <v>Mathilda Matiasek</v>
      </c>
      <c r="I664" s="2" t="str">
        <f>IF(INDEX(customers!$A$1:$I$1001,MATCH($E664,customers!$A$1:$A$1001,0),3)=0,"",INDEX(customers!$A$1:$I$1001,MATCH($E664,customers!$A$1:$A$1001,0),3))</f>
        <v>mmatiasekps@ucoz.ru</v>
      </c>
      <c r="J664" s="2" t="str">
        <f>_xlfn.XLOOKUP(E664,customers!$A$1:$A$1001,customers!$G$1:$G$1001)</f>
        <v>United States</v>
      </c>
      <c r="K664" t="str">
        <f>INDEX(products!$A$1:$G$49,MATCH($F664,products!$A$1:$A$49,0),MATCH(K$1,products!$A$1:$G$1,0))</f>
        <v>Exc</v>
      </c>
      <c r="L664" t="str">
        <f>INDEX(products!$A$1:$G$49,MATCH($F664,products!$A$1:$A$49,0),MATCH(L$1,products!$A$1:$G$1,0))</f>
        <v>M</v>
      </c>
      <c r="M664" s="5">
        <f>INDEX(products!$A$1:$G$49,MATCH($F664,products!$A$1:$A$49,0),MATCH(M$1,products!$A$1:$G$1,0))</f>
        <v>2.5</v>
      </c>
      <c r="N664" s="7">
        <f>INDEX(products!$A$1:$G$49,MATCH($F664,products!$A$1:$A$49,0),MATCH(N$1,products!$A$1:$G$1,0))</f>
        <v>31.624999999999996</v>
      </c>
      <c r="O664" s="7">
        <f t="shared" si="10"/>
        <v>63.249999999999993</v>
      </c>
      <c r="P664" t="str" cm="1">
        <f t="array" ref="P664">_xlfn.IFS(K664="Rob","Robusta",K664="Exc","Excelsa",K664="Ara","Arabica",K664="Lib","Liberica")</f>
        <v>Excelsa</v>
      </c>
      <c r="Q664" t="str" cm="1">
        <f t="array" ref="Q664">_xlfn.IFS(L664="M","Medium",L664="L","Light",L664="D","Dark")</f>
        <v>Medium</v>
      </c>
      <c r="R664" t="str">
        <f>_xlfn.XLOOKUP(Orders[[#This Row],[Customer ID]],customers!$A$1:$A$1001,customers!$I$1:$I$1001)</f>
        <v>Yes</v>
      </c>
    </row>
    <row r="665" spans="1:18" x14ac:dyDescent="0.35">
      <c r="A665" s="2" t="s">
        <v>733</v>
      </c>
      <c r="B665" s="4">
        <v>44473</v>
      </c>
      <c r="C665" s="23">
        <f>Orders[[#This Row],[Order Date]]</f>
        <v>44473</v>
      </c>
      <c r="D665" s="2">
        <f>YEAR(Orders[[#This Row],[Order Date]])</f>
        <v>2021</v>
      </c>
      <c r="E665" s="2" t="s">
        <v>734</v>
      </c>
      <c r="F665" t="s">
        <v>6164</v>
      </c>
      <c r="G665" s="20">
        <v>2</v>
      </c>
      <c r="H665" s="2" t="str">
        <f>INDEX(customers!$A$1:$I$1001,MATCH($E665,customers!$A$1:$A$1001,),MATCH($H$1,customers!$A$1:$I$1,0))</f>
        <v>Maurie Bartol</v>
      </c>
      <c r="I665" s="2" t="str">
        <f>IF(INDEX(customers!$A$1:$I$1001,MATCH($E665,customers!$A$1:$A$1001,0),3)=0,"",INDEX(customers!$A$1:$I$1001,MATCH($E665,customers!$A$1:$A$1001,0),3))</f>
        <v/>
      </c>
      <c r="J665" s="2" t="str">
        <f>_xlfn.XLOOKUP(E665,customers!$A$1:$A$1001,customers!$G$1:$G$1001)</f>
        <v>United States</v>
      </c>
      <c r="K665" t="str">
        <f>INDEX(products!$A$1:$G$49,MATCH($F665,products!$A$1:$A$49,0),MATCH(K$1,products!$A$1:$G$1,0))</f>
        <v>Lib</v>
      </c>
      <c r="L665" t="str">
        <f>INDEX(products!$A$1:$G$49,MATCH($F665,products!$A$1:$A$49,0),MATCH(L$1,products!$A$1:$G$1,0))</f>
        <v>L</v>
      </c>
      <c r="M665" s="5">
        <f>INDEX(products!$A$1:$G$49,MATCH($F665,products!$A$1:$A$49,0),MATCH(M$1,products!$A$1:$G$1,0))</f>
        <v>2.5</v>
      </c>
      <c r="N665" s="7">
        <f>INDEX(products!$A$1:$G$49,MATCH($F665,products!$A$1:$A$49,0),MATCH(N$1,products!$A$1:$G$1,0))</f>
        <v>36.454999999999998</v>
      </c>
      <c r="O665" s="7">
        <f t="shared" si="10"/>
        <v>72.91</v>
      </c>
      <c r="P665" t="str" cm="1">
        <f t="array" ref="P665">_xlfn.IFS(K665="Rob","Robusta",K665="Exc","Excelsa",K665="Ara","Arabica",K665="Lib","Liberica")</f>
        <v>Liberica</v>
      </c>
      <c r="Q665" t="str" cm="1">
        <f t="array" ref="Q665">_xlfn.IFS(L665="M","Medium",L665="L","Light",L665="D","Dark")</f>
        <v>Light</v>
      </c>
      <c r="R665" t="str">
        <f>_xlfn.XLOOKUP(Orders[[#This Row],[Customer ID]],customers!$A$1:$A$1001,customers!$I$1:$I$1001)</f>
        <v>No</v>
      </c>
    </row>
    <row r="666" spans="1:18" x14ac:dyDescent="0.35">
      <c r="A666" s="2" t="s">
        <v>4191</v>
      </c>
      <c r="B666" s="4">
        <v>43728</v>
      </c>
      <c r="C666" s="23">
        <f>Orders[[#This Row],[Order Date]]</f>
        <v>43728</v>
      </c>
      <c r="D666" s="2">
        <f>YEAR(Orders[[#This Row],[Order Date]])</f>
        <v>2019</v>
      </c>
      <c r="E666" s="2" t="s">
        <v>4192</v>
      </c>
      <c r="F666" t="s">
        <v>6151</v>
      </c>
      <c r="G666" s="20">
        <v>2</v>
      </c>
      <c r="H666" s="2" t="str">
        <f>INDEX(customers!$A$1:$I$1001,MATCH($E666,customers!$A$1:$A$1001,),MATCH($H$1,customers!$A$1:$I$1,0))</f>
        <v>Maxim McParland</v>
      </c>
      <c r="I666" s="2" t="str">
        <f>IF(INDEX(customers!$A$1:$I$1001,MATCH($E666,customers!$A$1:$A$1001,0),3)=0,"",INDEX(customers!$A$1:$I$1001,MATCH($E666,customers!$A$1:$A$1001,0),3))</f>
        <v>mmcparlandi7@w3.org</v>
      </c>
      <c r="J666" s="2" t="str">
        <f>_xlfn.XLOOKUP(E666,customers!$A$1:$A$1001,customers!$G$1:$G$1001)</f>
        <v>United States</v>
      </c>
      <c r="K666" t="str">
        <f>INDEX(products!$A$1:$G$49,MATCH($F666,products!$A$1:$A$49,0),MATCH(K$1,products!$A$1:$G$1,0))</f>
        <v>Rob</v>
      </c>
      <c r="L666" t="str">
        <f>INDEX(products!$A$1:$G$49,MATCH($F666,products!$A$1:$A$49,0),MATCH(L$1,products!$A$1:$G$1,0))</f>
        <v>M</v>
      </c>
      <c r="M666" s="5">
        <f>INDEX(products!$A$1:$G$49,MATCH($F666,products!$A$1:$A$49,0),MATCH(M$1,products!$A$1:$G$1,0))</f>
        <v>2.5</v>
      </c>
      <c r="N666" s="7">
        <f>INDEX(products!$A$1:$G$49,MATCH($F666,products!$A$1:$A$49,0),MATCH(N$1,products!$A$1:$G$1,0))</f>
        <v>22.884999999999998</v>
      </c>
      <c r="O666" s="7">
        <f t="shared" si="10"/>
        <v>45.769999999999996</v>
      </c>
      <c r="P666" t="str" cm="1">
        <f t="array" ref="P666">_xlfn.IFS(K666="Rob","Robusta",K666="Exc","Excelsa",K666="Ara","Arabica",K666="Lib","Liberica")</f>
        <v>Robusta</v>
      </c>
      <c r="Q666" t="str" cm="1">
        <f t="array" ref="Q666">_xlfn.IFS(L666="M","Medium",L666="L","Light",L666="D","Dark")</f>
        <v>Medium</v>
      </c>
      <c r="R666" t="str">
        <f>_xlfn.XLOOKUP(Orders[[#This Row],[Customer ID]],customers!$A$1:$A$1001,customers!$I$1:$I$1001)</f>
        <v>Yes</v>
      </c>
    </row>
    <row r="667" spans="1:18" x14ac:dyDescent="0.35">
      <c r="A667" s="2" t="s">
        <v>5368</v>
      </c>
      <c r="B667" s="4">
        <v>44712</v>
      </c>
      <c r="C667" s="23">
        <f>Orders[[#This Row],[Order Date]]</f>
        <v>44712</v>
      </c>
      <c r="D667" s="2">
        <f>YEAR(Orders[[#This Row],[Order Date]])</f>
        <v>2022</v>
      </c>
      <c r="E667" s="2" t="s">
        <v>5369</v>
      </c>
      <c r="F667" t="s">
        <v>6162</v>
      </c>
      <c r="G667" s="20">
        <v>2</v>
      </c>
      <c r="H667" s="2" t="str">
        <f>INDEX(customers!$A$1:$I$1001,MATCH($E667,customers!$A$1:$A$1001,),MATCH($H$1,customers!$A$1:$I$1,0))</f>
        <v>Meade Birkin</v>
      </c>
      <c r="I667" s="2" t="str">
        <f>IF(INDEX(customers!$A$1:$I$1001,MATCH($E667,customers!$A$1:$A$1001,0),3)=0,"",INDEX(customers!$A$1:$I$1001,MATCH($E667,customers!$A$1:$A$1001,0),3))</f>
        <v>mbirkinnz@java.com</v>
      </c>
      <c r="J667" s="2" t="str">
        <f>_xlfn.XLOOKUP(E667,customers!$A$1:$A$1001,customers!$G$1:$G$1001)</f>
        <v>United States</v>
      </c>
      <c r="K667" t="str">
        <f>INDEX(products!$A$1:$G$49,MATCH($F667,products!$A$1:$A$49,0),MATCH(K$1,products!$A$1:$G$1,0))</f>
        <v>Lib</v>
      </c>
      <c r="L667" t="str">
        <f>INDEX(products!$A$1:$G$49,MATCH($F667,products!$A$1:$A$49,0),MATCH(L$1,products!$A$1:$G$1,0))</f>
        <v>M</v>
      </c>
      <c r="M667" s="5">
        <f>INDEX(products!$A$1:$G$49,MATCH($F667,products!$A$1:$A$49,0),MATCH(M$1,products!$A$1:$G$1,0))</f>
        <v>1</v>
      </c>
      <c r="N667" s="7">
        <f>INDEX(products!$A$1:$G$49,MATCH($F667,products!$A$1:$A$49,0),MATCH(N$1,products!$A$1:$G$1,0))</f>
        <v>14.55</v>
      </c>
      <c r="O667" s="7">
        <f t="shared" si="10"/>
        <v>29.1</v>
      </c>
      <c r="P667" t="str" cm="1">
        <f t="array" ref="P667">_xlfn.IFS(K667="Rob","Robusta",K667="Exc","Excelsa",K667="Ara","Arabica",K667="Lib","Liberica")</f>
        <v>Liberica</v>
      </c>
      <c r="Q667" t="str" cm="1">
        <f t="array" ref="Q667">_xlfn.IFS(L667="M","Medium",L667="L","Light",L667="D","Dark")</f>
        <v>Medium</v>
      </c>
      <c r="R667" t="str">
        <f>_xlfn.XLOOKUP(Orders[[#This Row],[Customer ID]],customers!$A$1:$A$1001,customers!$I$1:$I$1001)</f>
        <v>Yes</v>
      </c>
    </row>
    <row r="668" spans="1:18" x14ac:dyDescent="0.35">
      <c r="A668" s="2" t="s">
        <v>919</v>
      </c>
      <c r="B668" s="4">
        <v>43855</v>
      </c>
      <c r="C668" s="23">
        <f>Orders[[#This Row],[Order Date]]</f>
        <v>43855</v>
      </c>
      <c r="D668" s="2">
        <f>YEAR(Orders[[#This Row],[Order Date]])</f>
        <v>2020</v>
      </c>
      <c r="E668" s="2" t="s">
        <v>920</v>
      </c>
      <c r="F668" t="s">
        <v>6178</v>
      </c>
      <c r="G668" s="20">
        <v>1</v>
      </c>
      <c r="H668" s="2" t="str">
        <f>INDEX(customers!$A$1:$I$1001,MATCH($E668,customers!$A$1:$A$1001,),MATCH($H$1,customers!$A$1:$I$1,0))</f>
        <v>Melania Beadle</v>
      </c>
      <c r="I668" s="2" t="str">
        <f>IF(INDEX(customers!$A$1:$I$1001,MATCH($E668,customers!$A$1:$A$1001,0),3)=0,"",INDEX(customers!$A$1:$I$1001,MATCH($E668,customers!$A$1:$A$1001,0),3))</f>
        <v/>
      </c>
      <c r="J668" s="2" t="str">
        <f>_xlfn.XLOOKUP(E668,customers!$A$1:$A$1001,customers!$G$1:$G$1001)</f>
        <v>Ireland</v>
      </c>
      <c r="K668" t="str">
        <f>INDEX(products!$A$1:$G$49,MATCH($F668,products!$A$1:$A$49,0),MATCH(K$1,products!$A$1:$G$1,0))</f>
        <v>Rob</v>
      </c>
      <c r="L668" t="str">
        <f>INDEX(products!$A$1:$G$49,MATCH($F668,products!$A$1:$A$49,0),MATCH(L$1,products!$A$1:$G$1,0))</f>
        <v>L</v>
      </c>
      <c r="M668" s="5">
        <f>INDEX(products!$A$1:$G$49,MATCH($F668,products!$A$1:$A$49,0),MATCH(M$1,products!$A$1:$G$1,0))</f>
        <v>0.2</v>
      </c>
      <c r="N668" s="7">
        <f>INDEX(products!$A$1:$G$49,MATCH($F668,products!$A$1:$A$49,0),MATCH(N$1,products!$A$1:$G$1,0))</f>
        <v>3.5849999999999995</v>
      </c>
      <c r="O668" s="7">
        <f t="shared" si="10"/>
        <v>3.5849999999999995</v>
      </c>
      <c r="P668" t="str" cm="1">
        <f t="array" ref="P668">_xlfn.IFS(K668="Rob","Robusta",K668="Exc","Excelsa",K668="Ara","Arabica",K668="Lib","Liberica")</f>
        <v>Robusta</v>
      </c>
      <c r="Q668" t="str" cm="1">
        <f t="array" ref="Q668">_xlfn.IFS(L668="M","Medium",L668="L","Light",L668="D","Dark")</f>
        <v>Light</v>
      </c>
      <c r="R668" t="str">
        <f>_xlfn.XLOOKUP(Orders[[#This Row],[Customer ID]],customers!$A$1:$A$1001,customers!$I$1:$I$1001)</f>
        <v>Yes</v>
      </c>
    </row>
    <row r="669" spans="1:18" x14ac:dyDescent="0.35">
      <c r="A669" s="2" t="s">
        <v>2267</v>
      </c>
      <c r="B669" s="4">
        <v>43826</v>
      </c>
      <c r="C669" s="23">
        <f>Orders[[#This Row],[Order Date]]</f>
        <v>43826</v>
      </c>
      <c r="D669" s="2">
        <f>YEAR(Orders[[#This Row],[Order Date]])</f>
        <v>2019</v>
      </c>
      <c r="E669" s="2" t="s">
        <v>2268</v>
      </c>
      <c r="F669" t="s">
        <v>6148</v>
      </c>
      <c r="G669" s="20">
        <v>1</v>
      </c>
      <c r="H669" s="2" t="str">
        <f>INDEX(customers!$A$1:$I$1001,MATCH($E669,customers!$A$1:$A$1001,),MATCH($H$1,customers!$A$1:$I$1,0))</f>
        <v>Melli Brockway</v>
      </c>
      <c r="I669" s="2" t="str">
        <f>IF(INDEX(customers!$A$1:$I$1001,MATCH($E669,customers!$A$1:$A$1001,0),3)=0,"",INDEX(customers!$A$1:$I$1001,MATCH($E669,customers!$A$1:$A$1001,0),3))</f>
        <v>mbrockway8r@ibm.com</v>
      </c>
      <c r="J669" s="2" t="str">
        <f>_xlfn.XLOOKUP(E669,customers!$A$1:$A$1001,customers!$G$1:$G$1001)</f>
        <v>United States</v>
      </c>
      <c r="K669" t="str">
        <f>INDEX(products!$A$1:$G$49,MATCH($F669,products!$A$1:$A$49,0),MATCH(K$1,products!$A$1:$G$1,0))</f>
        <v>Exc</v>
      </c>
      <c r="L669" t="str">
        <f>INDEX(products!$A$1:$G$49,MATCH($F669,products!$A$1:$A$49,0),MATCH(L$1,products!$A$1:$G$1,0))</f>
        <v>L</v>
      </c>
      <c r="M669" s="5">
        <f>INDEX(products!$A$1:$G$49,MATCH($F669,products!$A$1:$A$49,0),MATCH(M$1,products!$A$1:$G$1,0))</f>
        <v>2.5</v>
      </c>
      <c r="N669" s="7">
        <f>INDEX(products!$A$1:$G$49,MATCH($F669,products!$A$1:$A$49,0),MATCH(N$1,products!$A$1:$G$1,0))</f>
        <v>34.154999999999994</v>
      </c>
      <c r="O669" s="7">
        <f t="shared" si="10"/>
        <v>34.154999999999994</v>
      </c>
      <c r="P669" t="str" cm="1">
        <f t="array" ref="P669">_xlfn.IFS(K669="Rob","Robusta",K669="Exc","Excelsa",K669="Ara","Arabica",K669="Lib","Liberica")</f>
        <v>Excelsa</v>
      </c>
      <c r="Q669" t="str" cm="1">
        <f t="array" ref="Q669">_xlfn.IFS(L669="M","Medium",L669="L","Light",L669="D","Dark")</f>
        <v>Light</v>
      </c>
      <c r="R669" t="str">
        <f>_xlfn.XLOOKUP(Orders[[#This Row],[Customer ID]],customers!$A$1:$A$1001,customers!$I$1:$I$1001)</f>
        <v>Yes</v>
      </c>
    </row>
    <row r="670" spans="1:18" x14ac:dyDescent="0.35">
      <c r="A670" s="2" t="s">
        <v>4853</v>
      </c>
      <c r="B670" s="4">
        <v>44468</v>
      </c>
      <c r="C670" s="23">
        <f>Orders[[#This Row],[Order Date]]</f>
        <v>44468</v>
      </c>
      <c r="D670" s="2">
        <f>YEAR(Orders[[#This Row],[Order Date]])</f>
        <v>2021</v>
      </c>
      <c r="E670" s="2" t="s">
        <v>4854</v>
      </c>
      <c r="F670" t="s">
        <v>6141</v>
      </c>
      <c r="G670" s="20">
        <v>6</v>
      </c>
      <c r="H670" s="2" t="str">
        <f>INDEX(customers!$A$1:$I$1001,MATCH($E670,customers!$A$1:$A$1001,),MATCH($H$1,customers!$A$1:$I$1,0))</f>
        <v>Mellisa Mebes</v>
      </c>
      <c r="I670" s="2" t="str">
        <f>IF(INDEX(customers!$A$1:$I$1001,MATCH($E670,customers!$A$1:$A$1001,0),3)=0,"",INDEX(customers!$A$1:$I$1001,MATCH($E670,customers!$A$1:$A$1001,0),3))</f>
        <v/>
      </c>
      <c r="J670" s="2" t="str">
        <f>_xlfn.XLOOKUP(E670,customers!$A$1:$A$1001,customers!$G$1:$G$1001)</f>
        <v>United States</v>
      </c>
      <c r="K670" t="str">
        <f>INDEX(products!$A$1:$G$49,MATCH($F670,products!$A$1:$A$49,0),MATCH(K$1,products!$A$1:$G$1,0))</f>
        <v>Exc</v>
      </c>
      <c r="L670" t="str">
        <f>INDEX(products!$A$1:$G$49,MATCH($F670,products!$A$1:$A$49,0),MATCH(L$1,products!$A$1:$G$1,0))</f>
        <v>M</v>
      </c>
      <c r="M670" s="5">
        <f>INDEX(products!$A$1:$G$49,MATCH($F670,products!$A$1:$A$49,0),MATCH(M$1,products!$A$1:$G$1,0))</f>
        <v>1</v>
      </c>
      <c r="N670" s="7">
        <f>INDEX(products!$A$1:$G$49,MATCH($F670,products!$A$1:$A$49,0),MATCH(N$1,products!$A$1:$G$1,0))</f>
        <v>13.75</v>
      </c>
      <c r="O670" s="7">
        <f t="shared" si="10"/>
        <v>82.5</v>
      </c>
      <c r="P670" t="str" cm="1">
        <f t="array" ref="P670">_xlfn.IFS(K670="Rob","Robusta",K670="Exc","Excelsa",K670="Ara","Arabica",K670="Lib","Liberica")</f>
        <v>Excelsa</v>
      </c>
      <c r="Q670" t="str" cm="1">
        <f t="array" ref="Q670">_xlfn.IFS(L670="M","Medium",L670="L","Light",L670="D","Dark")</f>
        <v>Medium</v>
      </c>
      <c r="R670" t="str">
        <f>_xlfn.XLOOKUP(Orders[[#This Row],[Customer ID]],customers!$A$1:$A$1001,customers!$I$1:$I$1001)</f>
        <v>No</v>
      </c>
    </row>
    <row r="671" spans="1:18" x14ac:dyDescent="0.35">
      <c r="A671" s="2" t="s">
        <v>4723</v>
      </c>
      <c r="B671" s="4">
        <v>44209</v>
      </c>
      <c r="C671" s="23">
        <f>Orders[[#This Row],[Order Date]]</f>
        <v>44209</v>
      </c>
      <c r="D671" s="2">
        <f>YEAR(Orders[[#This Row],[Order Date]])</f>
        <v>2021</v>
      </c>
      <c r="E671" s="2" t="s">
        <v>4724</v>
      </c>
      <c r="F671" t="s">
        <v>6163</v>
      </c>
      <c r="G671" s="20">
        <v>2</v>
      </c>
      <c r="H671" s="2" t="str">
        <f>INDEX(customers!$A$1:$I$1001,MATCH($E671,customers!$A$1:$A$1001,),MATCH($H$1,customers!$A$1:$I$1,0))</f>
        <v>Melodie OIlier</v>
      </c>
      <c r="I671" s="2" t="str">
        <f>IF(INDEX(customers!$A$1:$I$1001,MATCH($E671,customers!$A$1:$A$1001,0),3)=0,"",INDEX(customers!$A$1:$I$1001,MATCH($E671,customers!$A$1:$A$1001,0),3))</f>
        <v>moilierkt@paginegialle.it</v>
      </c>
      <c r="J671" s="2" t="str">
        <f>_xlfn.XLOOKUP(E671,customers!$A$1:$A$1001,customers!$G$1:$G$1001)</f>
        <v>Ireland</v>
      </c>
      <c r="K671" t="str">
        <f>INDEX(products!$A$1:$G$49,MATCH($F671,products!$A$1:$A$49,0),MATCH(K$1,products!$A$1:$G$1,0))</f>
        <v>Rob</v>
      </c>
      <c r="L671" t="str">
        <f>INDEX(products!$A$1:$G$49,MATCH($F671,products!$A$1:$A$49,0),MATCH(L$1,products!$A$1:$G$1,0))</f>
        <v>D</v>
      </c>
      <c r="M671" s="5">
        <f>INDEX(products!$A$1:$G$49,MATCH($F671,products!$A$1:$A$49,0),MATCH(M$1,products!$A$1:$G$1,0))</f>
        <v>0.2</v>
      </c>
      <c r="N671" s="7">
        <f>INDEX(products!$A$1:$G$49,MATCH($F671,products!$A$1:$A$49,0),MATCH(N$1,products!$A$1:$G$1,0))</f>
        <v>2.6849999999999996</v>
      </c>
      <c r="O671" s="7">
        <f t="shared" si="10"/>
        <v>5.3699999999999992</v>
      </c>
      <c r="P671" t="str" cm="1">
        <f t="array" ref="P671">_xlfn.IFS(K671="Rob","Robusta",K671="Exc","Excelsa",K671="Ara","Arabica",K671="Lib","Liberica")</f>
        <v>Robusta</v>
      </c>
      <c r="Q671" t="str" cm="1">
        <f t="array" ref="Q671">_xlfn.IFS(L671="M","Medium",L671="L","Light",L671="D","Dark")</f>
        <v>Dark</v>
      </c>
      <c r="R671" t="str">
        <f>_xlfn.XLOOKUP(Orders[[#This Row],[Customer ID]],customers!$A$1:$A$1001,customers!$I$1:$I$1001)</f>
        <v>Yes</v>
      </c>
    </row>
    <row r="672" spans="1:18" x14ac:dyDescent="0.35">
      <c r="A672" s="2" t="s">
        <v>2911</v>
      </c>
      <c r="B672" s="4">
        <v>44504</v>
      </c>
      <c r="C672" s="23">
        <f>Orders[[#This Row],[Order Date]]</f>
        <v>44504</v>
      </c>
      <c r="D672" s="2">
        <f>YEAR(Orders[[#This Row],[Order Date]])</f>
        <v>2021</v>
      </c>
      <c r="E672" s="2" t="s">
        <v>2912</v>
      </c>
      <c r="F672" t="s">
        <v>6163</v>
      </c>
      <c r="G672" s="20">
        <v>2</v>
      </c>
      <c r="H672" s="2" t="str">
        <f>INDEX(customers!$A$1:$I$1001,MATCH($E672,customers!$A$1:$A$1001,),MATCH($H$1,customers!$A$1:$I$1,0))</f>
        <v>Melosa Kippen</v>
      </c>
      <c r="I672" s="2" t="str">
        <f>IF(INDEX(customers!$A$1:$I$1001,MATCH($E672,customers!$A$1:$A$1001,0),3)=0,"",INDEX(customers!$A$1:$I$1001,MATCH($E672,customers!$A$1:$A$1001,0),3))</f>
        <v>mkippenby@dion.ne.jp</v>
      </c>
      <c r="J672" s="2" t="str">
        <f>_xlfn.XLOOKUP(E672,customers!$A$1:$A$1001,customers!$G$1:$G$1001)</f>
        <v>United States</v>
      </c>
      <c r="K672" t="str">
        <f>INDEX(products!$A$1:$G$49,MATCH($F672,products!$A$1:$A$49,0),MATCH(K$1,products!$A$1:$G$1,0))</f>
        <v>Rob</v>
      </c>
      <c r="L672" t="str">
        <f>INDEX(products!$A$1:$G$49,MATCH($F672,products!$A$1:$A$49,0),MATCH(L$1,products!$A$1:$G$1,0))</f>
        <v>D</v>
      </c>
      <c r="M672" s="5">
        <f>INDEX(products!$A$1:$G$49,MATCH($F672,products!$A$1:$A$49,0),MATCH(M$1,products!$A$1:$G$1,0))</f>
        <v>0.2</v>
      </c>
      <c r="N672" s="7">
        <f>INDEX(products!$A$1:$G$49,MATCH($F672,products!$A$1:$A$49,0),MATCH(N$1,products!$A$1:$G$1,0))</f>
        <v>2.6849999999999996</v>
      </c>
      <c r="O672" s="7">
        <f t="shared" si="10"/>
        <v>5.3699999999999992</v>
      </c>
      <c r="P672" t="str" cm="1">
        <f t="array" ref="P672">_xlfn.IFS(K672="Rob","Robusta",K672="Exc","Excelsa",K672="Ara","Arabica",K672="Lib","Liberica")</f>
        <v>Robusta</v>
      </c>
      <c r="Q672" t="str" cm="1">
        <f t="array" ref="Q672">_xlfn.IFS(L672="M","Medium",L672="L","Light",L672="D","Dark")</f>
        <v>Dark</v>
      </c>
      <c r="R672" t="str">
        <f>_xlfn.XLOOKUP(Orders[[#This Row],[Customer ID]],customers!$A$1:$A$1001,customers!$I$1:$I$1001)</f>
        <v>Yes</v>
      </c>
    </row>
    <row r="673" spans="1:18" x14ac:dyDescent="0.35">
      <c r="A673" s="2" t="s">
        <v>530</v>
      </c>
      <c r="B673" s="4">
        <v>44701</v>
      </c>
      <c r="C673" s="23">
        <f>Orders[[#This Row],[Order Date]]</f>
        <v>44701</v>
      </c>
      <c r="D673" s="2">
        <f>YEAR(Orders[[#This Row],[Order Date]])</f>
        <v>2022</v>
      </c>
      <c r="E673" s="2" t="s">
        <v>531</v>
      </c>
      <c r="F673" t="s">
        <v>6145</v>
      </c>
      <c r="G673" s="20">
        <v>1</v>
      </c>
      <c r="H673" s="2" t="str">
        <f>INDEX(customers!$A$1:$I$1001,MATCH($E673,customers!$A$1:$A$1001,),MATCH($H$1,customers!$A$1:$I$1,0))</f>
        <v>Melvin Wharfe</v>
      </c>
      <c r="I673" s="2" t="str">
        <f>IF(INDEX(customers!$A$1:$I$1001,MATCH($E673,customers!$A$1:$A$1001,0),3)=0,"",INDEX(customers!$A$1:$I$1001,MATCH($E673,customers!$A$1:$A$1001,0),3))</f>
        <v/>
      </c>
      <c r="J673" s="2" t="str">
        <f>_xlfn.XLOOKUP(E673,customers!$A$1:$A$1001,customers!$G$1:$G$1001)</f>
        <v>Ireland</v>
      </c>
      <c r="K673" t="str">
        <f>INDEX(products!$A$1:$G$49,MATCH($F673,products!$A$1:$A$49,0),MATCH(K$1,products!$A$1:$G$1,0))</f>
        <v>Lib</v>
      </c>
      <c r="L673" t="str">
        <f>INDEX(products!$A$1:$G$49,MATCH($F673,products!$A$1:$A$49,0),MATCH(L$1,products!$A$1:$G$1,0))</f>
        <v>L</v>
      </c>
      <c r="M673" s="5">
        <f>INDEX(products!$A$1:$G$49,MATCH($F673,products!$A$1:$A$49,0),MATCH(M$1,products!$A$1:$G$1,0))</f>
        <v>0.2</v>
      </c>
      <c r="N673" s="7">
        <f>INDEX(products!$A$1:$G$49,MATCH($F673,products!$A$1:$A$49,0),MATCH(N$1,products!$A$1:$G$1,0))</f>
        <v>4.7549999999999999</v>
      </c>
      <c r="O673" s="7">
        <f t="shared" si="10"/>
        <v>4.7549999999999999</v>
      </c>
      <c r="P673" t="str" cm="1">
        <f t="array" ref="P673">_xlfn.IFS(K673="Rob","Robusta",K673="Exc","Excelsa",K673="Ara","Arabica",K673="Lib","Liberica")</f>
        <v>Liberica</v>
      </c>
      <c r="Q673" t="str" cm="1">
        <f t="array" ref="Q673">_xlfn.IFS(L673="M","Medium",L673="L","Light",L673="D","Dark")</f>
        <v>Light</v>
      </c>
      <c r="R673" t="str">
        <f>_xlfn.XLOOKUP(Orders[[#This Row],[Customer ID]],customers!$A$1:$A$1001,customers!$I$1:$I$1001)</f>
        <v>Yes</v>
      </c>
    </row>
    <row r="674" spans="1:18" x14ac:dyDescent="0.35">
      <c r="A674" s="2" t="s">
        <v>1900</v>
      </c>
      <c r="B674" s="4">
        <v>43879</v>
      </c>
      <c r="C674" s="23">
        <f>Orders[[#This Row],[Order Date]]</f>
        <v>43879</v>
      </c>
      <c r="D674" s="2">
        <f>YEAR(Orders[[#This Row],[Order Date]])</f>
        <v>2020</v>
      </c>
      <c r="E674" s="2" t="s">
        <v>1901</v>
      </c>
      <c r="F674" t="s">
        <v>6174</v>
      </c>
      <c r="G674" s="20">
        <v>1</v>
      </c>
      <c r="H674" s="2" t="str">
        <f>INDEX(customers!$A$1:$I$1001,MATCH($E674,customers!$A$1:$A$1001,),MATCH($H$1,customers!$A$1:$I$1,0))</f>
        <v>Mercedes Acott</v>
      </c>
      <c r="I674" s="2" t="str">
        <f>IF(INDEX(customers!$A$1:$I$1001,MATCH($E674,customers!$A$1:$A$1001,0),3)=0,"",INDEX(customers!$A$1:$I$1001,MATCH($E674,customers!$A$1:$A$1001,0),3))</f>
        <v>macott6y@pagesperso-orange.fr</v>
      </c>
      <c r="J674" s="2" t="str">
        <f>_xlfn.XLOOKUP(E674,customers!$A$1:$A$1001,customers!$G$1:$G$1001)</f>
        <v>United States</v>
      </c>
      <c r="K674" t="str">
        <f>INDEX(products!$A$1:$G$49,MATCH($F674,products!$A$1:$A$49,0),MATCH(K$1,products!$A$1:$G$1,0))</f>
        <v>Rob</v>
      </c>
      <c r="L674" t="str">
        <f>INDEX(products!$A$1:$G$49,MATCH($F674,products!$A$1:$A$49,0),MATCH(L$1,products!$A$1:$G$1,0))</f>
        <v>M</v>
      </c>
      <c r="M674" s="5">
        <f>INDEX(products!$A$1:$G$49,MATCH($F674,products!$A$1:$A$49,0),MATCH(M$1,products!$A$1:$G$1,0))</f>
        <v>0.2</v>
      </c>
      <c r="N674" s="7">
        <f>INDEX(products!$A$1:$G$49,MATCH($F674,products!$A$1:$A$49,0),MATCH(N$1,products!$A$1:$G$1,0))</f>
        <v>2.9849999999999999</v>
      </c>
      <c r="O674" s="7">
        <f t="shared" si="10"/>
        <v>2.9849999999999999</v>
      </c>
      <c r="P674" t="str" cm="1">
        <f t="array" ref="P674">_xlfn.IFS(K674="Rob","Robusta",K674="Exc","Excelsa",K674="Ara","Arabica",K674="Lib","Liberica")</f>
        <v>Robusta</v>
      </c>
      <c r="Q674" t="str" cm="1">
        <f t="array" ref="Q674">_xlfn.IFS(L674="M","Medium",L674="L","Light",L674="D","Dark")</f>
        <v>Medium</v>
      </c>
      <c r="R674" t="str">
        <f>_xlfn.XLOOKUP(Orders[[#This Row],[Customer ID]],customers!$A$1:$A$1001,customers!$I$1:$I$1001)</f>
        <v>Yes</v>
      </c>
    </row>
    <row r="675" spans="1:18" x14ac:dyDescent="0.35">
      <c r="A675" s="2" t="s">
        <v>4991</v>
      </c>
      <c r="B675" s="4">
        <v>44533</v>
      </c>
      <c r="C675" s="23">
        <f>Orders[[#This Row],[Order Date]]</f>
        <v>44533</v>
      </c>
      <c r="D675" s="2">
        <f>YEAR(Orders[[#This Row],[Order Date]])</f>
        <v>2021</v>
      </c>
      <c r="E675" s="2" t="s">
        <v>4992</v>
      </c>
      <c r="F675" t="s">
        <v>6161</v>
      </c>
      <c r="G675" s="20">
        <v>1</v>
      </c>
      <c r="H675" s="2" t="str">
        <f>INDEX(customers!$A$1:$I$1001,MATCH($E675,customers!$A$1:$A$1001,),MATCH($H$1,customers!$A$1:$I$1,0))</f>
        <v>Merell Zanazzi</v>
      </c>
      <c r="I675" s="2" t="str">
        <f>IF(INDEX(customers!$A$1:$I$1001,MATCH($E675,customers!$A$1:$A$1001,0),3)=0,"",INDEX(customers!$A$1:$I$1001,MATCH($E675,customers!$A$1:$A$1001,0),3))</f>
        <v/>
      </c>
      <c r="J675" s="2" t="str">
        <f>_xlfn.XLOOKUP(E675,customers!$A$1:$A$1001,customers!$G$1:$G$1001)</f>
        <v>United States</v>
      </c>
      <c r="K675" t="str">
        <f>INDEX(products!$A$1:$G$49,MATCH($F675,products!$A$1:$A$49,0),MATCH(K$1,products!$A$1:$G$1,0))</f>
        <v>Lib</v>
      </c>
      <c r="L675" t="str">
        <f>INDEX(products!$A$1:$G$49,MATCH($F675,products!$A$1:$A$49,0),MATCH(L$1,products!$A$1:$G$1,0))</f>
        <v>L</v>
      </c>
      <c r="M675" s="5">
        <f>INDEX(products!$A$1:$G$49,MATCH($F675,products!$A$1:$A$49,0),MATCH(M$1,products!$A$1:$G$1,0))</f>
        <v>0.5</v>
      </c>
      <c r="N675" s="7">
        <f>INDEX(products!$A$1:$G$49,MATCH($F675,products!$A$1:$A$49,0),MATCH(N$1,products!$A$1:$G$1,0))</f>
        <v>9.51</v>
      </c>
      <c r="O675" s="7">
        <f t="shared" si="10"/>
        <v>9.51</v>
      </c>
      <c r="P675" t="str" cm="1">
        <f t="array" ref="P675">_xlfn.IFS(K675="Rob","Robusta",K675="Exc","Excelsa",K675="Ara","Arabica",K675="Lib","Liberica")</f>
        <v>Liberica</v>
      </c>
      <c r="Q675" t="str" cm="1">
        <f t="array" ref="Q675">_xlfn.IFS(L675="M","Medium",L675="L","Light",L675="D","Dark")</f>
        <v>Light</v>
      </c>
      <c r="R675" t="str">
        <f>_xlfn.XLOOKUP(Orders[[#This Row],[Customer ID]],customers!$A$1:$A$1001,customers!$I$1:$I$1001)</f>
        <v>No</v>
      </c>
    </row>
    <row r="676" spans="1:18" x14ac:dyDescent="0.35">
      <c r="A676" s="2" t="s">
        <v>1123</v>
      </c>
      <c r="B676" s="4">
        <v>43556</v>
      </c>
      <c r="C676" s="23">
        <f>Orders[[#This Row],[Order Date]]</f>
        <v>43556</v>
      </c>
      <c r="D676" s="2">
        <f>YEAR(Orders[[#This Row],[Order Date]])</f>
        <v>2019</v>
      </c>
      <c r="E676" s="2" t="s">
        <v>1124</v>
      </c>
      <c r="F676" t="s">
        <v>6162</v>
      </c>
      <c r="G676" s="20">
        <v>1</v>
      </c>
      <c r="H676" s="2" t="str">
        <f>INDEX(customers!$A$1:$I$1001,MATCH($E676,customers!$A$1:$A$1001,),MATCH($H$1,customers!$A$1:$I$1,0))</f>
        <v>Merrel Steptow</v>
      </c>
      <c r="I676" s="2" t="str">
        <f>IF(INDEX(customers!$A$1:$I$1001,MATCH($E676,customers!$A$1:$A$1001,0),3)=0,"",INDEX(customers!$A$1:$I$1001,MATCH($E676,customers!$A$1:$A$1001,0),3))</f>
        <v>msteptow35@earthlink.net</v>
      </c>
      <c r="J676" s="2" t="str">
        <f>_xlfn.XLOOKUP(E676,customers!$A$1:$A$1001,customers!$G$1:$G$1001)</f>
        <v>Ireland</v>
      </c>
      <c r="K676" t="str">
        <f>INDEX(products!$A$1:$G$49,MATCH($F676,products!$A$1:$A$49,0),MATCH(K$1,products!$A$1:$G$1,0))</f>
        <v>Lib</v>
      </c>
      <c r="L676" t="str">
        <f>INDEX(products!$A$1:$G$49,MATCH($F676,products!$A$1:$A$49,0),MATCH(L$1,products!$A$1:$G$1,0))</f>
        <v>M</v>
      </c>
      <c r="M676" s="5">
        <f>INDEX(products!$A$1:$G$49,MATCH($F676,products!$A$1:$A$49,0),MATCH(M$1,products!$A$1:$G$1,0))</f>
        <v>1</v>
      </c>
      <c r="N676" s="7">
        <f>INDEX(products!$A$1:$G$49,MATCH($F676,products!$A$1:$A$49,0),MATCH(N$1,products!$A$1:$G$1,0))</f>
        <v>14.55</v>
      </c>
      <c r="O676" s="7">
        <f t="shared" si="10"/>
        <v>14.55</v>
      </c>
      <c r="P676" t="str" cm="1">
        <f t="array" ref="P676">_xlfn.IFS(K676="Rob","Robusta",K676="Exc","Excelsa",K676="Ara","Arabica",K676="Lib","Liberica")</f>
        <v>Liberica</v>
      </c>
      <c r="Q676" t="str" cm="1">
        <f t="array" ref="Q676">_xlfn.IFS(L676="M","Medium",L676="L","Light",L676="D","Dark")</f>
        <v>Medium</v>
      </c>
      <c r="R676" t="str">
        <f>_xlfn.XLOOKUP(Orders[[#This Row],[Customer ID]],customers!$A$1:$A$1001,customers!$I$1:$I$1001)</f>
        <v>No</v>
      </c>
    </row>
    <row r="677" spans="1:18" x14ac:dyDescent="0.35">
      <c r="A677" s="2" t="s">
        <v>5654</v>
      </c>
      <c r="B677" s="4">
        <v>44406</v>
      </c>
      <c r="C677" s="23">
        <f>Orders[[#This Row],[Order Date]]</f>
        <v>44406</v>
      </c>
      <c r="D677" s="2">
        <f>YEAR(Orders[[#This Row],[Order Date]])</f>
        <v>2021</v>
      </c>
      <c r="E677" s="2" t="s">
        <v>5655</v>
      </c>
      <c r="F677" t="s">
        <v>6157</v>
      </c>
      <c r="G677" s="20">
        <v>1</v>
      </c>
      <c r="H677" s="2" t="str">
        <f>INDEX(customers!$A$1:$I$1001,MATCH($E677,customers!$A$1:$A$1001,),MATCH($H$1,customers!$A$1:$I$1,0))</f>
        <v>Merrile Cobbledick</v>
      </c>
      <c r="I677" s="2" t="str">
        <f>IF(INDEX(customers!$A$1:$I$1001,MATCH($E677,customers!$A$1:$A$1001,0),3)=0,"",INDEX(customers!$A$1:$I$1001,MATCH($E677,customers!$A$1:$A$1001,0),3))</f>
        <v>mcobbledickpd@ucsd.edu</v>
      </c>
      <c r="J677" s="2" t="str">
        <f>_xlfn.XLOOKUP(E677,customers!$A$1:$A$1001,customers!$G$1:$G$1001)</f>
        <v>United States</v>
      </c>
      <c r="K677" t="str">
        <f>INDEX(products!$A$1:$G$49,MATCH($F677,products!$A$1:$A$49,0),MATCH(K$1,products!$A$1:$G$1,0))</f>
        <v>Ara</v>
      </c>
      <c r="L677" t="str">
        <f>INDEX(products!$A$1:$G$49,MATCH($F677,products!$A$1:$A$49,0),MATCH(L$1,products!$A$1:$G$1,0))</f>
        <v>M</v>
      </c>
      <c r="M677" s="5">
        <f>INDEX(products!$A$1:$G$49,MATCH($F677,products!$A$1:$A$49,0),MATCH(M$1,products!$A$1:$G$1,0))</f>
        <v>0.5</v>
      </c>
      <c r="N677" s="7">
        <f>INDEX(products!$A$1:$G$49,MATCH($F677,products!$A$1:$A$49,0),MATCH(N$1,products!$A$1:$G$1,0))</f>
        <v>6.75</v>
      </c>
      <c r="O677" s="7">
        <f t="shared" si="10"/>
        <v>6.75</v>
      </c>
      <c r="P677" t="str" cm="1">
        <f t="array" ref="P677">_xlfn.IFS(K677="Rob","Robusta",K677="Exc","Excelsa",K677="Ara","Arabica",K677="Lib","Liberica")</f>
        <v>Arabica</v>
      </c>
      <c r="Q677" t="str" cm="1">
        <f t="array" ref="Q677">_xlfn.IFS(L677="M","Medium",L677="L","Light",L677="D","Dark")</f>
        <v>Medium</v>
      </c>
      <c r="R677" t="str">
        <f>_xlfn.XLOOKUP(Orders[[#This Row],[Customer ID]],customers!$A$1:$A$1001,customers!$I$1:$I$1001)</f>
        <v>No</v>
      </c>
    </row>
    <row r="678" spans="1:18" x14ac:dyDescent="0.35">
      <c r="A678" s="2" t="s">
        <v>5774</v>
      </c>
      <c r="B678" s="4">
        <v>44153</v>
      </c>
      <c r="C678" s="23">
        <f>Orders[[#This Row],[Order Date]]</f>
        <v>44153</v>
      </c>
      <c r="D678" s="2">
        <f>YEAR(Orders[[#This Row],[Order Date]])</f>
        <v>2020</v>
      </c>
      <c r="E678" s="2" t="s">
        <v>5775</v>
      </c>
      <c r="F678" t="s">
        <v>6175</v>
      </c>
      <c r="G678" s="20">
        <v>6</v>
      </c>
      <c r="H678" s="2" t="str">
        <f>INDEX(customers!$A$1:$I$1001,MATCH($E678,customers!$A$1:$A$1001,),MATCH($H$1,customers!$A$1:$I$1,0))</f>
        <v>Michale Delves</v>
      </c>
      <c r="I678" s="2" t="str">
        <f>IF(INDEX(customers!$A$1:$I$1001,MATCH($E678,customers!$A$1:$A$1001,0),3)=0,"",INDEX(customers!$A$1:$I$1001,MATCH($E678,customers!$A$1:$A$1001,0),3))</f>
        <v>mdelvespz@nature.com</v>
      </c>
      <c r="J678" s="2" t="str">
        <f>_xlfn.XLOOKUP(E678,customers!$A$1:$A$1001,customers!$G$1:$G$1001)</f>
        <v>United States</v>
      </c>
      <c r="K678" t="str">
        <f>INDEX(products!$A$1:$G$49,MATCH($F678,products!$A$1:$A$49,0),MATCH(K$1,products!$A$1:$G$1,0))</f>
        <v>Ara</v>
      </c>
      <c r="L678" t="str">
        <f>INDEX(products!$A$1:$G$49,MATCH($F678,products!$A$1:$A$49,0),MATCH(L$1,products!$A$1:$G$1,0))</f>
        <v>M</v>
      </c>
      <c r="M678" s="5">
        <f>INDEX(products!$A$1:$G$49,MATCH($F678,products!$A$1:$A$49,0),MATCH(M$1,products!$A$1:$G$1,0))</f>
        <v>2.5</v>
      </c>
      <c r="N678" s="7">
        <f>INDEX(products!$A$1:$G$49,MATCH($F678,products!$A$1:$A$49,0),MATCH(N$1,products!$A$1:$G$1,0))</f>
        <v>25.874999999999996</v>
      </c>
      <c r="O678" s="7">
        <f t="shared" si="10"/>
        <v>155.24999999999997</v>
      </c>
      <c r="P678" t="str" cm="1">
        <f t="array" ref="P678">_xlfn.IFS(K678="Rob","Robusta",K678="Exc","Excelsa",K678="Ara","Arabica",K678="Lib","Liberica")</f>
        <v>Arabica</v>
      </c>
      <c r="Q678" t="str" cm="1">
        <f t="array" ref="Q678">_xlfn.IFS(L678="M","Medium",L678="L","Light",L678="D","Dark")</f>
        <v>Medium</v>
      </c>
      <c r="R678" t="str">
        <f>_xlfn.XLOOKUP(Orders[[#This Row],[Customer ID]],customers!$A$1:$A$1001,customers!$I$1:$I$1001)</f>
        <v>Yes</v>
      </c>
    </row>
    <row r="679" spans="1:18" x14ac:dyDescent="0.35">
      <c r="A679" s="2" t="s">
        <v>2148</v>
      </c>
      <c r="B679" s="4">
        <v>44659</v>
      </c>
      <c r="C679" s="23">
        <f>Orders[[#This Row],[Order Date]]</f>
        <v>44659</v>
      </c>
      <c r="D679" s="2">
        <f>YEAR(Orders[[#This Row],[Order Date]])</f>
        <v>2022</v>
      </c>
      <c r="E679" s="2" t="s">
        <v>2149</v>
      </c>
      <c r="F679" t="s">
        <v>6171</v>
      </c>
      <c r="G679" s="20">
        <v>3</v>
      </c>
      <c r="H679" s="2" t="str">
        <f>INDEX(customers!$A$1:$I$1001,MATCH($E679,customers!$A$1:$A$1001,),MATCH($H$1,customers!$A$1:$I$1,0))</f>
        <v>Micki Fero</v>
      </c>
      <c r="I679" s="2" t="str">
        <f>IF(INDEX(customers!$A$1:$I$1001,MATCH($E679,customers!$A$1:$A$1001,0),3)=0,"",INDEX(customers!$A$1:$I$1001,MATCH($E679,customers!$A$1:$A$1001,0),3))</f>
        <v/>
      </c>
      <c r="J679" s="2" t="str">
        <f>_xlfn.XLOOKUP(E679,customers!$A$1:$A$1001,customers!$G$1:$G$1001)</f>
        <v>United States</v>
      </c>
      <c r="K679" t="str">
        <f>INDEX(products!$A$1:$G$49,MATCH($F679,products!$A$1:$A$49,0),MATCH(K$1,products!$A$1:$G$1,0))</f>
        <v>Exc</v>
      </c>
      <c r="L679" t="str">
        <f>INDEX(products!$A$1:$G$49,MATCH($F679,products!$A$1:$A$49,0),MATCH(L$1,products!$A$1:$G$1,0))</f>
        <v>L</v>
      </c>
      <c r="M679" s="5">
        <f>INDEX(products!$A$1:$G$49,MATCH($F679,products!$A$1:$A$49,0),MATCH(M$1,products!$A$1:$G$1,0))</f>
        <v>1</v>
      </c>
      <c r="N679" s="7">
        <f>INDEX(products!$A$1:$G$49,MATCH($F679,products!$A$1:$A$49,0),MATCH(N$1,products!$A$1:$G$1,0))</f>
        <v>14.85</v>
      </c>
      <c r="O679" s="7">
        <f t="shared" si="10"/>
        <v>44.55</v>
      </c>
      <c r="P679" t="str" cm="1">
        <f t="array" ref="P679">_xlfn.IFS(K679="Rob","Robusta",K679="Exc","Excelsa",K679="Ara","Arabica",K679="Lib","Liberica")</f>
        <v>Excelsa</v>
      </c>
      <c r="Q679" t="str" cm="1">
        <f t="array" ref="Q679">_xlfn.IFS(L679="M","Medium",L679="L","Light",L679="D","Dark")</f>
        <v>Light</v>
      </c>
      <c r="R679" t="str">
        <f>_xlfn.XLOOKUP(Orders[[#This Row],[Customer ID]],customers!$A$1:$A$1001,customers!$I$1:$I$1001)</f>
        <v>No</v>
      </c>
    </row>
    <row r="680" spans="1:18" x14ac:dyDescent="0.35">
      <c r="A680" s="2" t="s">
        <v>4319</v>
      </c>
      <c r="B680" s="4">
        <v>44281</v>
      </c>
      <c r="C680" s="23">
        <f>Orders[[#This Row],[Order Date]]</f>
        <v>44281</v>
      </c>
      <c r="D680" s="2">
        <f>YEAR(Orders[[#This Row],[Order Date]])</f>
        <v>2021</v>
      </c>
      <c r="E680" s="2" t="s">
        <v>4320</v>
      </c>
      <c r="F680" t="s">
        <v>6182</v>
      </c>
      <c r="G680" s="20">
        <v>6</v>
      </c>
      <c r="H680" s="2" t="str">
        <f>INDEX(customers!$A$1:$I$1001,MATCH($E680,customers!$A$1:$A$1001,),MATCH($H$1,customers!$A$1:$I$1,0))</f>
        <v>Milty Middis</v>
      </c>
      <c r="I680" s="2" t="str">
        <f>IF(INDEX(customers!$A$1:$I$1001,MATCH($E680,customers!$A$1:$A$1001,0),3)=0,"",INDEX(customers!$A$1:$I$1001,MATCH($E680,customers!$A$1:$A$1001,0),3))</f>
        <v>mmiddisiu@dmoz.org</v>
      </c>
      <c r="J680" s="2" t="str">
        <f>_xlfn.XLOOKUP(E680,customers!$A$1:$A$1001,customers!$G$1:$G$1001)</f>
        <v>United States</v>
      </c>
      <c r="K680" t="str">
        <f>INDEX(products!$A$1:$G$49,MATCH($F680,products!$A$1:$A$49,0),MATCH(K$1,products!$A$1:$G$1,0))</f>
        <v>Ara</v>
      </c>
      <c r="L680" t="str">
        <f>INDEX(products!$A$1:$G$49,MATCH($F680,products!$A$1:$A$49,0),MATCH(L$1,products!$A$1:$G$1,0))</f>
        <v>L</v>
      </c>
      <c r="M680" s="5">
        <f>INDEX(products!$A$1:$G$49,MATCH($F680,products!$A$1:$A$49,0),MATCH(M$1,products!$A$1:$G$1,0))</f>
        <v>2.5</v>
      </c>
      <c r="N680" s="7">
        <f>INDEX(products!$A$1:$G$49,MATCH($F680,products!$A$1:$A$49,0),MATCH(N$1,products!$A$1:$G$1,0))</f>
        <v>29.784999999999997</v>
      </c>
      <c r="O680" s="7">
        <f t="shared" si="10"/>
        <v>178.70999999999998</v>
      </c>
      <c r="P680" t="str" cm="1">
        <f t="array" ref="P680">_xlfn.IFS(K680="Rob","Robusta",K680="Exc","Excelsa",K680="Ara","Arabica",K680="Lib","Liberica")</f>
        <v>Arabica</v>
      </c>
      <c r="Q680" t="str" cm="1">
        <f t="array" ref="Q680">_xlfn.IFS(L680="M","Medium",L680="L","Light",L680="D","Dark")</f>
        <v>Light</v>
      </c>
      <c r="R680" t="str">
        <f>_xlfn.XLOOKUP(Orders[[#This Row],[Customer ID]],customers!$A$1:$A$1001,customers!$I$1:$I$1001)</f>
        <v>Yes</v>
      </c>
    </row>
    <row r="681" spans="1:18" x14ac:dyDescent="0.35">
      <c r="A681" s="2" t="s">
        <v>1420</v>
      </c>
      <c r="B681" s="4">
        <v>44234</v>
      </c>
      <c r="C681" s="23">
        <f>Orders[[#This Row],[Order Date]]</f>
        <v>44234</v>
      </c>
      <c r="D681" s="2">
        <f>YEAR(Orders[[#This Row],[Order Date]])</f>
        <v>2021</v>
      </c>
      <c r="E681" s="2" t="s">
        <v>1421</v>
      </c>
      <c r="F681" t="s">
        <v>6177</v>
      </c>
      <c r="G681" s="20">
        <v>6</v>
      </c>
      <c r="H681" s="2" t="str">
        <f>INDEX(customers!$A$1:$I$1001,MATCH($E681,customers!$A$1:$A$1001,),MATCH($H$1,customers!$A$1:$I$1,0))</f>
        <v>Mina Elstone</v>
      </c>
      <c r="I681" s="2" t="str">
        <f>IF(INDEX(customers!$A$1:$I$1001,MATCH($E681,customers!$A$1:$A$1001,0),3)=0,"",INDEX(customers!$A$1:$I$1001,MATCH($E681,customers!$A$1:$A$1001,0),3))</f>
        <v/>
      </c>
      <c r="J681" s="2" t="str">
        <f>_xlfn.XLOOKUP(E681,customers!$A$1:$A$1001,customers!$G$1:$G$1001)</f>
        <v>United States</v>
      </c>
      <c r="K681" t="str">
        <f>INDEX(products!$A$1:$G$49,MATCH($F681,products!$A$1:$A$49,0),MATCH(K$1,products!$A$1:$G$1,0))</f>
        <v>Rob</v>
      </c>
      <c r="L681" t="str">
        <f>INDEX(products!$A$1:$G$49,MATCH($F681,products!$A$1:$A$49,0),MATCH(L$1,products!$A$1:$G$1,0))</f>
        <v>D</v>
      </c>
      <c r="M681" s="5">
        <f>INDEX(products!$A$1:$G$49,MATCH($F681,products!$A$1:$A$49,0),MATCH(M$1,products!$A$1:$G$1,0))</f>
        <v>1</v>
      </c>
      <c r="N681" s="7">
        <f>INDEX(products!$A$1:$G$49,MATCH($F681,products!$A$1:$A$49,0),MATCH(N$1,products!$A$1:$G$1,0))</f>
        <v>8.9499999999999993</v>
      </c>
      <c r="O681" s="7">
        <f t="shared" si="10"/>
        <v>53.699999999999996</v>
      </c>
      <c r="P681" t="str" cm="1">
        <f t="array" ref="P681">_xlfn.IFS(K681="Rob","Robusta",K681="Exc","Excelsa",K681="Ara","Arabica",K681="Lib","Liberica")</f>
        <v>Robusta</v>
      </c>
      <c r="Q681" t="str" cm="1">
        <f t="array" ref="Q681">_xlfn.IFS(L681="M","Medium",L681="L","Light",L681="D","Dark")</f>
        <v>Dark</v>
      </c>
      <c r="R681" t="str">
        <f>_xlfn.XLOOKUP(Orders[[#This Row],[Customer ID]],customers!$A$1:$A$1001,customers!$I$1:$I$1001)</f>
        <v>Yes</v>
      </c>
    </row>
    <row r="682" spans="1:18" x14ac:dyDescent="0.35">
      <c r="A682" s="2" t="s">
        <v>5643</v>
      </c>
      <c r="B682" s="4">
        <v>44511</v>
      </c>
      <c r="C682" s="23">
        <f>Orders[[#This Row],[Order Date]]</f>
        <v>44511</v>
      </c>
      <c r="D682" s="2">
        <f>YEAR(Orders[[#This Row],[Order Date]])</f>
        <v>2021</v>
      </c>
      <c r="E682" s="2" t="s">
        <v>5644</v>
      </c>
      <c r="F682" t="s">
        <v>6155</v>
      </c>
      <c r="G682" s="20">
        <v>4</v>
      </c>
      <c r="H682" s="2" t="str">
        <f>INDEX(customers!$A$1:$I$1001,MATCH($E682,customers!$A$1:$A$1001,),MATCH($H$1,customers!$A$1:$I$1,0))</f>
        <v>Mindy Bogey</v>
      </c>
      <c r="I682" s="2" t="str">
        <f>IF(INDEX(customers!$A$1:$I$1001,MATCH($E682,customers!$A$1:$A$1001,0),3)=0,"",INDEX(customers!$A$1:$I$1001,MATCH($E682,customers!$A$1:$A$1001,0),3))</f>
        <v>mbogeypb@thetimes.co.uk</v>
      </c>
      <c r="J682" s="2" t="str">
        <f>_xlfn.XLOOKUP(E682,customers!$A$1:$A$1001,customers!$G$1:$G$1001)</f>
        <v>United States</v>
      </c>
      <c r="K682" t="str">
        <f>INDEX(products!$A$1:$G$49,MATCH($F682,products!$A$1:$A$49,0),MATCH(K$1,products!$A$1:$G$1,0))</f>
        <v>Ara</v>
      </c>
      <c r="L682" t="str">
        <f>INDEX(products!$A$1:$G$49,MATCH($F682,products!$A$1:$A$49,0),MATCH(L$1,products!$A$1:$G$1,0))</f>
        <v>M</v>
      </c>
      <c r="M682" s="5">
        <f>INDEX(products!$A$1:$G$49,MATCH($F682,products!$A$1:$A$49,0),MATCH(M$1,products!$A$1:$G$1,0))</f>
        <v>1</v>
      </c>
      <c r="N682" s="7">
        <f>INDEX(products!$A$1:$G$49,MATCH($F682,products!$A$1:$A$49,0),MATCH(N$1,products!$A$1:$G$1,0))</f>
        <v>11.25</v>
      </c>
      <c r="O682" s="7">
        <f t="shared" si="10"/>
        <v>45</v>
      </c>
      <c r="P682" t="str" cm="1">
        <f t="array" ref="P682">_xlfn.IFS(K682="Rob","Robusta",K682="Exc","Excelsa",K682="Ara","Arabica",K682="Lib","Liberica")</f>
        <v>Arabica</v>
      </c>
      <c r="Q682" t="str" cm="1">
        <f t="array" ref="Q682">_xlfn.IFS(L682="M","Medium",L682="L","Light",L682="D","Dark")</f>
        <v>Medium</v>
      </c>
      <c r="R682" t="str">
        <f>_xlfn.XLOOKUP(Orders[[#This Row],[Customer ID]],customers!$A$1:$A$1001,customers!$I$1:$I$1001)</f>
        <v>Yes</v>
      </c>
    </row>
    <row r="683" spans="1:18" x14ac:dyDescent="0.35">
      <c r="A683" s="2" t="s">
        <v>2899</v>
      </c>
      <c r="B683" s="4">
        <v>43759</v>
      </c>
      <c r="C683" s="23">
        <f>Orders[[#This Row],[Order Date]]</f>
        <v>43759</v>
      </c>
      <c r="D683" s="2">
        <f>YEAR(Orders[[#This Row],[Order Date]])</f>
        <v>2019</v>
      </c>
      <c r="E683" s="2" t="s">
        <v>2900</v>
      </c>
      <c r="F683" t="s">
        <v>6179</v>
      </c>
      <c r="G683" s="20">
        <v>5</v>
      </c>
      <c r="H683" s="2" t="str">
        <f>INDEX(customers!$A$1:$I$1001,MATCH($E683,customers!$A$1:$A$1001,),MATCH($H$1,customers!$A$1:$I$1,0))</f>
        <v>Minetta Ackrill</v>
      </c>
      <c r="I683" s="2" t="str">
        <f>IF(INDEX(customers!$A$1:$I$1001,MATCH($E683,customers!$A$1:$A$1001,0),3)=0,"",INDEX(customers!$A$1:$I$1001,MATCH($E683,customers!$A$1:$A$1001,0),3))</f>
        <v>mackrillbw@bandcamp.com</v>
      </c>
      <c r="J683" s="2" t="str">
        <f>_xlfn.XLOOKUP(E683,customers!$A$1:$A$1001,customers!$G$1:$G$1001)</f>
        <v>United States</v>
      </c>
      <c r="K683" t="str">
        <f>INDEX(products!$A$1:$G$49,MATCH($F683,products!$A$1:$A$49,0),MATCH(K$1,products!$A$1:$G$1,0))</f>
        <v>Rob</v>
      </c>
      <c r="L683" t="str">
        <f>INDEX(products!$A$1:$G$49,MATCH($F683,products!$A$1:$A$49,0),MATCH(L$1,products!$A$1:$G$1,0))</f>
        <v>L</v>
      </c>
      <c r="M683" s="5">
        <f>INDEX(products!$A$1:$G$49,MATCH($F683,products!$A$1:$A$49,0),MATCH(M$1,products!$A$1:$G$1,0))</f>
        <v>1</v>
      </c>
      <c r="N683" s="7">
        <f>INDEX(products!$A$1:$G$49,MATCH($F683,products!$A$1:$A$49,0),MATCH(N$1,products!$A$1:$G$1,0))</f>
        <v>11.95</v>
      </c>
      <c r="O683" s="7">
        <f t="shared" si="10"/>
        <v>59.75</v>
      </c>
      <c r="P683" t="str" cm="1">
        <f t="array" ref="P683">_xlfn.IFS(K683="Rob","Robusta",K683="Exc","Excelsa",K683="Ara","Arabica",K683="Lib","Liberica")</f>
        <v>Robusta</v>
      </c>
      <c r="Q683" t="str" cm="1">
        <f t="array" ref="Q683">_xlfn.IFS(L683="M","Medium",L683="L","Light",L683="D","Dark")</f>
        <v>Light</v>
      </c>
      <c r="R683" t="str">
        <f>_xlfn.XLOOKUP(Orders[[#This Row],[Customer ID]],customers!$A$1:$A$1001,customers!$I$1:$I$1001)</f>
        <v>No</v>
      </c>
    </row>
    <row r="684" spans="1:18" x14ac:dyDescent="0.35">
      <c r="A684" s="2" t="s">
        <v>1677</v>
      </c>
      <c r="B684" s="4">
        <v>44283</v>
      </c>
      <c r="C684" s="23">
        <f>Orders[[#This Row],[Order Date]]</f>
        <v>44283</v>
      </c>
      <c r="D684" s="2">
        <f>YEAR(Orders[[#This Row],[Order Date]])</f>
        <v>2021</v>
      </c>
      <c r="E684" s="2" t="s">
        <v>1678</v>
      </c>
      <c r="F684" t="s">
        <v>6176</v>
      </c>
      <c r="G684" s="20">
        <v>6</v>
      </c>
      <c r="H684" s="2" t="str">
        <f>INDEX(customers!$A$1:$I$1001,MATCH($E684,customers!$A$1:$A$1001,),MATCH($H$1,customers!$A$1:$I$1,0))</f>
        <v>Minette Whellans</v>
      </c>
      <c r="I684" s="2" t="str">
        <f>IF(INDEX(customers!$A$1:$I$1001,MATCH($E684,customers!$A$1:$A$1001,0),3)=0,"",INDEX(customers!$A$1:$I$1001,MATCH($E684,customers!$A$1:$A$1001,0),3))</f>
        <v>mwhellans5v@mapquest.com</v>
      </c>
      <c r="J684" s="2" t="str">
        <f>_xlfn.XLOOKUP(E684,customers!$A$1:$A$1001,customers!$G$1:$G$1001)</f>
        <v>United States</v>
      </c>
      <c r="K684" t="str">
        <f>INDEX(products!$A$1:$G$49,MATCH($F684,products!$A$1:$A$49,0),MATCH(K$1,products!$A$1:$G$1,0))</f>
        <v>Exc</v>
      </c>
      <c r="L684" t="str">
        <f>INDEX(products!$A$1:$G$49,MATCH($F684,products!$A$1:$A$49,0),MATCH(L$1,products!$A$1:$G$1,0))</f>
        <v>L</v>
      </c>
      <c r="M684" s="5">
        <f>INDEX(products!$A$1:$G$49,MATCH($F684,products!$A$1:$A$49,0),MATCH(M$1,products!$A$1:$G$1,0))</f>
        <v>0.5</v>
      </c>
      <c r="N684" s="7">
        <f>INDEX(products!$A$1:$G$49,MATCH($F684,products!$A$1:$A$49,0),MATCH(N$1,products!$A$1:$G$1,0))</f>
        <v>8.91</v>
      </c>
      <c r="O684" s="7">
        <f t="shared" si="10"/>
        <v>53.46</v>
      </c>
      <c r="P684" t="str" cm="1">
        <f t="array" ref="P684">_xlfn.IFS(K684="Rob","Robusta",K684="Exc","Excelsa",K684="Ara","Arabica",K684="Lib","Liberica")</f>
        <v>Excelsa</v>
      </c>
      <c r="Q684" t="str" cm="1">
        <f t="array" ref="Q684">_xlfn.IFS(L684="M","Medium",L684="L","Light",L684="D","Dark")</f>
        <v>Light</v>
      </c>
      <c r="R684" t="str">
        <f>_xlfn.XLOOKUP(Orders[[#This Row],[Customer ID]],customers!$A$1:$A$1001,customers!$I$1:$I$1001)</f>
        <v>No</v>
      </c>
    </row>
    <row r="685" spans="1:18" x14ac:dyDescent="0.35">
      <c r="A685" s="2" t="s">
        <v>581</v>
      </c>
      <c r="B685" s="4">
        <v>43544</v>
      </c>
      <c r="C685" s="23">
        <f>Orders[[#This Row],[Order Date]]</f>
        <v>43544</v>
      </c>
      <c r="D685" s="2">
        <f>YEAR(Orders[[#This Row],[Order Date]])</f>
        <v>2019</v>
      </c>
      <c r="E685" s="2" t="s">
        <v>582</v>
      </c>
      <c r="F685" t="s">
        <v>6152</v>
      </c>
      <c r="G685" s="20">
        <v>6</v>
      </c>
      <c r="H685" s="2" t="str">
        <f>INDEX(customers!$A$1:$I$1001,MATCH($E685,customers!$A$1:$A$1001,),MATCH($H$1,customers!$A$1:$I$1,0))</f>
        <v>Minni Alabaster</v>
      </c>
      <c r="I685" s="2" t="str">
        <f>IF(INDEX(customers!$A$1:$I$1001,MATCH($E685,customers!$A$1:$A$1001,0),3)=0,"",INDEX(customers!$A$1:$I$1001,MATCH($E685,customers!$A$1:$A$1001,0),3))</f>
        <v>malabasterg@hexun.com</v>
      </c>
      <c r="J685" s="2" t="str">
        <f>_xlfn.XLOOKUP(E685,customers!$A$1:$A$1001,customers!$G$1:$G$1001)</f>
        <v>United States</v>
      </c>
      <c r="K685" t="str">
        <f>INDEX(products!$A$1:$G$49,MATCH($F685,products!$A$1:$A$49,0),MATCH(K$1,products!$A$1:$G$1,0))</f>
        <v>Ara</v>
      </c>
      <c r="L685" t="str">
        <f>INDEX(products!$A$1:$G$49,MATCH($F685,products!$A$1:$A$49,0),MATCH(L$1,products!$A$1:$G$1,0))</f>
        <v>M</v>
      </c>
      <c r="M685" s="5">
        <f>INDEX(products!$A$1:$G$49,MATCH($F685,products!$A$1:$A$49,0),MATCH(M$1,products!$A$1:$G$1,0))</f>
        <v>0.2</v>
      </c>
      <c r="N685" s="7">
        <f>INDEX(products!$A$1:$G$49,MATCH($F685,products!$A$1:$A$49,0),MATCH(N$1,products!$A$1:$G$1,0))</f>
        <v>3.375</v>
      </c>
      <c r="O685" s="7">
        <f t="shared" si="10"/>
        <v>20.25</v>
      </c>
      <c r="P685" t="str" cm="1">
        <f t="array" ref="P685">_xlfn.IFS(K685="Rob","Robusta",K685="Exc","Excelsa",K685="Ara","Arabica",K685="Lib","Liberica")</f>
        <v>Arabica</v>
      </c>
      <c r="Q685" t="str" cm="1">
        <f t="array" ref="Q685">_xlfn.IFS(L685="M","Medium",L685="L","Light",L685="D","Dark")</f>
        <v>Medium</v>
      </c>
      <c r="R685" t="str">
        <f>_xlfn.XLOOKUP(Orders[[#This Row],[Customer ID]],customers!$A$1:$A$1001,customers!$I$1:$I$1001)</f>
        <v>No</v>
      </c>
    </row>
    <row r="686" spans="1:18" x14ac:dyDescent="0.35">
      <c r="A686" s="2" t="s">
        <v>1453</v>
      </c>
      <c r="B686" s="4">
        <v>43544</v>
      </c>
      <c r="C686" s="23">
        <f>Orders[[#This Row],[Order Date]]</f>
        <v>43544</v>
      </c>
      <c r="D686" s="2">
        <f>YEAR(Orders[[#This Row],[Order Date]])</f>
        <v>2019</v>
      </c>
      <c r="E686" s="2" t="s">
        <v>1454</v>
      </c>
      <c r="F686" t="s">
        <v>6166</v>
      </c>
      <c r="G686" s="20">
        <v>2</v>
      </c>
      <c r="H686" s="2" t="str">
        <f>INDEX(customers!$A$1:$I$1001,MATCH($E686,customers!$A$1:$A$1001,),MATCH($H$1,customers!$A$1:$I$1,0))</f>
        <v>Minny Chamberlayne</v>
      </c>
      <c r="I686" s="2" t="str">
        <f>IF(INDEX(customers!$A$1:$I$1001,MATCH($E686,customers!$A$1:$A$1001,0),3)=0,"",INDEX(customers!$A$1:$I$1001,MATCH($E686,customers!$A$1:$A$1001,0),3))</f>
        <v>mchamberlayne4r@bigcartel.com</v>
      </c>
      <c r="J686" s="2" t="str">
        <f>_xlfn.XLOOKUP(E686,customers!$A$1:$A$1001,customers!$G$1:$G$1001)</f>
        <v>United States</v>
      </c>
      <c r="K686" t="str">
        <f>INDEX(products!$A$1:$G$49,MATCH($F686,products!$A$1:$A$49,0),MATCH(K$1,products!$A$1:$G$1,0))</f>
        <v>Exc</v>
      </c>
      <c r="L686" t="str">
        <f>INDEX(products!$A$1:$G$49,MATCH($F686,products!$A$1:$A$49,0),MATCH(L$1,products!$A$1:$G$1,0))</f>
        <v>M</v>
      </c>
      <c r="M686" s="5">
        <f>INDEX(products!$A$1:$G$49,MATCH($F686,products!$A$1:$A$49,0),MATCH(M$1,products!$A$1:$G$1,0))</f>
        <v>2.5</v>
      </c>
      <c r="N686" s="7">
        <f>INDEX(products!$A$1:$G$49,MATCH($F686,products!$A$1:$A$49,0),MATCH(N$1,products!$A$1:$G$1,0))</f>
        <v>31.624999999999996</v>
      </c>
      <c r="O686" s="7">
        <f t="shared" si="10"/>
        <v>63.249999999999993</v>
      </c>
      <c r="P686" t="str" cm="1">
        <f t="array" ref="P686">_xlfn.IFS(K686="Rob","Robusta",K686="Exc","Excelsa",K686="Ara","Arabica",K686="Lib","Liberica")</f>
        <v>Excelsa</v>
      </c>
      <c r="Q686" t="str" cm="1">
        <f t="array" ref="Q686">_xlfn.IFS(L686="M","Medium",L686="L","Light",L686="D","Dark")</f>
        <v>Medium</v>
      </c>
      <c r="R686" t="str">
        <f>_xlfn.XLOOKUP(Orders[[#This Row],[Customer ID]],customers!$A$1:$A$1001,customers!$I$1:$I$1001)</f>
        <v>Yes</v>
      </c>
    </row>
    <row r="687" spans="1:18" x14ac:dyDescent="0.35">
      <c r="A687" s="2" t="s">
        <v>5234</v>
      </c>
      <c r="B687" s="4">
        <v>44521</v>
      </c>
      <c r="C687" s="23">
        <f>Orders[[#This Row],[Order Date]]</f>
        <v>44521</v>
      </c>
      <c r="D687" s="2">
        <f>YEAR(Orders[[#This Row],[Order Date]])</f>
        <v>2021</v>
      </c>
      <c r="E687" s="2" t="s">
        <v>5235</v>
      </c>
      <c r="F687" t="s">
        <v>6139</v>
      </c>
      <c r="G687" s="20">
        <v>5</v>
      </c>
      <c r="H687" s="2" t="str">
        <f>INDEX(customers!$A$1:$I$1001,MATCH($E687,customers!$A$1:$A$1001,),MATCH($H$1,customers!$A$1:$I$1,0))</f>
        <v>Miran Doidge</v>
      </c>
      <c r="I687" s="2" t="str">
        <f>IF(INDEX(customers!$A$1:$I$1001,MATCH($E687,customers!$A$1:$A$1001,0),3)=0,"",INDEX(customers!$A$1:$I$1001,MATCH($E687,customers!$A$1:$A$1001,0),3))</f>
        <v>mdoidgenb@etsy.com</v>
      </c>
      <c r="J687" s="2" t="str">
        <f>_xlfn.XLOOKUP(E687,customers!$A$1:$A$1001,customers!$G$1:$G$1001)</f>
        <v>United States</v>
      </c>
      <c r="K687" t="str">
        <f>INDEX(products!$A$1:$G$49,MATCH($F687,products!$A$1:$A$49,0),MATCH(K$1,products!$A$1:$G$1,0))</f>
        <v>Exc</v>
      </c>
      <c r="L687" t="str">
        <f>INDEX(products!$A$1:$G$49,MATCH($F687,products!$A$1:$A$49,0),MATCH(L$1,products!$A$1:$G$1,0))</f>
        <v>M</v>
      </c>
      <c r="M687" s="5">
        <f>INDEX(products!$A$1:$G$49,MATCH($F687,products!$A$1:$A$49,0),MATCH(M$1,products!$A$1:$G$1,0))</f>
        <v>0.5</v>
      </c>
      <c r="N687" s="7">
        <f>INDEX(products!$A$1:$G$49,MATCH($F687,products!$A$1:$A$49,0),MATCH(N$1,products!$A$1:$G$1,0))</f>
        <v>8.25</v>
      </c>
      <c r="O687" s="7">
        <f t="shared" si="10"/>
        <v>41.25</v>
      </c>
      <c r="P687" t="str" cm="1">
        <f t="array" ref="P687">_xlfn.IFS(K687="Rob","Robusta",K687="Exc","Excelsa",K687="Ara","Arabica",K687="Lib","Liberica")</f>
        <v>Excelsa</v>
      </c>
      <c r="Q687" t="str" cm="1">
        <f t="array" ref="Q687">_xlfn.IFS(L687="M","Medium",L687="L","Light",L687="D","Dark")</f>
        <v>Medium</v>
      </c>
      <c r="R687" t="str">
        <f>_xlfn.XLOOKUP(Orders[[#This Row],[Customer ID]],customers!$A$1:$A$1001,customers!$I$1:$I$1001)</f>
        <v>No</v>
      </c>
    </row>
    <row r="688" spans="1:18" x14ac:dyDescent="0.35">
      <c r="A688" s="2" t="s">
        <v>5699</v>
      </c>
      <c r="B688" s="4">
        <v>44509</v>
      </c>
      <c r="C688" s="23">
        <f>Orders[[#This Row],[Order Date]]</f>
        <v>44509</v>
      </c>
      <c r="D688" s="2">
        <f>YEAR(Orders[[#This Row],[Order Date]])</f>
        <v>2021</v>
      </c>
      <c r="E688" s="2" t="s">
        <v>5700</v>
      </c>
      <c r="F688" t="s">
        <v>6150</v>
      </c>
      <c r="G688" s="20">
        <v>2</v>
      </c>
      <c r="H688" s="2" t="str">
        <f>INDEX(customers!$A$1:$I$1001,MATCH($E688,customers!$A$1:$A$1001,),MATCH($H$1,customers!$A$1:$I$1,0))</f>
        <v>Mitch Attwool</v>
      </c>
      <c r="I688" s="2" t="str">
        <f>IF(INDEX(customers!$A$1:$I$1001,MATCH($E688,customers!$A$1:$A$1001,0),3)=0,"",INDEX(customers!$A$1:$I$1001,MATCH($E688,customers!$A$1:$A$1001,0),3))</f>
        <v>mattwoolpl@nba.com</v>
      </c>
      <c r="J688" s="2" t="str">
        <f>_xlfn.XLOOKUP(E688,customers!$A$1:$A$1001,customers!$G$1:$G$1001)</f>
        <v>United States</v>
      </c>
      <c r="K688" t="str">
        <f>INDEX(products!$A$1:$G$49,MATCH($F688,products!$A$1:$A$49,0),MATCH(K$1,products!$A$1:$G$1,0))</f>
        <v>Lib</v>
      </c>
      <c r="L688" t="str">
        <f>INDEX(products!$A$1:$G$49,MATCH($F688,products!$A$1:$A$49,0),MATCH(L$1,products!$A$1:$G$1,0))</f>
        <v>D</v>
      </c>
      <c r="M688" s="5">
        <f>INDEX(products!$A$1:$G$49,MATCH($F688,products!$A$1:$A$49,0),MATCH(M$1,products!$A$1:$G$1,0))</f>
        <v>0.2</v>
      </c>
      <c r="N688" s="7">
        <f>INDEX(products!$A$1:$G$49,MATCH($F688,products!$A$1:$A$49,0),MATCH(N$1,products!$A$1:$G$1,0))</f>
        <v>3.8849999999999998</v>
      </c>
      <c r="O688" s="7">
        <f t="shared" si="10"/>
        <v>7.77</v>
      </c>
      <c r="P688" t="str" cm="1">
        <f t="array" ref="P688">_xlfn.IFS(K688="Rob","Robusta",K688="Exc","Excelsa",K688="Ara","Arabica",K688="Lib","Liberica")</f>
        <v>Liberica</v>
      </c>
      <c r="Q688" t="str" cm="1">
        <f t="array" ref="Q688">_xlfn.IFS(L688="M","Medium",L688="L","Light",L688="D","Dark")</f>
        <v>Dark</v>
      </c>
      <c r="R688" t="str">
        <f>_xlfn.XLOOKUP(Orders[[#This Row],[Customer ID]],customers!$A$1:$A$1001,customers!$I$1:$I$1001)</f>
        <v>No</v>
      </c>
    </row>
    <row r="689" spans="1:18" x14ac:dyDescent="0.35">
      <c r="A689" s="2" t="s">
        <v>5380</v>
      </c>
      <c r="B689" s="4">
        <v>44675</v>
      </c>
      <c r="C689" s="23">
        <f>Orders[[#This Row],[Order Date]]</f>
        <v>44675</v>
      </c>
      <c r="D689" s="2">
        <f>YEAR(Orders[[#This Row],[Order Date]])</f>
        <v>2022</v>
      </c>
      <c r="E689" s="2" t="s">
        <v>5428</v>
      </c>
      <c r="F689" t="s">
        <v>6157</v>
      </c>
      <c r="G689" s="20">
        <v>1</v>
      </c>
      <c r="H689" s="2" t="str">
        <f>INDEX(customers!$A$1:$I$1001,MATCH($E689,customers!$A$1:$A$1001,),MATCH($H$1,customers!$A$1:$I$1,0))</f>
        <v>Modesty MacConnechie</v>
      </c>
      <c r="I689" s="2" t="str">
        <f>IF(INDEX(customers!$A$1:$I$1001,MATCH($E689,customers!$A$1:$A$1001,0),3)=0,"",INDEX(customers!$A$1:$I$1001,MATCH($E689,customers!$A$1:$A$1001,0),3))</f>
        <v>mmacconnechieo9@reuters.com</v>
      </c>
      <c r="J689" s="2" t="str">
        <f>_xlfn.XLOOKUP(E689,customers!$A$1:$A$1001,customers!$G$1:$G$1001)</f>
        <v>United States</v>
      </c>
      <c r="K689" t="str">
        <f>INDEX(products!$A$1:$G$49,MATCH($F689,products!$A$1:$A$49,0),MATCH(K$1,products!$A$1:$G$1,0))</f>
        <v>Ara</v>
      </c>
      <c r="L689" t="str">
        <f>INDEX(products!$A$1:$G$49,MATCH($F689,products!$A$1:$A$49,0),MATCH(L$1,products!$A$1:$G$1,0))</f>
        <v>M</v>
      </c>
      <c r="M689" s="5">
        <f>INDEX(products!$A$1:$G$49,MATCH($F689,products!$A$1:$A$49,0),MATCH(M$1,products!$A$1:$G$1,0))</f>
        <v>0.5</v>
      </c>
      <c r="N689" s="7">
        <f>INDEX(products!$A$1:$G$49,MATCH($F689,products!$A$1:$A$49,0),MATCH(N$1,products!$A$1:$G$1,0))</f>
        <v>6.75</v>
      </c>
      <c r="O689" s="7">
        <f t="shared" si="10"/>
        <v>6.75</v>
      </c>
      <c r="P689" t="str" cm="1">
        <f t="array" ref="P689">_xlfn.IFS(K689="Rob","Robusta",K689="Exc","Excelsa",K689="Ara","Arabica",K689="Lib","Liberica")</f>
        <v>Arabica</v>
      </c>
      <c r="Q689" t="str" cm="1">
        <f t="array" ref="Q689">_xlfn.IFS(L689="M","Medium",L689="L","Light",L689="D","Dark")</f>
        <v>Medium</v>
      </c>
      <c r="R689" t="str">
        <f>_xlfn.XLOOKUP(Orders[[#This Row],[Customer ID]],customers!$A$1:$A$1001,customers!$I$1:$I$1001)</f>
        <v>Yes</v>
      </c>
    </row>
    <row r="690" spans="1:18" x14ac:dyDescent="0.35">
      <c r="A690" s="2" t="s">
        <v>5427</v>
      </c>
      <c r="B690" s="4">
        <v>43725</v>
      </c>
      <c r="C690" s="23">
        <f>Orders[[#This Row],[Order Date]]</f>
        <v>43725</v>
      </c>
      <c r="D690" s="2">
        <f>YEAR(Orders[[#This Row],[Order Date]])</f>
        <v>2019</v>
      </c>
      <c r="E690" s="2" t="s">
        <v>5428</v>
      </c>
      <c r="F690" t="s">
        <v>6174</v>
      </c>
      <c r="G690" s="20">
        <v>4</v>
      </c>
      <c r="H690" s="2" t="str">
        <f>INDEX(customers!$A$1:$I$1001,MATCH($E690,customers!$A$1:$A$1001,),MATCH($H$1,customers!$A$1:$I$1,0))</f>
        <v>Modesty MacConnechie</v>
      </c>
      <c r="I690" s="2" t="str">
        <f>IF(INDEX(customers!$A$1:$I$1001,MATCH($E690,customers!$A$1:$A$1001,0),3)=0,"",INDEX(customers!$A$1:$I$1001,MATCH($E690,customers!$A$1:$A$1001,0),3))</f>
        <v>mmacconnechieo9@reuters.com</v>
      </c>
      <c r="J690" s="2" t="str">
        <f>_xlfn.XLOOKUP(E690,customers!$A$1:$A$1001,customers!$G$1:$G$1001)</f>
        <v>United States</v>
      </c>
      <c r="K690" t="str">
        <f>INDEX(products!$A$1:$G$49,MATCH($F690,products!$A$1:$A$49,0),MATCH(K$1,products!$A$1:$G$1,0))</f>
        <v>Rob</v>
      </c>
      <c r="L690" t="str">
        <f>INDEX(products!$A$1:$G$49,MATCH($F690,products!$A$1:$A$49,0),MATCH(L$1,products!$A$1:$G$1,0))</f>
        <v>M</v>
      </c>
      <c r="M690" s="5">
        <f>INDEX(products!$A$1:$G$49,MATCH($F690,products!$A$1:$A$49,0),MATCH(M$1,products!$A$1:$G$1,0))</f>
        <v>0.2</v>
      </c>
      <c r="N690" s="7">
        <f>INDEX(products!$A$1:$G$49,MATCH($F690,products!$A$1:$A$49,0),MATCH(N$1,products!$A$1:$G$1,0))</f>
        <v>2.9849999999999999</v>
      </c>
      <c r="O690" s="7">
        <f t="shared" si="10"/>
        <v>11.94</v>
      </c>
      <c r="P690" t="str" cm="1">
        <f t="array" ref="P690">_xlfn.IFS(K690="Rob","Robusta",K690="Exc","Excelsa",K690="Ara","Arabica",K690="Lib","Liberica")</f>
        <v>Robusta</v>
      </c>
      <c r="Q690" t="str" cm="1">
        <f t="array" ref="Q690">_xlfn.IFS(L690="M","Medium",L690="L","Light",L690="D","Dark")</f>
        <v>Medium</v>
      </c>
      <c r="R690" t="str">
        <f>_xlfn.XLOOKUP(Orders[[#This Row],[Customer ID]],customers!$A$1:$A$1001,customers!$I$1:$I$1001)</f>
        <v>Yes</v>
      </c>
    </row>
    <row r="691" spans="1:18" x14ac:dyDescent="0.35">
      <c r="A691" s="2" t="s">
        <v>3035</v>
      </c>
      <c r="B691" s="4">
        <v>43518</v>
      </c>
      <c r="C691" s="23">
        <f>Orders[[#This Row],[Order Date]]</f>
        <v>43518</v>
      </c>
      <c r="D691" s="2">
        <f>YEAR(Orders[[#This Row],[Order Date]])</f>
        <v>2019</v>
      </c>
      <c r="E691" s="2" t="s">
        <v>3036</v>
      </c>
      <c r="F691" t="s">
        <v>6149</v>
      </c>
      <c r="G691" s="20">
        <v>2</v>
      </c>
      <c r="H691" s="2" t="str">
        <f>INDEX(customers!$A$1:$I$1001,MATCH($E691,customers!$A$1:$A$1001,),MATCH($H$1,customers!$A$1:$I$1,0))</f>
        <v>Mohandis Spurden</v>
      </c>
      <c r="I691" s="2" t="str">
        <f>IF(INDEX(customers!$A$1:$I$1001,MATCH($E691,customers!$A$1:$A$1001,0),3)=0,"",INDEX(customers!$A$1:$I$1001,MATCH($E691,customers!$A$1:$A$1001,0),3))</f>
        <v>mspurdencj@exblog.jp</v>
      </c>
      <c r="J691" s="2" t="str">
        <f>_xlfn.XLOOKUP(E691,customers!$A$1:$A$1001,customers!$G$1:$G$1001)</f>
        <v>United States</v>
      </c>
      <c r="K691" t="str">
        <f>INDEX(products!$A$1:$G$49,MATCH($F691,products!$A$1:$A$49,0),MATCH(K$1,products!$A$1:$G$1,0))</f>
        <v>Rob</v>
      </c>
      <c r="L691" t="str">
        <f>INDEX(products!$A$1:$G$49,MATCH($F691,products!$A$1:$A$49,0),MATCH(L$1,products!$A$1:$G$1,0))</f>
        <v>D</v>
      </c>
      <c r="M691" s="5">
        <f>INDEX(products!$A$1:$G$49,MATCH($F691,products!$A$1:$A$49,0),MATCH(M$1,products!$A$1:$G$1,0))</f>
        <v>2.5</v>
      </c>
      <c r="N691" s="7">
        <f>INDEX(products!$A$1:$G$49,MATCH($F691,products!$A$1:$A$49,0),MATCH(N$1,products!$A$1:$G$1,0))</f>
        <v>20.584999999999997</v>
      </c>
      <c r="O691" s="7">
        <f t="shared" si="10"/>
        <v>41.169999999999995</v>
      </c>
      <c r="P691" t="str" cm="1">
        <f t="array" ref="P691">_xlfn.IFS(K691="Rob","Robusta",K691="Exc","Excelsa",K691="Ara","Arabica",K691="Lib","Liberica")</f>
        <v>Robusta</v>
      </c>
      <c r="Q691" t="str" cm="1">
        <f t="array" ref="Q691">_xlfn.IFS(L691="M","Medium",L691="L","Light",L691="D","Dark")</f>
        <v>Dark</v>
      </c>
      <c r="R691" t="str">
        <f>_xlfn.XLOOKUP(Orders[[#This Row],[Customer ID]],customers!$A$1:$A$1001,customers!$I$1:$I$1001)</f>
        <v>Yes</v>
      </c>
    </row>
    <row r="692" spans="1:18" x14ac:dyDescent="0.35">
      <c r="A692" s="2" t="s">
        <v>2009</v>
      </c>
      <c r="B692" s="4">
        <v>44333</v>
      </c>
      <c r="C692" s="23">
        <f>Orders[[#This Row],[Order Date]]</f>
        <v>44333</v>
      </c>
      <c r="D692" s="2">
        <f>YEAR(Orders[[#This Row],[Order Date]])</f>
        <v>2021</v>
      </c>
      <c r="E692" s="2" t="s">
        <v>2010</v>
      </c>
      <c r="F692" t="s">
        <v>6154</v>
      </c>
      <c r="G692" s="20">
        <v>2</v>
      </c>
      <c r="H692" s="2" t="str">
        <f>INDEX(customers!$A$1:$I$1001,MATCH($E692,customers!$A$1:$A$1001,),MATCH($H$1,customers!$A$1:$I$1,0))</f>
        <v>Monica Fearon</v>
      </c>
      <c r="I692" s="2" t="str">
        <f>IF(INDEX(customers!$A$1:$I$1001,MATCH($E692,customers!$A$1:$A$1001,0),3)=0,"",INDEX(customers!$A$1:$I$1001,MATCH($E692,customers!$A$1:$A$1001,0),3))</f>
        <v>mfearon7h@reverbnation.com</v>
      </c>
      <c r="J692" s="2" t="str">
        <f>_xlfn.XLOOKUP(E692,customers!$A$1:$A$1001,customers!$G$1:$G$1001)</f>
        <v>United States</v>
      </c>
      <c r="K692" t="str">
        <f>INDEX(products!$A$1:$G$49,MATCH($F692,products!$A$1:$A$49,0),MATCH(K$1,products!$A$1:$G$1,0))</f>
        <v>Ara</v>
      </c>
      <c r="L692" t="str">
        <f>INDEX(products!$A$1:$G$49,MATCH($F692,products!$A$1:$A$49,0),MATCH(L$1,products!$A$1:$G$1,0))</f>
        <v>D</v>
      </c>
      <c r="M692" s="5">
        <f>INDEX(products!$A$1:$G$49,MATCH($F692,products!$A$1:$A$49,0),MATCH(M$1,products!$A$1:$G$1,0))</f>
        <v>0.2</v>
      </c>
      <c r="N692" s="7">
        <f>INDEX(products!$A$1:$G$49,MATCH($F692,products!$A$1:$A$49,0),MATCH(N$1,products!$A$1:$G$1,0))</f>
        <v>2.9849999999999999</v>
      </c>
      <c r="O692" s="7">
        <f t="shared" si="10"/>
        <v>5.97</v>
      </c>
      <c r="P692" t="str" cm="1">
        <f t="array" ref="P692">_xlfn.IFS(K692="Rob","Robusta",K692="Exc","Excelsa",K692="Ara","Arabica",K692="Lib","Liberica")</f>
        <v>Arabica</v>
      </c>
      <c r="Q692" t="str" cm="1">
        <f t="array" ref="Q692">_xlfn.IFS(L692="M","Medium",L692="L","Light",L692="D","Dark")</f>
        <v>Dark</v>
      </c>
      <c r="R692" t="str">
        <f>_xlfn.XLOOKUP(Orders[[#This Row],[Customer ID]],customers!$A$1:$A$1001,customers!$I$1:$I$1001)</f>
        <v>No</v>
      </c>
    </row>
    <row r="693" spans="1:18" x14ac:dyDescent="0.35">
      <c r="A693" s="2" t="s">
        <v>1963</v>
      </c>
      <c r="B693" s="4">
        <v>43538</v>
      </c>
      <c r="C693" s="23">
        <f>Orders[[#This Row],[Order Date]]</f>
        <v>43538</v>
      </c>
      <c r="D693" s="2">
        <f>YEAR(Orders[[#This Row],[Order Date]])</f>
        <v>2019</v>
      </c>
      <c r="E693" s="2" t="s">
        <v>1964</v>
      </c>
      <c r="F693" t="s">
        <v>6179</v>
      </c>
      <c r="G693" s="20">
        <v>5</v>
      </c>
      <c r="H693" s="2" t="str">
        <f>INDEX(customers!$A$1:$I$1001,MATCH($E693,customers!$A$1:$A$1001,),MATCH($H$1,customers!$A$1:$I$1,0))</f>
        <v>Monique Canty</v>
      </c>
      <c r="I693" s="2" t="str">
        <f>IF(INDEX(customers!$A$1:$I$1001,MATCH($E693,customers!$A$1:$A$1001,0),3)=0,"",INDEX(customers!$A$1:$I$1001,MATCH($E693,customers!$A$1:$A$1001,0),3))</f>
        <v>mcanty79@jigsy.com</v>
      </c>
      <c r="J693" s="2" t="str">
        <f>_xlfn.XLOOKUP(E693,customers!$A$1:$A$1001,customers!$G$1:$G$1001)</f>
        <v>United States</v>
      </c>
      <c r="K693" t="str">
        <f>INDEX(products!$A$1:$G$49,MATCH($F693,products!$A$1:$A$49,0),MATCH(K$1,products!$A$1:$G$1,0))</f>
        <v>Rob</v>
      </c>
      <c r="L693" t="str">
        <f>INDEX(products!$A$1:$G$49,MATCH($F693,products!$A$1:$A$49,0),MATCH(L$1,products!$A$1:$G$1,0))</f>
        <v>L</v>
      </c>
      <c r="M693" s="5">
        <f>INDEX(products!$A$1:$G$49,MATCH($F693,products!$A$1:$A$49,0),MATCH(M$1,products!$A$1:$G$1,0))</f>
        <v>1</v>
      </c>
      <c r="N693" s="7">
        <f>INDEX(products!$A$1:$G$49,MATCH($F693,products!$A$1:$A$49,0),MATCH(N$1,products!$A$1:$G$1,0))</f>
        <v>11.95</v>
      </c>
      <c r="O693" s="7">
        <f t="shared" si="10"/>
        <v>59.75</v>
      </c>
      <c r="P693" t="str" cm="1">
        <f t="array" ref="P693">_xlfn.IFS(K693="Rob","Robusta",K693="Exc","Excelsa",K693="Ara","Arabica",K693="Lib","Liberica")</f>
        <v>Robusta</v>
      </c>
      <c r="Q693" t="str" cm="1">
        <f t="array" ref="Q693">_xlfn.IFS(L693="M","Medium",L693="L","Light",L693="D","Dark")</f>
        <v>Light</v>
      </c>
      <c r="R693" t="str">
        <f>_xlfn.XLOOKUP(Orders[[#This Row],[Customer ID]],customers!$A$1:$A$1001,customers!$I$1:$I$1001)</f>
        <v>Yes</v>
      </c>
    </row>
    <row r="694" spans="1:18" x14ac:dyDescent="0.35">
      <c r="A694" s="2" t="s">
        <v>1538</v>
      </c>
      <c r="B694" s="4">
        <v>43684</v>
      </c>
      <c r="C694" s="23">
        <f>Orders[[#This Row],[Order Date]]</f>
        <v>43684</v>
      </c>
      <c r="D694" s="2">
        <f>YEAR(Orders[[#This Row],[Order Date]])</f>
        <v>2019</v>
      </c>
      <c r="E694" s="2" t="s">
        <v>1539</v>
      </c>
      <c r="F694" t="s">
        <v>6151</v>
      </c>
      <c r="G694" s="20">
        <v>3</v>
      </c>
      <c r="H694" s="2" t="str">
        <f>INDEX(customers!$A$1:$I$1001,MATCH($E694,customers!$A$1:$A$1001,),MATCH($H$1,customers!$A$1:$I$1,0))</f>
        <v>Mord Meriet</v>
      </c>
      <c r="I694" s="2" t="str">
        <f>IF(INDEX(customers!$A$1:$I$1001,MATCH($E694,customers!$A$1:$A$1001,0),3)=0,"",INDEX(customers!$A$1:$I$1001,MATCH($E694,customers!$A$1:$A$1001,0),3))</f>
        <v>mmeriet56@noaa.gov</v>
      </c>
      <c r="J694" s="2" t="str">
        <f>_xlfn.XLOOKUP(E694,customers!$A$1:$A$1001,customers!$G$1:$G$1001)</f>
        <v>United States</v>
      </c>
      <c r="K694" t="str">
        <f>INDEX(products!$A$1:$G$49,MATCH($F694,products!$A$1:$A$49,0),MATCH(K$1,products!$A$1:$G$1,0))</f>
        <v>Rob</v>
      </c>
      <c r="L694" t="str">
        <f>INDEX(products!$A$1:$G$49,MATCH($F694,products!$A$1:$A$49,0),MATCH(L$1,products!$A$1:$G$1,0))</f>
        <v>M</v>
      </c>
      <c r="M694" s="5">
        <f>INDEX(products!$A$1:$G$49,MATCH($F694,products!$A$1:$A$49,0),MATCH(M$1,products!$A$1:$G$1,0))</f>
        <v>2.5</v>
      </c>
      <c r="N694" s="7">
        <f>INDEX(products!$A$1:$G$49,MATCH($F694,products!$A$1:$A$49,0),MATCH(N$1,products!$A$1:$G$1,0))</f>
        <v>22.884999999999998</v>
      </c>
      <c r="O694" s="7">
        <f t="shared" si="10"/>
        <v>68.655000000000001</v>
      </c>
      <c r="P694" t="str" cm="1">
        <f t="array" ref="P694">_xlfn.IFS(K694="Rob","Robusta",K694="Exc","Excelsa",K694="Ara","Arabica",K694="Lib","Liberica")</f>
        <v>Robusta</v>
      </c>
      <c r="Q694" t="str" cm="1">
        <f t="array" ref="Q694">_xlfn.IFS(L694="M","Medium",L694="L","Light",L694="D","Dark")</f>
        <v>Medium</v>
      </c>
      <c r="R694" t="str">
        <f>_xlfn.XLOOKUP(Orders[[#This Row],[Customer ID]],customers!$A$1:$A$1001,customers!$I$1:$I$1001)</f>
        <v>No</v>
      </c>
    </row>
    <row r="695" spans="1:18" x14ac:dyDescent="0.35">
      <c r="A695" s="2" t="s">
        <v>5278</v>
      </c>
      <c r="B695" s="4">
        <v>44460</v>
      </c>
      <c r="C695" s="23">
        <f>Orders[[#This Row],[Order Date]]</f>
        <v>44460</v>
      </c>
      <c r="D695" s="2">
        <f>YEAR(Orders[[#This Row],[Order Date]])</f>
        <v>2021</v>
      </c>
      <c r="E695" s="2" t="s">
        <v>5279</v>
      </c>
      <c r="F695" t="s">
        <v>6154</v>
      </c>
      <c r="G695" s="20">
        <v>3</v>
      </c>
      <c r="H695" s="2" t="str">
        <f>INDEX(customers!$A$1:$I$1001,MATCH($E695,customers!$A$1:$A$1001,),MATCH($H$1,customers!$A$1:$I$1,0))</f>
        <v>Mordy Van Der Vlies</v>
      </c>
      <c r="I695" s="2" t="str">
        <f>IF(INDEX(customers!$A$1:$I$1001,MATCH($E695,customers!$A$1:$A$1001,0),3)=0,"",INDEX(customers!$A$1:$I$1001,MATCH($E695,customers!$A$1:$A$1001,0),3))</f>
        <v>mvannj@wikipedia.org</v>
      </c>
      <c r="J695" s="2" t="str">
        <f>_xlfn.XLOOKUP(E695,customers!$A$1:$A$1001,customers!$G$1:$G$1001)</f>
        <v>United States</v>
      </c>
      <c r="K695" t="str">
        <f>INDEX(products!$A$1:$G$49,MATCH($F695,products!$A$1:$A$49,0),MATCH(K$1,products!$A$1:$G$1,0))</f>
        <v>Ara</v>
      </c>
      <c r="L695" t="str">
        <f>INDEX(products!$A$1:$G$49,MATCH($F695,products!$A$1:$A$49,0),MATCH(L$1,products!$A$1:$G$1,0))</f>
        <v>D</v>
      </c>
      <c r="M695" s="5">
        <f>INDEX(products!$A$1:$G$49,MATCH($F695,products!$A$1:$A$49,0),MATCH(M$1,products!$A$1:$G$1,0))</f>
        <v>0.2</v>
      </c>
      <c r="N695" s="7">
        <f>INDEX(products!$A$1:$G$49,MATCH($F695,products!$A$1:$A$49,0),MATCH(N$1,products!$A$1:$G$1,0))</f>
        <v>2.9849999999999999</v>
      </c>
      <c r="O695" s="7">
        <f t="shared" si="10"/>
        <v>8.9550000000000001</v>
      </c>
      <c r="P695" t="str" cm="1">
        <f t="array" ref="P695">_xlfn.IFS(K695="Rob","Robusta",K695="Exc","Excelsa",K695="Ara","Arabica",K695="Lib","Liberica")</f>
        <v>Arabica</v>
      </c>
      <c r="Q695" t="str" cm="1">
        <f t="array" ref="Q695">_xlfn.IFS(L695="M","Medium",L695="L","Light",L695="D","Dark")</f>
        <v>Dark</v>
      </c>
      <c r="R695" t="str">
        <f>_xlfn.XLOOKUP(Orders[[#This Row],[Customer ID]],customers!$A$1:$A$1001,customers!$I$1:$I$1001)</f>
        <v>Yes</v>
      </c>
    </row>
    <row r="696" spans="1:18" x14ac:dyDescent="0.35">
      <c r="A696" s="2" t="s">
        <v>3041</v>
      </c>
      <c r="B696" s="4">
        <v>44524</v>
      </c>
      <c r="C696" s="23">
        <f>Orders[[#This Row],[Order Date]]</f>
        <v>44524</v>
      </c>
      <c r="D696" s="2">
        <f>YEAR(Orders[[#This Row],[Order Date]])</f>
        <v>2021</v>
      </c>
      <c r="E696" s="2" t="s">
        <v>3042</v>
      </c>
      <c r="F696" t="s">
        <v>6167</v>
      </c>
      <c r="G696" s="20">
        <v>3</v>
      </c>
      <c r="H696" s="2" t="str">
        <f>INDEX(customers!$A$1:$I$1001,MATCH($E696,customers!$A$1:$A$1001,),MATCH($H$1,customers!$A$1:$I$1,0))</f>
        <v>Morgen Seson</v>
      </c>
      <c r="I696" s="2" t="str">
        <f>IF(INDEX(customers!$A$1:$I$1001,MATCH($E696,customers!$A$1:$A$1001,0),3)=0,"",INDEX(customers!$A$1:$I$1001,MATCH($E696,customers!$A$1:$A$1001,0),3))</f>
        <v>msesonck@census.gov</v>
      </c>
      <c r="J696" s="2" t="str">
        <f>_xlfn.XLOOKUP(E696,customers!$A$1:$A$1001,customers!$G$1:$G$1001)</f>
        <v>United States</v>
      </c>
      <c r="K696" t="str">
        <f>INDEX(products!$A$1:$G$49,MATCH($F696,products!$A$1:$A$49,0),MATCH(K$1,products!$A$1:$G$1,0))</f>
        <v>Ara</v>
      </c>
      <c r="L696" t="str">
        <f>INDEX(products!$A$1:$G$49,MATCH($F696,products!$A$1:$A$49,0),MATCH(L$1,products!$A$1:$G$1,0))</f>
        <v>L</v>
      </c>
      <c r="M696" s="5">
        <f>INDEX(products!$A$1:$G$49,MATCH($F696,products!$A$1:$A$49,0),MATCH(M$1,products!$A$1:$G$1,0))</f>
        <v>0.2</v>
      </c>
      <c r="N696" s="7">
        <f>INDEX(products!$A$1:$G$49,MATCH($F696,products!$A$1:$A$49,0),MATCH(N$1,products!$A$1:$G$1,0))</f>
        <v>3.8849999999999998</v>
      </c>
      <c r="O696" s="7">
        <f t="shared" si="10"/>
        <v>11.654999999999999</v>
      </c>
      <c r="P696" t="str" cm="1">
        <f t="array" ref="P696">_xlfn.IFS(K696="Rob","Robusta",K696="Exc","Excelsa",K696="Ara","Arabica",K696="Lib","Liberica")</f>
        <v>Arabica</v>
      </c>
      <c r="Q696" t="str" cm="1">
        <f t="array" ref="Q696">_xlfn.IFS(L696="M","Medium",L696="L","Light",L696="D","Dark")</f>
        <v>Light</v>
      </c>
      <c r="R696" t="str">
        <f>_xlfn.XLOOKUP(Orders[[#This Row],[Customer ID]],customers!$A$1:$A$1001,customers!$I$1:$I$1001)</f>
        <v>No</v>
      </c>
    </row>
    <row r="697" spans="1:18" x14ac:dyDescent="0.35">
      <c r="A697" s="2" t="s">
        <v>2956</v>
      </c>
      <c r="B697" s="4">
        <v>43483</v>
      </c>
      <c r="C697" s="23">
        <f>Orders[[#This Row],[Order Date]]</f>
        <v>43483</v>
      </c>
      <c r="D697" s="2">
        <f>YEAR(Orders[[#This Row],[Order Date]])</f>
        <v>2019</v>
      </c>
      <c r="E697" s="2" t="s">
        <v>3042</v>
      </c>
      <c r="F697" t="s">
        <v>6169</v>
      </c>
      <c r="G697" s="20">
        <v>2</v>
      </c>
      <c r="H697" s="2" t="str">
        <f>INDEX(customers!$A$1:$I$1001,MATCH($E697,customers!$A$1:$A$1001,),MATCH($H$1,customers!$A$1:$I$1,0))</f>
        <v>Morgen Seson</v>
      </c>
      <c r="I697" s="2" t="str">
        <f>IF(INDEX(customers!$A$1:$I$1001,MATCH($E697,customers!$A$1:$A$1001,0),3)=0,"",INDEX(customers!$A$1:$I$1001,MATCH($E697,customers!$A$1:$A$1001,0),3))</f>
        <v>msesonck@census.gov</v>
      </c>
      <c r="J697" s="2" t="str">
        <f>_xlfn.XLOOKUP(E697,customers!$A$1:$A$1001,customers!$G$1:$G$1001)</f>
        <v>United States</v>
      </c>
      <c r="K697" t="str">
        <f>INDEX(products!$A$1:$G$49,MATCH($F697,products!$A$1:$A$49,0),MATCH(K$1,products!$A$1:$G$1,0))</f>
        <v>Lib</v>
      </c>
      <c r="L697" t="str">
        <f>INDEX(products!$A$1:$G$49,MATCH($F697,products!$A$1:$A$49,0),MATCH(L$1,products!$A$1:$G$1,0))</f>
        <v>D</v>
      </c>
      <c r="M697" s="5">
        <f>INDEX(products!$A$1:$G$49,MATCH($F697,products!$A$1:$A$49,0),MATCH(M$1,products!$A$1:$G$1,0))</f>
        <v>0.5</v>
      </c>
      <c r="N697" s="7">
        <f>INDEX(products!$A$1:$G$49,MATCH($F697,products!$A$1:$A$49,0),MATCH(N$1,products!$A$1:$G$1,0))</f>
        <v>7.77</v>
      </c>
      <c r="O697" s="7">
        <f t="shared" si="10"/>
        <v>15.54</v>
      </c>
      <c r="P697" t="str" cm="1">
        <f t="array" ref="P697">_xlfn.IFS(K697="Rob","Robusta",K697="Exc","Excelsa",K697="Ara","Arabica",K697="Lib","Liberica")</f>
        <v>Liberica</v>
      </c>
      <c r="Q697" t="str" cm="1">
        <f t="array" ref="Q697">_xlfn.IFS(L697="M","Medium",L697="L","Light",L697="D","Dark")</f>
        <v>Dark</v>
      </c>
      <c r="R697" t="str">
        <f>_xlfn.XLOOKUP(Orders[[#This Row],[Customer ID]],customers!$A$1:$A$1001,customers!$I$1:$I$1001)</f>
        <v>No</v>
      </c>
    </row>
    <row r="698" spans="1:18" x14ac:dyDescent="0.35">
      <c r="A698" s="2" t="s">
        <v>5926</v>
      </c>
      <c r="B698" s="4">
        <v>44664</v>
      </c>
      <c r="C698" s="23">
        <f>Orders[[#This Row],[Order Date]]</f>
        <v>44664</v>
      </c>
      <c r="D698" s="2">
        <f>YEAR(Orders[[#This Row],[Order Date]])</f>
        <v>2022</v>
      </c>
      <c r="E698" s="2" t="s">
        <v>5927</v>
      </c>
      <c r="F698" t="s">
        <v>6177</v>
      </c>
      <c r="G698" s="20">
        <v>1</v>
      </c>
      <c r="H698" s="2" t="str">
        <f>INDEX(customers!$A$1:$I$1001,MATCH($E698,customers!$A$1:$A$1001,),MATCH($H$1,customers!$A$1:$I$1,0))</f>
        <v>Morly Rocks</v>
      </c>
      <c r="I698" s="2" t="str">
        <f>IF(INDEX(customers!$A$1:$I$1001,MATCH($E698,customers!$A$1:$A$1001,0),3)=0,"",INDEX(customers!$A$1:$I$1001,MATCH($E698,customers!$A$1:$A$1001,0),3))</f>
        <v>mrocksqq@exblog.jp</v>
      </c>
      <c r="J698" s="2" t="str">
        <f>_xlfn.XLOOKUP(E698,customers!$A$1:$A$1001,customers!$G$1:$G$1001)</f>
        <v>Ireland</v>
      </c>
      <c r="K698" t="str">
        <f>INDEX(products!$A$1:$G$49,MATCH($F698,products!$A$1:$A$49,0),MATCH(K$1,products!$A$1:$G$1,0))</f>
        <v>Rob</v>
      </c>
      <c r="L698" t="str">
        <f>INDEX(products!$A$1:$G$49,MATCH($F698,products!$A$1:$A$49,0),MATCH(L$1,products!$A$1:$G$1,0))</f>
        <v>D</v>
      </c>
      <c r="M698" s="5">
        <f>INDEX(products!$A$1:$G$49,MATCH($F698,products!$A$1:$A$49,0),MATCH(M$1,products!$A$1:$G$1,0))</f>
        <v>1</v>
      </c>
      <c r="N698" s="7">
        <f>INDEX(products!$A$1:$G$49,MATCH($F698,products!$A$1:$A$49,0),MATCH(N$1,products!$A$1:$G$1,0))</f>
        <v>8.9499999999999993</v>
      </c>
      <c r="O698" s="7">
        <f t="shared" si="10"/>
        <v>8.9499999999999993</v>
      </c>
      <c r="P698" t="str" cm="1">
        <f t="array" ref="P698">_xlfn.IFS(K698="Rob","Robusta",K698="Exc","Excelsa",K698="Ara","Arabica",K698="Lib","Liberica")</f>
        <v>Robusta</v>
      </c>
      <c r="Q698" t="str" cm="1">
        <f t="array" ref="Q698">_xlfn.IFS(L698="M","Medium",L698="L","Light",L698="D","Dark")</f>
        <v>Dark</v>
      </c>
      <c r="R698" t="str">
        <f>_xlfn.XLOOKUP(Orders[[#This Row],[Customer ID]],customers!$A$1:$A$1001,customers!$I$1:$I$1001)</f>
        <v>Yes</v>
      </c>
    </row>
    <row r="699" spans="1:18" x14ac:dyDescent="0.35">
      <c r="A699" s="2" t="s">
        <v>3230</v>
      </c>
      <c r="B699" s="4">
        <v>44413</v>
      </c>
      <c r="C699" s="23">
        <f>Orders[[#This Row],[Order Date]]</f>
        <v>44413</v>
      </c>
      <c r="D699" s="2">
        <f>YEAR(Orders[[#This Row],[Order Date]])</f>
        <v>2021</v>
      </c>
      <c r="E699" s="2" t="s">
        <v>3231</v>
      </c>
      <c r="F699" t="s">
        <v>6178</v>
      </c>
      <c r="G699" s="20">
        <v>6</v>
      </c>
      <c r="H699" s="2" t="str">
        <f>INDEX(customers!$A$1:$I$1001,MATCH($E699,customers!$A$1:$A$1001,),MATCH($H$1,customers!$A$1:$I$1,0))</f>
        <v>Morna Hansed</v>
      </c>
      <c r="I699" s="2" t="str">
        <f>IF(INDEX(customers!$A$1:$I$1001,MATCH($E699,customers!$A$1:$A$1001,0),3)=0,"",INDEX(customers!$A$1:$I$1001,MATCH($E699,customers!$A$1:$A$1001,0),3))</f>
        <v>mhanseddh@instagram.com</v>
      </c>
      <c r="J699" s="2" t="str">
        <f>_xlfn.XLOOKUP(E699,customers!$A$1:$A$1001,customers!$G$1:$G$1001)</f>
        <v>Ireland</v>
      </c>
      <c r="K699" t="str">
        <f>INDEX(products!$A$1:$G$49,MATCH($F699,products!$A$1:$A$49,0),MATCH(K$1,products!$A$1:$G$1,0))</f>
        <v>Rob</v>
      </c>
      <c r="L699" t="str">
        <f>INDEX(products!$A$1:$G$49,MATCH($F699,products!$A$1:$A$49,0),MATCH(L$1,products!$A$1:$G$1,0))</f>
        <v>L</v>
      </c>
      <c r="M699" s="5">
        <f>INDEX(products!$A$1:$G$49,MATCH($F699,products!$A$1:$A$49,0),MATCH(M$1,products!$A$1:$G$1,0))</f>
        <v>0.2</v>
      </c>
      <c r="N699" s="7">
        <f>INDEX(products!$A$1:$G$49,MATCH($F699,products!$A$1:$A$49,0),MATCH(N$1,products!$A$1:$G$1,0))</f>
        <v>3.5849999999999995</v>
      </c>
      <c r="O699" s="7">
        <f t="shared" si="10"/>
        <v>21.509999999999998</v>
      </c>
      <c r="P699" t="str" cm="1">
        <f t="array" ref="P699">_xlfn.IFS(K699="Rob","Robusta",K699="Exc","Excelsa",K699="Ara","Arabica",K699="Lib","Liberica")</f>
        <v>Robusta</v>
      </c>
      <c r="Q699" t="str" cm="1">
        <f t="array" ref="Q699">_xlfn.IFS(L699="M","Medium",L699="L","Light",L699="D","Dark")</f>
        <v>Light</v>
      </c>
      <c r="R699" t="str">
        <f>_xlfn.XLOOKUP(Orders[[#This Row],[Customer ID]],customers!$A$1:$A$1001,customers!$I$1:$I$1001)</f>
        <v>Yes</v>
      </c>
    </row>
    <row r="700" spans="1:18" x14ac:dyDescent="0.35">
      <c r="A700" s="2" t="s">
        <v>655</v>
      </c>
      <c r="B700" s="4">
        <v>43516</v>
      </c>
      <c r="C700" s="23">
        <f>Orders[[#This Row],[Order Date]]</f>
        <v>43516</v>
      </c>
      <c r="D700" s="2">
        <f>YEAR(Orders[[#This Row],[Order Date]])</f>
        <v>2019</v>
      </c>
      <c r="E700" s="2" t="s">
        <v>656</v>
      </c>
      <c r="F700" t="s">
        <v>6147</v>
      </c>
      <c r="G700" s="20">
        <v>4</v>
      </c>
      <c r="H700" s="2" t="str">
        <f>INDEX(customers!$A$1:$I$1001,MATCH($E700,customers!$A$1:$A$1001,),MATCH($H$1,customers!$A$1:$I$1,0))</f>
        <v>Mozelle Calcutt</v>
      </c>
      <c r="I700" s="2" t="str">
        <f>IF(INDEX(customers!$A$1:$I$1001,MATCH($E700,customers!$A$1:$A$1001,0),3)=0,"",INDEX(customers!$A$1:$I$1001,MATCH($E700,customers!$A$1:$A$1001,0),3))</f>
        <v>mcalcuttt@baidu.com</v>
      </c>
      <c r="J700" s="2" t="str">
        <f>_xlfn.XLOOKUP(E700,customers!$A$1:$A$1001,customers!$G$1:$G$1001)</f>
        <v>Ireland</v>
      </c>
      <c r="K700" t="str">
        <f>INDEX(products!$A$1:$G$49,MATCH($F700,products!$A$1:$A$49,0),MATCH(K$1,products!$A$1:$G$1,0))</f>
        <v>Ara</v>
      </c>
      <c r="L700" t="str">
        <f>INDEX(products!$A$1:$G$49,MATCH($F700,products!$A$1:$A$49,0),MATCH(L$1,products!$A$1:$G$1,0))</f>
        <v>D</v>
      </c>
      <c r="M700" s="5">
        <f>INDEX(products!$A$1:$G$49,MATCH($F700,products!$A$1:$A$49,0),MATCH(M$1,products!$A$1:$G$1,0))</f>
        <v>1</v>
      </c>
      <c r="N700" s="7">
        <f>INDEX(products!$A$1:$G$49,MATCH($F700,products!$A$1:$A$49,0),MATCH(N$1,products!$A$1:$G$1,0))</f>
        <v>9.9499999999999993</v>
      </c>
      <c r="O700" s="7">
        <f t="shared" si="10"/>
        <v>39.799999999999997</v>
      </c>
      <c r="P700" t="str" cm="1">
        <f t="array" ref="P700">_xlfn.IFS(K700="Rob","Robusta",K700="Exc","Excelsa",K700="Ara","Arabica",K700="Lib","Liberica")</f>
        <v>Arabica</v>
      </c>
      <c r="Q700" t="str" cm="1">
        <f t="array" ref="Q700">_xlfn.IFS(L700="M","Medium",L700="L","Light",L700="D","Dark")</f>
        <v>Dark</v>
      </c>
      <c r="R700" t="str">
        <f>_xlfn.XLOOKUP(Orders[[#This Row],[Customer ID]],customers!$A$1:$A$1001,customers!$I$1:$I$1001)</f>
        <v>Yes</v>
      </c>
    </row>
    <row r="701" spans="1:18" x14ac:dyDescent="0.35">
      <c r="A701" s="2" t="s">
        <v>1152</v>
      </c>
      <c r="B701" s="4">
        <v>43760</v>
      </c>
      <c r="C701" s="23">
        <f>Orders[[#This Row],[Order Date]]</f>
        <v>43760</v>
      </c>
      <c r="D701" s="2">
        <f>YEAR(Orders[[#This Row],[Order Date]])</f>
        <v>2019</v>
      </c>
      <c r="E701" s="2" t="s">
        <v>1153</v>
      </c>
      <c r="F701" t="s">
        <v>6144</v>
      </c>
      <c r="G701" s="20">
        <v>3</v>
      </c>
      <c r="H701" s="2" t="str">
        <f>INDEX(customers!$A$1:$I$1001,MATCH($E701,customers!$A$1:$A$1001,),MATCH($H$1,customers!$A$1:$I$1,0))</f>
        <v>Muffin Yallop</v>
      </c>
      <c r="I701" s="2" t="str">
        <f>IF(INDEX(customers!$A$1:$I$1001,MATCH($E701,customers!$A$1:$A$1001,0),3)=0,"",INDEX(customers!$A$1:$I$1001,MATCH($E701,customers!$A$1:$A$1001,0),3))</f>
        <v>myallop3a@fema.gov</v>
      </c>
      <c r="J701" s="2" t="str">
        <f>_xlfn.XLOOKUP(E701,customers!$A$1:$A$1001,customers!$G$1:$G$1001)</f>
        <v>United States</v>
      </c>
      <c r="K701" t="str">
        <f>INDEX(products!$A$1:$G$49,MATCH($F701,products!$A$1:$A$49,0),MATCH(K$1,products!$A$1:$G$1,0))</f>
        <v>Exc</v>
      </c>
      <c r="L701" t="str">
        <f>INDEX(products!$A$1:$G$49,MATCH($F701,products!$A$1:$A$49,0),MATCH(L$1,products!$A$1:$G$1,0))</f>
        <v>D</v>
      </c>
      <c r="M701" s="5">
        <f>INDEX(products!$A$1:$G$49,MATCH($F701,products!$A$1:$A$49,0),MATCH(M$1,products!$A$1:$G$1,0))</f>
        <v>0.5</v>
      </c>
      <c r="N701" s="7">
        <f>INDEX(products!$A$1:$G$49,MATCH($F701,products!$A$1:$A$49,0),MATCH(N$1,products!$A$1:$G$1,0))</f>
        <v>7.29</v>
      </c>
      <c r="O701" s="7">
        <f t="shared" si="10"/>
        <v>21.87</v>
      </c>
      <c r="P701" t="str" cm="1">
        <f t="array" ref="P701">_xlfn.IFS(K701="Rob","Robusta",K701="Exc","Excelsa",K701="Ara","Arabica",K701="Lib","Liberica")</f>
        <v>Excelsa</v>
      </c>
      <c r="Q701" t="str" cm="1">
        <f t="array" ref="Q701">_xlfn.IFS(L701="M","Medium",L701="L","Light",L701="D","Dark")</f>
        <v>Dark</v>
      </c>
      <c r="R701" t="str">
        <f>_xlfn.XLOOKUP(Orders[[#This Row],[Customer ID]],customers!$A$1:$A$1001,customers!$I$1:$I$1001)</f>
        <v>Yes</v>
      </c>
    </row>
    <row r="702" spans="1:18" x14ac:dyDescent="0.35">
      <c r="A702" s="2" t="s">
        <v>1694</v>
      </c>
      <c r="B702" s="4">
        <v>43775</v>
      </c>
      <c r="C702" s="23">
        <f>Orders[[#This Row],[Order Date]]</f>
        <v>43775</v>
      </c>
      <c r="D702" s="2">
        <f>YEAR(Orders[[#This Row],[Order Date]])</f>
        <v>2019</v>
      </c>
      <c r="E702" s="2" t="s">
        <v>1695</v>
      </c>
      <c r="F702" t="s">
        <v>6170</v>
      </c>
      <c r="G702" s="20">
        <v>2</v>
      </c>
      <c r="H702" s="2" t="str">
        <f>INDEX(customers!$A$1:$I$1001,MATCH($E702,customers!$A$1:$A$1001,),MATCH($H$1,customers!$A$1:$I$1,0))</f>
        <v>Murdock Hame</v>
      </c>
      <c r="I702" s="2" t="str">
        <f>IF(INDEX(customers!$A$1:$I$1001,MATCH($E702,customers!$A$1:$A$1001,0),3)=0,"",INDEX(customers!$A$1:$I$1001,MATCH($E702,customers!$A$1:$A$1001,0),3))</f>
        <v>mhame5y@newsvine.com</v>
      </c>
      <c r="J702" s="2" t="str">
        <f>_xlfn.XLOOKUP(E702,customers!$A$1:$A$1001,customers!$G$1:$G$1001)</f>
        <v>Ireland</v>
      </c>
      <c r="K702" t="str">
        <f>INDEX(products!$A$1:$G$49,MATCH($F702,products!$A$1:$A$49,0),MATCH(K$1,products!$A$1:$G$1,0))</f>
        <v>Lib</v>
      </c>
      <c r="L702" t="str">
        <f>INDEX(products!$A$1:$G$49,MATCH($F702,products!$A$1:$A$49,0),MATCH(L$1,products!$A$1:$G$1,0))</f>
        <v>L</v>
      </c>
      <c r="M702" s="5">
        <f>INDEX(products!$A$1:$G$49,MATCH($F702,products!$A$1:$A$49,0),MATCH(M$1,products!$A$1:$G$1,0))</f>
        <v>1</v>
      </c>
      <c r="N702" s="7">
        <f>INDEX(products!$A$1:$G$49,MATCH($F702,products!$A$1:$A$49,0),MATCH(N$1,products!$A$1:$G$1,0))</f>
        <v>15.85</v>
      </c>
      <c r="O702" s="7">
        <f t="shared" si="10"/>
        <v>31.7</v>
      </c>
      <c r="P702" t="str" cm="1">
        <f t="array" ref="P702">_xlfn.IFS(K702="Rob","Robusta",K702="Exc","Excelsa",K702="Ara","Arabica",K702="Lib","Liberica")</f>
        <v>Liberica</v>
      </c>
      <c r="Q702" t="str" cm="1">
        <f t="array" ref="Q702">_xlfn.IFS(L702="M","Medium",L702="L","Light",L702="D","Dark")</f>
        <v>Light</v>
      </c>
      <c r="R702" t="str">
        <f>_xlfn.XLOOKUP(Orders[[#This Row],[Customer ID]],customers!$A$1:$A$1001,customers!$I$1:$I$1001)</f>
        <v>No</v>
      </c>
    </row>
    <row r="703" spans="1:18" x14ac:dyDescent="0.35">
      <c r="A703" s="2" t="s">
        <v>5268</v>
      </c>
      <c r="B703" s="4">
        <v>43889</v>
      </c>
      <c r="C703" s="23">
        <f>Orders[[#This Row],[Order Date]]</f>
        <v>43889</v>
      </c>
      <c r="D703" s="2">
        <f>YEAR(Orders[[#This Row],[Order Date]])</f>
        <v>2020</v>
      </c>
      <c r="E703" s="2" t="s">
        <v>5269</v>
      </c>
      <c r="F703" t="s">
        <v>6185</v>
      </c>
      <c r="G703" s="20">
        <v>6</v>
      </c>
      <c r="H703" s="2" t="str">
        <f>INDEX(customers!$A$1:$I$1001,MATCH($E703,customers!$A$1:$A$1001,),MATCH($H$1,customers!$A$1:$I$1,0))</f>
        <v>Murielle Lorinez</v>
      </c>
      <c r="I703" s="2" t="str">
        <f>IF(INDEX(customers!$A$1:$I$1001,MATCH($E703,customers!$A$1:$A$1001,0),3)=0,"",INDEX(customers!$A$1:$I$1001,MATCH($E703,customers!$A$1:$A$1001,0),3))</f>
        <v>mlorineznh@whitehouse.gov</v>
      </c>
      <c r="J703" s="2" t="str">
        <f>_xlfn.XLOOKUP(E703,customers!$A$1:$A$1001,customers!$G$1:$G$1001)</f>
        <v>United States</v>
      </c>
      <c r="K703" t="str">
        <f>INDEX(products!$A$1:$G$49,MATCH($F703,products!$A$1:$A$49,0),MATCH(K$1,products!$A$1:$G$1,0))</f>
        <v>Exc</v>
      </c>
      <c r="L703" t="str">
        <f>INDEX(products!$A$1:$G$49,MATCH($F703,products!$A$1:$A$49,0),MATCH(L$1,products!$A$1:$G$1,0))</f>
        <v>D</v>
      </c>
      <c r="M703" s="5">
        <f>INDEX(products!$A$1:$G$49,MATCH($F703,products!$A$1:$A$49,0),MATCH(M$1,products!$A$1:$G$1,0))</f>
        <v>2.5</v>
      </c>
      <c r="N703" s="7">
        <f>INDEX(products!$A$1:$G$49,MATCH($F703,products!$A$1:$A$49,0),MATCH(N$1,products!$A$1:$G$1,0))</f>
        <v>27.945</v>
      </c>
      <c r="O703" s="7">
        <f t="shared" si="10"/>
        <v>167.67000000000002</v>
      </c>
      <c r="P703" t="str" cm="1">
        <f t="array" ref="P703">_xlfn.IFS(K703="Rob","Robusta",K703="Exc","Excelsa",K703="Ara","Arabica",K703="Lib","Liberica")</f>
        <v>Excelsa</v>
      </c>
      <c r="Q703" t="str" cm="1">
        <f t="array" ref="Q703">_xlfn.IFS(L703="M","Medium",L703="L","Light",L703="D","Dark")</f>
        <v>Dark</v>
      </c>
      <c r="R703" t="str">
        <f>_xlfn.XLOOKUP(Orders[[#This Row],[Customer ID]],customers!$A$1:$A$1001,customers!$I$1:$I$1001)</f>
        <v>No</v>
      </c>
    </row>
    <row r="704" spans="1:18" x14ac:dyDescent="0.35">
      <c r="A704" s="2" t="s">
        <v>1992</v>
      </c>
      <c r="B704" s="4">
        <v>44283</v>
      </c>
      <c r="C704" s="23">
        <f>Orders[[#This Row],[Order Date]]</f>
        <v>44283</v>
      </c>
      <c r="D704" s="2">
        <f>YEAR(Orders[[#This Row],[Order Date]])</f>
        <v>2021</v>
      </c>
      <c r="E704" s="2" t="s">
        <v>1993</v>
      </c>
      <c r="F704" t="s">
        <v>6183</v>
      </c>
      <c r="G704" s="20">
        <v>2</v>
      </c>
      <c r="H704" s="2" t="str">
        <f>INDEX(customers!$A$1:$I$1001,MATCH($E704,customers!$A$1:$A$1001,),MATCH($H$1,customers!$A$1:$I$1,0))</f>
        <v>Myles Seawright</v>
      </c>
      <c r="I704" s="2" t="str">
        <f>IF(INDEX(customers!$A$1:$I$1001,MATCH($E704,customers!$A$1:$A$1001,0),3)=0,"",INDEX(customers!$A$1:$I$1001,MATCH($E704,customers!$A$1:$A$1001,0),3))</f>
        <v>mseawright7e@nbcnews.com</v>
      </c>
      <c r="J704" s="2" t="str">
        <f>_xlfn.XLOOKUP(E704,customers!$A$1:$A$1001,customers!$G$1:$G$1001)</f>
        <v>United Kingdom</v>
      </c>
      <c r="K704" t="str">
        <f>INDEX(products!$A$1:$G$49,MATCH($F704,products!$A$1:$A$49,0),MATCH(K$1,products!$A$1:$G$1,0))</f>
        <v>Exc</v>
      </c>
      <c r="L704" t="str">
        <f>INDEX(products!$A$1:$G$49,MATCH($F704,products!$A$1:$A$49,0),MATCH(L$1,products!$A$1:$G$1,0))</f>
        <v>D</v>
      </c>
      <c r="M704" s="5">
        <f>INDEX(products!$A$1:$G$49,MATCH($F704,products!$A$1:$A$49,0),MATCH(M$1,products!$A$1:$G$1,0))</f>
        <v>1</v>
      </c>
      <c r="N704" s="7">
        <f>INDEX(products!$A$1:$G$49,MATCH($F704,products!$A$1:$A$49,0),MATCH(N$1,products!$A$1:$G$1,0))</f>
        <v>12.15</v>
      </c>
      <c r="O704" s="7">
        <f t="shared" si="10"/>
        <v>24.3</v>
      </c>
      <c r="P704" t="str" cm="1">
        <f t="array" ref="P704">_xlfn.IFS(K704="Rob","Robusta",K704="Exc","Excelsa",K704="Ara","Arabica",K704="Lib","Liberica")</f>
        <v>Excelsa</v>
      </c>
      <c r="Q704" t="str" cm="1">
        <f t="array" ref="Q704">_xlfn.IFS(L704="M","Medium",L704="L","Light",L704="D","Dark")</f>
        <v>Dark</v>
      </c>
      <c r="R704" t="str">
        <f>_xlfn.XLOOKUP(Orders[[#This Row],[Customer ID]],customers!$A$1:$A$1001,customers!$I$1:$I$1001)</f>
        <v>No</v>
      </c>
    </row>
    <row r="705" spans="1:18" x14ac:dyDescent="0.35">
      <c r="A705" s="2" t="s">
        <v>4429</v>
      </c>
      <c r="B705" s="4">
        <v>44547</v>
      </c>
      <c r="C705" s="23">
        <f>Orders[[#This Row],[Order Date]]</f>
        <v>44547</v>
      </c>
      <c r="D705" s="2">
        <f>YEAR(Orders[[#This Row],[Order Date]])</f>
        <v>2021</v>
      </c>
      <c r="E705" s="2" t="s">
        <v>4430</v>
      </c>
      <c r="F705" t="s">
        <v>6157</v>
      </c>
      <c r="G705" s="20">
        <v>3</v>
      </c>
      <c r="H705" s="2" t="str">
        <f>INDEX(customers!$A$1:$I$1001,MATCH($E705,customers!$A$1:$A$1001,),MATCH($H$1,customers!$A$1:$I$1,0))</f>
        <v>Myrle Dearden</v>
      </c>
      <c r="I705" s="2" t="str">
        <f>IF(INDEX(customers!$A$1:$I$1001,MATCH($E705,customers!$A$1:$A$1001,0),3)=0,"",INDEX(customers!$A$1:$I$1001,MATCH($E705,customers!$A$1:$A$1001,0),3))</f>
        <v/>
      </c>
      <c r="J705" s="2" t="str">
        <f>_xlfn.XLOOKUP(E705,customers!$A$1:$A$1001,customers!$G$1:$G$1001)</f>
        <v>Ireland</v>
      </c>
      <c r="K705" t="str">
        <f>INDEX(products!$A$1:$G$49,MATCH($F705,products!$A$1:$A$49,0),MATCH(K$1,products!$A$1:$G$1,0))</f>
        <v>Ara</v>
      </c>
      <c r="L705" t="str">
        <f>INDEX(products!$A$1:$G$49,MATCH($F705,products!$A$1:$A$49,0),MATCH(L$1,products!$A$1:$G$1,0))</f>
        <v>M</v>
      </c>
      <c r="M705" s="5">
        <f>INDEX(products!$A$1:$G$49,MATCH($F705,products!$A$1:$A$49,0),MATCH(M$1,products!$A$1:$G$1,0))</f>
        <v>0.5</v>
      </c>
      <c r="N705" s="7">
        <f>INDEX(products!$A$1:$G$49,MATCH($F705,products!$A$1:$A$49,0),MATCH(N$1,products!$A$1:$G$1,0))</f>
        <v>6.75</v>
      </c>
      <c r="O705" s="7">
        <f t="shared" si="10"/>
        <v>20.25</v>
      </c>
      <c r="P705" t="str" cm="1">
        <f t="array" ref="P705">_xlfn.IFS(K705="Rob","Robusta",K705="Exc","Excelsa",K705="Ara","Arabica",K705="Lib","Liberica")</f>
        <v>Arabica</v>
      </c>
      <c r="Q705" t="str" cm="1">
        <f t="array" ref="Q705">_xlfn.IFS(L705="M","Medium",L705="L","Light",L705="D","Dark")</f>
        <v>Medium</v>
      </c>
      <c r="R705" t="str">
        <f>_xlfn.XLOOKUP(Orders[[#This Row],[Customer ID]],customers!$A$1:$A$1001,customers!$I$1:$I$1001)</f>
        <v>No</v>
      </c>
    </row>
    <row r="706" spans="1:18" x14ac:dyDescent="0.35">
      <c r="A706" s="2" t="s">
        <v>5205</v>
      </c>
      <c r="B706" s="4">
        <v>44141</v>
      </c>
      <c r="C706" s="23">
        <f>Orders[[#This Row],[Order Date]]</f>
        <v>44141</v>
      </c>
      <c r="D706" s="2">
        <f>YEAR(Orders[[#This Row],[Order Date]])</f>
        <v>2020</v>
      </c>
      <c r="E706" s="2" t="s">
        <v>5206</v>
      </c>
      <c r="F706" t="s">
        <v>6168</v>
      </c>
      <c r="G706" s="20">
        <v>1</v>
      </c>
      <c r="H706" s="2" t="str">
        <f>INDEX(customers!$A$1:$I$1001,MATCH($E706,customers!$A$1:$A$1001,),MATCH($H$1,customers!$A$1:$I$1,0))</f>
        <v>Nadeen Broomer</v>
      </c>
      <c r="I706" s="2" t="str">
        <f>IF(INDEX(customers!$A$1:$I$1001,MATCH($E706,customers!$A$1:$A$1001,0),3)=0,"",INDEX(customers!$A$1:$I$1001,MATCH($E706,customers!$A$1:$A$1001,0),3))</f>
        <v>nbroomern6@examiner.com</v>
      </c>
      <c r="J706" s="2" t="str">
        <f>_xlfn.XLOOKUP(E706,customers!$A$1:$A$1001,customers!$G$1:$G$1001)</f>
        <v>United States</v>
      </c>
      <c r="K706" t="str">
        <f>INDEX(products!$A$1:$G$49,MATCH($F706,products!$A$1:$A$49,0),MATCH(K$1,products!$A$1:$G$1,0))</f>
        <v>Ara</v>
      </c>
      <c r="L706" t="str">
        <f>INDEX(products!$A$1:$G$49,MATCH($F706,products!$A$1:$A$49,0),MATCH(L$1,products!$A$1:$G$1,0))</f>
        <v>D</v>
      </c>
      <c r="M706" s="5">
        <f>INDEX(products!$A$1:$G$49,MATCH($F706,products!$A$1:$A$49,0),MATCH(M$1,products!$A$1:$G$1,0))</f>
        <v>2.5</v>
      </c>
      <c r="N706" s="7">
        <f>INDEX(products!$A$1:$G$49,MATCH($F706,products!$A$1:$A$49,0),MATCH(N$1,products!$A$1:$G$1,0))</f>
        <v>22.884999999999998</v>
      </c>
      <c r="O706" s="7">
        <f t="shared" ref="O706:O769" si="11">N706*G706</f>
        <v>22.884999999999998</v>
      </c>
      <c r="P706" t="str" cm="1">
        <f t="array" ref="P706">_xlfn.IFS(K706="Rob","Robusta",K706="Exc","Excelsa",K706="Ara","Arabica",K706="Lib","Liberica")</f>
        <v>Arabica</v>
      </c>
      <c r="Q706" t="str" cm="1">
        <f t="array" ref="Q706">_xlfn.IFS(L706="M","Medium",L706="L","Light",L706="D","Dark")</f>
        <v>Dark</v>
      </c>
      <c r="R706" t="str">
        <f>_xlfn.XLOOKUP(Orders[[#This Row],[Customer ID]],customers!$A$1:$A$1001,customers!$I$1:$I$1001)</f>
        <v>No</v>
      </c>
    </row>
    <row r="707" spans="1:18" x14ac:dyDescent="0.35">
      <c r="A707" s="2" t="s">
        <v>3047</v>
      </c>
      <c r="B707" s="4">
        <v>44579</v>
      </c>
      <c r="C707" s="23">
        <f>Orders[[#This Row],[Order Date]]</f>
        <v>44579</v>
      </c>
      <c r="D707" s="2">
        <f>YEAR(Orders[[#This Row],[Order Date]])</f>
        <v>2022</v>
      </c>
      <c r="E707" s="2" t="s">
        <v>3048</v>
      </c>
      <c r="F707" t="s">
        <v>6161</v>
      </c>
      <c r="G707" s="20">
        <v>4</v>
      </c>
      <c r="H707" s="2" t="str">
        <f>INDEX(customers!$A$1:$I$1001,MATCH($E707,customers!$A$1:$A$1001,),MATCH($H$1,customers!$A$1:$I$1,0))</f>
        <v>Nalani Pirrone</v>
      </c>
      <c r="I707" s="2" t="str">
        <f>IF(INDEX(customers!$A$1:$I$1001,MATCH($E707,customers!$A$1:$A$1001,0),3)=0,"",INDEX(customers!$A$1:$I$1001,MATCH($E707,customers!$A$1:$A$1001,0),3))</f>
        <v>npirronecl@weibo.com</v>
      </c>
      <c r="J707" s="2" t="str">
        <f>_xlfn.XLOOKUP(E707,customers!$A$1:$A$1001,customers!$G$1:$G$1001)</f>
        <v>United States</v>
      </c>
      <c r="K707" t="str">
        <f>INDEX(products!$A$1:$G$49,MATCH($F707,products!$A$1:$A$49,0),MATCH(K$1,products!$A$1:$G$1,0))</f>
        <v>Lib</v>
      </c>
      <c r="L707" t="str">
        <f>INDEX(products!$A$1:$G$49,MATCH($F707,products!$A$1:$A$49,0),MATCH(L$1,products!$A$1:$G$1,0))</f>
        <v>L</v>
      </c>
      <c r="M707" s="5">
        <f>INDEX(products!$A$1:$G$49,MATCH($F707,products!$A$1:$A$49,0),MATCH(M$1,products!$A$1:$G$1,0))</f>
        <v>0.5</v>
      </c>
      <c r="N707" s="7">
        <f>INDEX(products!$A$1:$G$49,MATCH($F707,products!$A$1:$A$49,0),MATCH(N$1,products!$A$1:$G$1,0))</f>
        <v>9.51</v>
      </c>
      <c r="O707" s="7">
        <f t="shared" si="11"/>
        <v>38.04</v>
      </c>
      <c r="P707" t="str" cm="1">
        <f t="array" ref="P707">_xlfn.IFS(K707="Rob","Robusta",K707="Exc","Excelsa",K707="Ara","Arabica",K707="Lib","Liberica")</f>
        <v>Liberica</v>
      </c>
      <c r="Q707" t="str" cm="1">
        <f t="array" ref="Q707">_xlfn.IFS(L707="M","Medium",L707="L","Light",L707="D","Dark")</f>
        <v>Light</v>
      </c>
      <c r="R707" t="str">
        <f>_xlfn.XLOOKUP(Orders[[#This Row],[Customer ID]],customers!$A$1:$A$1001,customers!$I$1:$I$1001)</f>
        <v>No</v>
      </c>
    </row>
    <row r="708" spans="1:18" x14ac:dyDescent="0.35">
      <c r="A708" s="2" t="s">
        <v>2097</v>
      </c>
      <c r="B708" s="4">
        <v>43960</v>
      </c>
      <c r="C708" s="23">
        <f>Orders[[#This Row],[Order Date]]</f>
        <v>43960</v>
      </c>
      <c r="D708" s="2">
        <f>YEAR(Orders[[#This Row],[Order Date]])</f>
        <v>2020</v>
      </c>
      <c r="E708" s="2" t="s">
        <v>2098</v>
      </c>
      <c r="F708" t="s">
        <v>6166</v>
      </c>
      <c r="G708" s="20">
        <v>3</v>
      </c>
      <c r="H708" s="2" t="str">
        <f>INDEX(customers!$A$1:$I$1001,MATCH($E708,customers!$A$1:$A$1001,),MATCH($H$1,customers!$A$1:$I$1,0))</f>
        <v>Nanine McCarthy</v>
      </c>
      <c r="I708" s="2" t="str">
        <f>IF(INDEX(customers!$A$1:$I$1001,MATCH($E708,customers!$A$1:$A$1001,0),3)=0,"",INDEX(customers!$A$1:$I$1001,MATCH($E708,customers!$A$1:$A$1001,0),3))</f>
        <v/>
      </c>
      <c r="J708" s="2" t="str">
        <f>_xlfn.XLOOKUP(E708,customers!$A$1:$A$1001,customers!$G$1:$G$1001)</f>
        <v>United States</v>
      </c>
      <c r="K708" t="str">
        <f>INDEX(products!$A$1:$G$49,MATCH($F708,products!$A$1:$A$49,0),MATCH(K$1,products!$A$1:$G$1,0))</f>
        <v>Exc</v>
      </c>
      <c r="L708" t="str">
        <f>INDEX(products!$A$1:$G$49,MATCH($F708,products!$A$1:$A$49,0),MATCH(L$1,products!$A$1:$G$1,0))</f>
        <v>M</v>
      </c>
      <c r="M708" s="5">
        <f>INDEX(products!$A$1:$G$49,MATCH($F708,products!$A$1:$A$49,0),MATCH(M$1,products!$A$1:$G$1,0))</f>
        <v>2.5</v>
      </c>
      <c r="N708" s="7">
        <f>INDEX(products!$A$1:$G$49,MATCH($F708,products!$A$1:$A$49,0),MATCH(N$1,products!$A$1:$G$1,0))</f>
        <v>31.624999999999996</v>
      </c>
      <c r="O708" s="7">
        <f t="shared" si="11"/>
        <v>94.874999999999986</v>
      </c>
      <c r="P708" t="str" cm="1">
        <f t="array" ref="P708">_xlfn.IFS(K708="Rob","Robusta",K708="Exc","Excelsa",K708="Ara","Arabica",K708="Lib","Liberica")</f>
        <v>Excelsa</v>
      </c>
      <c r="Q708" t="str" cm="1">
        <f t="array" ref="Q708">_xlfn.IFS(L708="M","Medium",L708="L","Light",L708="D","Dark")</f>
        <v>Medium</v>
      </c>
      <c r="R708" t="str">
        <f>_xlfn.XLOOKUP(Orders[[#This Row],[Customer ID]],customers!$A$1:$A$1001,customers!$I$1:$I$1001)</f>
        <v>No</v>
      </c>
    </row>
    <row r="709" spans="1:18" x14ac:dyDescent="0.35">
      <c r="A709" s="2" t="s">
        <v>3499</v>
      </c>
      <c r="B709" s="4">
        <v>44330</v>
      </c>
      <c r="C709" s="23">
        <f>Orders[[#This Row],[Order Date]]</f>
        <v>44330</v>
      </c>
      <c r="D709" s="2">
        <f>YEAR(Orders[[#This Row],[Order Date]])</f>
        <v>2021</v>
      </c>
      <c r="E709" s="2" t="s">
        <v>3500</v>
      </c>
      <c r="F709" t="s">
        <v>6139</v>
      </c>
      <c r="G709" s="20">
        <v>2</v>
      </c>
      <c r="H709" s="2" t="str">
        <f>INDEX(customers!$A$1:$I$1001,MATCH($E709,customers!$A$1:$A$1001,),MATCH($H$1,customers!$A$1:$I$1,0))</f>
        <v>Nannie Naseby</v>
      </c>
      <c r="I709" s="2" t="str">
        <f>IF(INDEX(customers!$A$1:$I$1001,MATCH($E709,customers!$A$1:$A$1001,0),3)=0,"",INDEX(customers!$A$1:$I$1001,MATCH($E709,customers!$A$1:$A$1001,0),3))</f>
        <v>nnasebyes@umich.edu</v>
      </c>
      <c r="J709" s="2" t="str">
        <f>_xlfn.XLOOKUP(E709,customers!$A$1:$A$1001,customers!$G$1:$G$1001)</f>
        <v>United States</v>
      </c>
      <c r="K709" t="str">
        <f>INDEX(products!$A$1:$G$49,MATCH($F709,products!$A$1:$A$49,0),MATCH(K$1,products!$A$1:$G$1,0))</f>
        <v>Exc</v>
      </c>
      <c r="L709" t="str">
        <f>INDEX(products!$A$1:$G$49,MATCH($F709,products!$A$1:$A$49,0),MATCH(L$1,products!$A$1:$G$1,0))</f>
        <v>M</v>
      </c>
      <c r="M709" s="5">
        <f>INDEX(products!$A$1:$G$49,MATCH($F709,products!$A$1:$A$49,0),MATCH(M$1,products!$A$1:$G$1,0))</f>
        <v>0.5</v>
      </c>
      <c r="N709" s="7">
        <f>INDEX(products!$A$1:$G$49,MATCH($F709,products!$A$1:$A$49,0),MATCH(N$1,products!$A$1:$G$1,0))</f>
        <v>8.25</v>
      </c>
      <c r="O709" s="7">
        <f t="shared" si="11"/>
        <v>16.5</v>
      </c>
      <c r="P709" t="str" cm="1">
        <f t="array" ref="P709">_xlfn.IFS(K709="Rob","Robusta",K709="Exc","Excelsa",K709="Ara","Arabica",K709="Lib","Liberica")</f>
        <v>Excelsa</v>
      </c>
      <c r="Q709" t="str" cm="1">
        <f t="array" ref="Q709">_xlfn.IFS(L709="M","Medium",L709="L","Light",L709="D","Dark")</f>
        <v>Medium</v>
      </c>
      <c r="R709" t="str">
        <f>_xlfn.XLOOKUP(Orders[[#This Row],[Customer ID]],customers!$A$1:$A$1001,customers!$I$1:$I$1001)</f>
        <v>Yes</v>
      </c>
    </row>
    <row r="710" spans="1:18" x14ac:dyDescent="0.35">
      <c r="A710" s="2" t="s">
        <v>3208</v>
      </c>
      <c r="B710" s="4">
        <v>43747</v>
      </c>
      <c r="C710" s="23">
        <f>Orders[[#This Row],[Order Date]]</f>
        <v>43747</v>
      </c>
      <c r="D710" s="2">
        <f>YEAR(Orders[[#This Row],[Order Date]])</f>
        <v>2019</v>
      </c>
      <c r="E710" s="2" t="s">
        <v>3209</v>
      </c>
      <c r="F710" t="s">
        <v>6179</v>
      </c>
      <c r="G710" s="20">
        <v>2</v>
      </c>
      <c r="H710" s="2" t="str">
        <f>INDEX(customers!$A$1:$I$1001,MATCH($E710,customers!$A$1:$A$1001,),MATCH($H$1,customers!$A$1:$I$1,0))</f>
        <v>Nanny Izhakov</v>
      </c>
      <c r="I710" s="2" t="str">
        <f>IF(INDEX(customers!$A$1:$I$1001,MATCH($E710,customers!$A$1:$A$1001,0),3)=0,"",INDEX(customers!$A$1:$I$1001,MATCH($E710,customers!$A$1:$A$1001,0),3))</f>
        <v>nizhakovdd@aol.com</v>
      </c>
      <c r="J710" s="2" t="str">
        <f>_xlfn.XLOOKUP(E710,customers!$A$1:$A$1001,customers!$G$1:$G$1001)</f>
        <v>United Kingdom</v>
      </c>
      <c r="K710" t="str">
        <f>INDEX(products!$A$1:$G$49,MATCH($F710,products!$A$1:$A$49,0),MATCH(K$1,products!$A$1:$G$1,0))</f>
        <v>Rob</v>
      </c>
      <c r="L710" t="str">
        <f>INDEX(products!$A$1:$G$49,MATCH($F710,products!$A$1:$A$49,0),MATCH(L$1,products!$A$1:$G$1,0))</f>
        <v>L</v>
      </c>
      <c r="M710" s="5">
        <f>INDEX(products!$A$1:$G$49,MATCH($F710,products!$A$1:$A$49,0),MATCH(M$1,products!$A$1:$G$1,0))</f>
        <v>1</v>
      </c>
      <c r="N710" s="7">
        <f>INDEX(products!$A$1:$G$49,MATCH($F710,products!$A$1:$A$49,0),MATCH(N$1,products!$A$1:$G$1,0))</f>
        <v>11.95</v>
      </c>
      <c r="O710" s="7">
        <f t="shared" si="11"/>
        <v>23.9</v>
      </c>
      <c r="P710" t="str" cm="1">
        <f t="array" ref="P710">_xlfn.IFS(K710="Rob","Robusta",K710="Exc","Excelsa",K710="Ara","Arabica",K710="Lib","Liberica")</f>
        <v>Robusta</v>
      </c>
      <c r="Q710" t="str" cm="1">
        <f t="array" ref="Q710">_xlfn.IFS(L710="M","Medium",L710="L","Light",L710="D","Dark")</f>
        <v>Light</v>
      </c>
      <c r="R710" t="str">
        <f>_xlfn.XLOOKUP(Orders[[#This Row],[Customer ID]],customers!$A$1:$A$1001,customers!$I$1:$I$1001)</f>
        <v>No</v>
      </c>
    </row>
    <row r="711" spans="1:18" x14ac:dyDescent="0.35">
      <c r="A711" s="2" t="s">
        <v>2273</v>
      </c>
      <c r="B711" s="4">
        <v>43641</v>
      </c>
      <c r="C711" s="23">
        <f>Orders[[#This Row],[Order Date]]</f>
        <v>43641</v>
      </c>
      <c r="D711" s="2">
        <f>YEAR(Orders[[#This Row],[Order Date]])</f>
        <v>2019</v>
      </c>
      <c r="E711" s="2" t="s">
        <v>2274</v>
      </c>
      <c r="F711" t="s">
        <v>6148</v>
      </c>
      <c r="G711" s="20">
        <v>6</v>
      </c>
      <c r="H711" s="2" t="str">
        <f>INDEX(customers!$A$1:$I$1001,MATCH($E711,customers!$A$1:$A$1001,),MATCH($H$1,customers!$A$1:$I$1,0))</f>
        <v>Nanny Lush</v>
      </c>
      <c r="I711" s="2" t="str">
        <f>IF(INDEX(customers!$A$1:$I$1001,MATCH($E711,customers!$A$1:$A$1001,0),3)=0,"",INDEX(customers!$A$1:$I$1001,MATCH($E711,customers!$A$1:$A$1001,0),3))</f>
        <v>nlush8s@dedecms.com</v>
      </c>
      <c r="J711" s="2" t="str">
        <f>_xlfn.XLOOKUP(E711,customers!$A$1:$A$1001,customers!$G$1:$G$1001)</f>
        <v>Ireland</v>
      </c>
      <c r="K711" t="str">
        <f>INDEX(products!$A$1:$G$49,MATCH($F711,products!$A$1:$A$49,0),MATCH(K$1,products!$A$1:$G$1,0))</f>
        <v>Exc</v>
      </c>
      <c r="L711" t="str">
        <f>INDEX(products!$A$1:$G$49,MATCH($F711,products!$A$1:$A$49,0),MATCH(L$1,products!$A$1:$G$1,0))</f>
        <v>L</v>
      </c>
      <c r="M711" s="5">
        <f>INDEX(products!$A$1:$G$49,MATCH($F711,products!$A$1:$A$49,0),MATCH(M$1,products!$A$1:$G$1,0))</f>
        <v>2.5</v>
      </c>
      <c r="N711" s="7">
        <f>INDEX(products!$A$1:$G$49,MATCH($F711,products!$A$1:$A$49,0),MATCH(N$1,products!$A$1:$G$1,0))</f>
        <v>34.154999999999994</v>
      </c>
      <c r="O711" s="7">
        <f t="shared" si="11"/>
        <v>204.92999999999995</v>
      </c>
      <c r="P711" t="str" cm="1">
        <f t="array" ref="P711">_xlfn.IFS(K711="Rob","Robusta",K711="Exc","Excelsa",K711="Ara","Arabica",K711="Lib","Liberica")</f>
        <v>Excelsa</v>
      </c>
      <c r="Q711" t="str" cm="1">
        <f t="array" ref="Q711">_xlfn.IFS(L711="M","Medium",L711="L","Light",L711="D","Dark")</f>
        <v>Light</v>
      </c>
      <c r="R711" t="str">
        <f>_xlfn.XLOOKUP(Orders[[#This Row],[Customer ID]],customers!$A$1:$A$1001,customers!$I$1:$I$1001)</f>
        <v>No</v>
      </c>
    </row>
    <row r="712" spans="1:18" x14ac:dyDescent="0.35">
      <c r="A712" s="2" t="s">
        <v>866</v>
      </c>
      <c r="B712" s="4">
        <v>44519</v>
      </c>
      <c r="C712" s="23">
        <f>Orders[[#This Row],[Order Date]]</f>
        <v>44519</v>
      </c>
      <c r="D712" s="2">
        <f>YEAR(Orders[[#This Row],[Order Date]])</f>
        <v>2021</v>
      </c>
      <c r="E712" s="2" t="s">
        <v>867</v>
      </c>
      <c r="F712" t="s">
        <v>6145</v>
      </c>
      <c r="G712" s="20">
        <v>2</v>
      </c>
      <c r="H712" s="2" t="str">
        <f>INDEX(customers!$A$1:$I$1001,MATCH($E712,customers!$A$1:$A$1001,),MATCH($H$1,customers!$A$1:$I$1,0))</f>
        <v>Nat Saleway</v>
      </c>
      <c r="I712" s="2" t="str">
        <f>IF(INDEX(customers!$A$1:$I$1001,MATCH($E712,customers!$A$1:$A$1001,0),3)=0,"",INDEX(customers!$A$1:$I$1001,MATCH($E712,customers!$A$1:$A$1001,0),3))</f>
        <v>nsaleway1v@dedecms.com</v>
      </c>
      <c r="J712" s="2" t="str">
        <f>_xlfn.XLOOKUP(E712,customers!$A$1:$A$1001,customers!$G$1:$G$1001)</f>
        <v>United States</v>
      </c>
      <c r="K712" t="str">
        <f>INDEX(products!$A$1:$G$49,MATCH($F712,products!$A$1:$A$49,0),MATCH(K$1,products!$A$1:$G$1,0))</f>
        <v>Lib</v>
      </c>
      <c r="L712" t="str">
        <f>INDEX(products!$A$1:$G$49,MATCH($F712,products!$A$1:$A$49,0),MATCH(L$1,products!$A$1:$G$1,0))</f>
        <v>L</v>
      </c>
      <c r="M712" s="5">
        <f>INDEX(products!$A$1:$G$49,MATCH($F712,products!$A$1:$A$49,0),MATCH(M$1,products!$A$1:$G$1,0))</f>
        <v>0.2</v>
      </c>
      <c r="N712" s="7">
        <f>INDEX(products!$A$1:$G$49,MATCH($F712,products!$A$1:$A$49,0),MATCH(N$1,products!$A$1:$G$1,0))</f>
        <v>4.7549999999999999</v>
      </c>
      <c r="O712" s="7">
        <f t="shared" si="11"/>
        <v>9.51</v>
      </c>
      <c r="P712" t="str" cm="1">
        <f t="array" ref="P712">_xlfn.IFS(K712="Rob","Robusta",K712="Exc","Excelsa",K712="Ara","Arabica",K712="Lib","Liberica")</f>
        <v>Liberica</v>
      </c>
      <c r="Q712" t="str" cm="1">
        <f t="array" ref="Q712">_xlfn.IFS(L712="M","Medium",L712="L","Light",L712="D","Dark")</f>
        <v>Light</v>
      </c>
      <c r="R712" t="str">
        <f>_xlfn.XLOOKUP(Orders[[#This Row],[Customer ID]],customers!$A$1:$A$1001,customers!$I$1:$I$1001)</f>
        <v>No</v>
      </c>
    </row>
    <row r="713" spans="1:18" x14ac:dyDescent="0.35">
      <c r="A713" s="2" t="s">
        <v>4659</v>
      </c>
      <c r="B713" s="4">
        <v>43812</v>
      </c>
      <c r="C713" s="23">
        <f>Orders[[#This Row],[Order Date]]</f>
        <v>43812</v>
      </c>
      <c r="D713" s="2">
        <f>YEAR(Orders[[#This Row],[Order Date]])</f>
        <v>2019</v>
      </c>
      <c r="E713" s="2" t="s">
        <v>4660</v>
      </c>
      <c r="F713" t="s">
        <v>6178</v>
      </c>
      <c r="G713" s="20">
        <v>3</v>
      </c>
      <c r="H713" s="2" t="str">
        <f>INDEX(customers!$A$1:$I$1001,MATCH($E713,customers!$A$1:$A$1001,),MATCH($H$1,customers!$A$1:$I$1,0))</f>
        <v>Natal Vigrass</v>
      </c>
      <c r="I713" s="2" t="str">
        <f>IF(INDEX(customers!$A$1:$I$1001,MATCH($E713,customers!$A$1:$A$1001,0),3)=0,"",INDEX(customers!$A$1:$I$1001,MATCH($E713,customers!$A$1:$A$1001,0),3))</f>
        <v>nvigrasski@ezinearticles.com</v>
      </c>
      <c r="J713" s="2" t="str">
        <f>_xlfn.XLOOKUP(E713,customers!$A$1:$A$1001,customers!$G$1:$G$1001)</f>
        <v>United Kingdom</v>
      </c>
      <c r="K713" t="str">
        <f>INDEX(products!$A$1:$G$49,MATCH($F713,products!$A$1:$A$49,0),MATCH(K$1,products!$A$1:$G$1,0))</f>
        <v>Rob</v>
      </c>
      <c r="L713" t="str">
        <f>INDEX(products!$A$1:$G$49,MATCH($F713,products!$A$1:$A$49,0),MATCH(L$1,products!$A$1:$G$1,0))</f>
        <v>L</v>
      </c>
      <c r="M713" s="5">
        <f>INDEX(products!$A$1:$G$49,MATCH($F713,products!$A$1:$A$49,0),MATCH(M$1,products!$A$1:$G$1,0))</f>
        <v>0.2</v>
      </c>
      <c r="N713" s="7">
        <f>INDEX(products!$A$1:$G$49,MATCH($F713,products!$A$1:$A$49,0),MATCH(N$1,products!$A$1:$G$1,0))</f>
        <v>3.5849999999999995</v>
      </c>
      <c r="O713" s="7">
        <f t="shared" si="11"/>
        <v>10.754999999999999</v>
      </c>
      <c r="P713" t="str" cm="1">
        <f t="array" ref="P713">_xlfn.IFS(K713="Rob","Robusta",K713="Exc","Excelsa",K713="Ara","Arabica",K713="Lib","Liberica")</f>
        <v>Robusta</v>
      </c>
      <c r="Q713" t="str" cm="1">
        <f t="array" ref="Q713">_xlfn.IFS(L713="M","Medium",L713="L","Light",L713="D","Dark")</f>
        <v>Light</v>
      </c>
      <c r="R713" t="str">
        <f>_xlfn.XLOOKUP(Orders[[#This Row],[Customer ID]],customers!$A$1:$A$1001,customers!$I$1:$I$1001)</f>
        <v>No</v>
      </c>
    </row>
    <row r="714" spans="1:18" x14ac:dyDescent="0.35">
      <c r="A714" s="2" t="s">
        <v>3391</v>
      </c>
      <c r="B714" s="4">
        <v>44691</v>
      </c>
      <c r="C714" s="23">
        <f>Orders[[#This Row],[Order Date]]</f>
        <v>44691</v>
      </c>
      <c r="D714" s="2">
        <f>YEAR(Orders[[#This Row],[Order Date]])</f>
        <v>2022</v>
      </c>
      <c r="E714" s="2" t="s">
        <v>3392</v>
      </c>
      <c r="F714" t="s">
        <v>6170</v>
      </c>
      <c r="G714" s="20">
        <v>5</v>
      </c>
      <c r="H714" s="2" t="str">
        <f>INDEX(customers!$A$1:$I$1001,MATCH($E714,customers!$A$1:$A$1001,),MATCH($H$1,customers!$A$1:$I$1,0))</f>
        <v>Nataniel Helkin</v>
      </c>
      <c r="I714" s="2" t="str">
        <f>IF(INDEX(customers!$A$1:$I$1001,MATCH($E714,customers!$A$1:$A$1001,0),3)=0,"",INDEX(customers!$A$1:$I$1001,MATCH($E714,customers!$A$1:$A$1001,0),3))</f>
        <v>nhelkine9@example.com</v>
      </c>
      <c r="J714" s="2" t="str">
        <f>_xlfn.XLOOKUP(E714,customers!$A$1:$A$1001,customers!$G$1:$G$1001)</f>
        <v>United States</v>
      </c>
      <c r="K714" t="str">
        <f>INDEX(products!$A$1:$G$49,MATCH($F714,products!$A$1:$A$49,0),MATCH(K$1,products!$A$1:$G$1,0))</f>
        <v>Lib</v>
      </c>
      <c r="L714" t="str">
        <f>INDEX(products!$A$1:$G$49,MATCH($F714,products!$A$1:$A$49,0),MATCH(L$1,products!$A$1:$G$1,0))</f>
        <v>L</v>
      </c>
      <c r="M714" s="5">
        <f>INDEX(products!$A$1:$G$49,MATCH($F714,products!$A$1:$A$49,0),MATCH(M$1,products!$A$1:$G$1,0))</f>
        <v>1</v>
      </c>
      <c r="N714" s="7">
        <f>INDEX(products!$A$1:$G$49,MATCH($F714,products!$A$1:$A$49,0),MATCH(N$1,products!$A$1:$G$1,0))</f>
        <v>15.85</v>
      </c>
      <c r="O714" s="7">
        <f t="shared" si="11"/>
        <v>79.25</v>
      </c>
      <c r="P714" t="str" cm="1">
        <f t="array" ref="P714">_xlfn.IFS(K714="Rob","Robusta",K714="Exc","Excelsa",K714="Ara","Arabica",K714="Lib","Liberica")</f>
        <v>Liberica</v>
      </c>
      <c r="Q714" t="str" cm="1">
        <f t="array" ref="Q714">_xlfn.IFS(L714="M","Medium",L714="L","Light",L714="D","Dark")</f>
        <v>Light</v>
      </c>
      <c r="R714" t="str">
        <f>_xlfn.XLOOKUP(Orders[[#This Row],[Customer ID]],customers!$A$1:$A$1001,customers!$I$1:$I$1001)</f>
        <v>No</v>
      </c>
    </row>
    <row r="715" spans="1:18" x14ac:dyDescent="0.35">
      <c r="A715" s="2" t="s">
        <v>4450</v>
      </c>
      <c r="B715" s="4">
        <v>44727</v>
      </c>
      <c r="C715" s="23">
        <f>Orders[[#This Row],[Order Date]]</f>
        <v>44727</v>
      </c>
      <c r="D715" s="2">
        <f>YEAR(Orders[[#This Row],[Order Date]])</f>
        <v>2022</v>
      </c>
      <c r="E715" s="2" t="s">
        <v>4451</v>
      </c>
      <c r="F715" t="s">
        <v>6158</v>
      </c>
      <c r="G715" s="20">
        <v>5</v>
      </c>
      <c r="H715" s="2" t="str">
        <f>INDEX(customers!$A$1:$I$1001,MATCH($E715,customers!$A$1:$A$1001,),MATCH($H$1,customers!$A$1:$I$1,0))</f>
        <v>Nathan Sictornes</v>
      </c>
      <c r="I715" s="2" t="str">
        <f>IF(INDEX(customers!$A$1:$I$1001,MATCH($E715,customers!$A$1:$A$1001,0),3)=0,"",INDEX(customers!$A$1:$I$1001,MATCH($E715,customers!$A$1:$A$1001,0),3))</f>
        <v>nsictornesjh@buzzfeed.com</v>
      </c>
      <c r="J715" s="2" t="str">
        <f>_xlfn.XLOOKUP(E715,customers!$A$1:$A$1001,customers!$G$1:$G$1001)</f>
        <v>Ireland</v>
      </c>
      <c r="K715" t="str">
        <f>INDEX(products!$A$1:$G$49,MATCH($F715,products!$A$1:$A$49,0),MATCH(K$1,products!$A$1:$G$1,0))</f>
        <v>Ara</v>
      </c>
      <c r="L715" t="str">
        <f>INDEX(products!$A$1:$G$49,MATCH($F715,products!$A$1:$A$49,0),MATCH(L$1,products!$A$1:$G$1,0))</f>
        <v>D</v>
      </c>
      <c r="M715" s="5">
        <f>INDEX(products!$A$1:$G$49,MATCH($F715,products!$A$1:$A$49,0),MATCH(M$1,products!$A$1:$G$1,0))</f>
        <v>0.5</v>
      </c>
      <c r="N715" s="7">
        <f>INDEX(products!$A$1:$G$49,MATCH($F715,products!$A$1:$A$49,0),MATCH(N$1,products!$A$1:$G$1,0))</f>
        <v>5.97</v>
      </c>
      <c r="O715" s="7">
        <f t="shared" si="11"/>
        <v>29.849999999999998</v>
      </c>
      <c r="P715" t="str" cm="1">
        <f t="array" ref="P715">_xlfn.IFS(K715="Rob","Robusta",K715="Exc","Excelsa",K715="Ara","Arabica",K715="Lib","Liberica")</f>
        <v>Arabica</v>
      </c>
      <c r="Q715" t="str" cm="1">
        <f t="array" ref="Q715">_xlfn.IFS(L715="M","Medium",L715="L","Light",L715="D","Dark")</f>
        <v>Dark</v>
      </c>
      <c r="R715" t="str">
        <f>_xlfn.XLOOKUP(Orders[[#This Row],[Customer ID]],customers!$A$1:$A$1001,customers!$I$1:$I$1001)</f>
        <v>Yes</v>
      </c>
    </row>
    <row r="716" spans="1:18" x14ac:dyDescent="0.35">
      <c r="A716" s="2" t="s">
        <v>3659</v>
      </c>
      <c r="B716" s="4">
        <v>43688</v>
      </c>
      <c r="C716" s="23">
        <f>Orders[[#This Row],[Order Date]]</f>
        <v>43688</v>
      </c>
      <c r="D716" s="2">
        <f>YEAR(Orders[[#This Row],[Order Date]])</f>
        <v>2019</v>
      </c>
      <c r="E716" s="2" t="s">
        <v>3660</v>
      </c>
      <c r="F716" t="s">
        <v>6154</v>
      </c>
      <c r="G716" s="20">
        <v>6</v>
      </c>
      <c r="H716" s="2" t="str">
        <f>INDEX(customers!$A$1:$I$1001,MATCH($E716,customers!$A$1:$A$1001,),MATCH($H$1,customers!$A$1:$I$1,0))</f>
        <v>Nathaniel Bloxland</v>
      </c>
      <c r="I716" s="2" t="str">
        <f>IF(INDEX(customers!$A$1:$I$1001,MATCH($E716,customers!$A$1:$A$1001,0),3)=0,"",INDEX(customers!$A$1:$I$1001,MATCH($E716,customers!$A$1:$A$1001,0),3))</f>
        <v/>
      </c>
      <c r="J716" s="2" t="str">
        <f>_xlfn.XLOOKUP(E716,customers!$A$1:$A$1001,customers!$G$1:$G$1001)</f>
        <v>Ireland</v>
      </c>
      <c r="K716" t="str">
        <f>INDEX(products!$A$1:$G$49,MATCH($F716,products!$A$1:$A$49,0),MATCH(K$1,products!$A$1:$G$1,0))</f>
        <v>Ara</v>
      </c>
      <c r="L716" t="str">
        <f>INDEX(products!$A$1:$G$49,MATCH($F716,products!$A$1:$A$49,0),MATCH(L$1,products!$A$1:$G$1,0))</f>
        <v>D</v>
      </c>
      <c r="M716" s="5">
        <f>INDEX(products!$A$1:$G$49,MATCH($F716,products!$A$1:$A$49,0),MATCH(M$1,products!$A$1:$G$1,0))</f>
        <v>0.2</v>
      </c>
      <c r="N716" s="7">
        <f>INDEX(products!$A$1:$G$49,MATCH($F716,products!$A$1:$A$49,0),MATCH(N$1,products!$A$1:$G$1,0))</f>
        <v>2.9849999999999999</v>
      </c>
      <c r="O716" s="7">
        <f t="shared" si="11"/>
        <v>17.91</v>
      </c>
      <c r="P716" t="str" cm="1">
        <f t="array" ref="P716">_xlfn.IFS(K716="Rob","Robusta",K716="Exc","Excelsa",K716="Ara","Arabica",K716="Lib","Liberica")</f>
        <v>Arabica</v>
      </c>
      <c r="Q716" t="str" cm="1">
        <f t="array" ref="Q716">_xlfn.IFS(L716="M","Medium",L716="L","Light",L716="D","Dark")</f>
        <v>Dark</v>
      </c>
      <c r="R716" t="str">
        <f>_xlfn.XLOOKUP(Orders[[#This Row],[Customer ID]],customers!$A$1:$A$1001,customers!$I$1:$I$1001)</f>
        <v>Yes</v>
      </c>
    </row>
    <row r="717" spans="1:18" x14ac:dyDescent="0.35">
      <c r="A717" s="2" t="s">
        <v>2250</v>
      </c>
      <c r="B717" s="4">
        <v>44317</v>
      </c>
      <c r="C717" s="23">
        <f>Orders[[#This Row],[Order Date]]</f>
        <v>44317</v>
      </c>
      <c r="D717" s="2">
        <f>YEAR(Orders[[#This Row],[Order Date]])</f>
        <v>2021</v>
      </c>
      <c r="E717" s="2" t="s">
        <v>2251</v>
      </c>
      <c r="F717" t="s">
        <v>6146</v>
      </c>
      <c r="G717" s="20">
        <v>1</v>
      </c>
      <c r="H717" s="2" t="str">
        <f>INDEX(customers!$A$1:$I$1001,MATCH($E717,customers!$A$1:$A$1001,),MATCH($H$1,customers!$A$1:$I$1,0))</f>
        <v>Natka Leethem</v>
      </c>
      <c r="I717" s="2" t="str">
        <f>IF(INDEX(customers!$A$1:$I$1001,MATCH($E717,customers!$A$1:$A$1001,0),3)=0,"",INDEX(customers!$A$1:$I$1001,MATCH($E717,customers!$A$1:$A$1001,0),3))</f>
        <v>nleethem8o@mac.com</v>
      </c>
      <c r="J717" s="2" t="str">
        <f>_xlfn.XLOOKUP(E717,customers!$A$1:$A$1001,customers!$G$1:$G$1001)</f>
        <v>United States</v>
      </c>
      <c r="K717" t="str">
        <f>INDEX(products!$A$1:$G$49,MATCH($F717,products!$A$1:$A$49,0),MATCH(K$1,products!$A$1:$G$1,0))</f>
        <v>Rob</v>
      </c>
      <c r="L717" t="str">
        <f>INDEX(products!$A$1:$G$49,MATCH($F717,products!$A$1:$A$49,0),MATCH(L$1,products!$A$1:$G$1,0))</f>
        <v>M</v>
      </c>
      <c r="M717" s="5">
        <f>INDEX(products!$A$1:$G$49,MATCH($F717,products!$A$1:$A$49,0),MATCH(M$1,products!$A$1:$G$1,0))</f>
        <v>0.5</v>
      </c>
      <c r="N717" s="7">
        <f>INDEX(products!$A$1:$G$49,MATCH($F717,products!$A$1:$A$49,0),MATCH(N$1,products!$A$1:$G$1,0))</f>
        <v>5.97</v>
      </c>
      <c r="O717" s="7">
        <f t="shared" si="11"/>
        <v>5.97</v>
      </c>
      <c r="P717" t="str" cm="1">
        <f t="array" ref="P717">_xlfn.IFS(K717="Rob","Robusta",K717="Exc","Excelsa",K717="Ara","Arabica",K717="Lib","Liberica")</f>
        <v>Robusta</v>
      </c>
      <c r="Q717" t="str" cm="1">
        <f t="array" ref="Q717">_xlfn.IFS(L717="M","Medium",L717="L","Light",L717="D","Dark")</f>
        <v>Medium</v>
      </c>
      <c r="R717" t="str">
        <f>_xlfn.XLOOKUP(Orders[[#This Row],[Customer ID]],customers!$A$1:$A$1001,customers!$I$1:$I$1001)</f>
        <v>Yes</v>
      </c>
    </row>
    <row r="718" spans="1:18" x14ac:dyDescent="0.35">
      <c r="A718" s="2" t="s">
        <v>1596</v>
      </c>
      <c r="B718" s="4">
        <v>44339</v>
      </c>
      <c r="C718" s="23">
        <f>Orders[[#This Row],[Order Date]]</f>
        <v>44339</v>
      </c>
      <c r="D718" s="2">
        <f>YEAR(Orders[[#This Row],[Order Date]])</f>
        <v>2021</v>
      </c>
      <c r="E718" s="2" t="s">
        <v>1597</v>
      </c>
      <c r="F718" t="s">
        <v>6176</v>
      </c>
      <c r="G718" s="20">
        <v>6</v>
      </c>
      <c r="H718" s="2" t="str">
        <f>INDEX(customers!$A$1:$I$1001,MATCH($E718,customers!$A$1:$A$1001,),MATCH($H$1,customers!$A$1:$I$1,0))</f>
        <v>Nealson Cuttler</v>
      </c>
      <c r="I718" s="2" t="str">
        <f>IF(INDEX(customers!$A$1:$I$1001,MATCH($E718,customers!$A$1:$A$1001,0),3)=0,"",INDEX(customers!$A$1:$I$1001,MATCH($E718,customers!$A$1:$A$1001,0),3))</f>
        <v>ncuttler5g@parallels.com</v>
      </c>
      <c r="J718" s="2" t="str">
        <f>_xlfn.XLOOKUP(E718,customers!$A$1:$A$1001,customers!$G$1:$G$1001)</f>
        <v>United States</v>
      </c>
      <c r="K718" t="str">
        <f>INDEX(products!$A$1:$G$49,MATCH($F718,products!$A$1:$A$49,0),MATCH(K$1,products!$A$1:$G$1,0))</f>
        <v>Exc</v>
      </c>
      <c r="L718" t="str">
        <f>INDEX(products!$A$1:$G$49,MATCH($F718,products!$A$1:$A$49,0),MATCH(L$1,products!$A$1:$G$1,0))</f>
        <v>L</v>
      </c>
      <c r="M718" s="5">
        <f>INDEX(products!$A$1:$G$49,MATCH($F718,products!$A$1:$A$49,0),MATCH(M$1,products!$A$1:$G$1,0))</f>
        <v>0.5</v>
      </c>
      <c r="N718" s="7">
        <f>INDEX(products!$A$1:$G$49,MATCH($F718,products!$A$1:$A$49,0),MATCH(N$1,products!$A$1:$G$1,0))</f>
        <v>8.91</v>
      </c>
      <c r="O718" s="7">
        <f t="shared" si="11"/>
        <v>53.46</v>
      </c>
      <c r="P718" t="str" cm="1">
        <f t="array" ref="P718">_xlfn.IFS(K718="Rob","Robusta",K718="Exc","Excelsa",K718="Ara","Arabica",K718="Lib","Liberica")</f>
        <v>Excelsa</v>
      </c>
      <c r="Q718" t="str" cm="1">
        <f t="array" ref="Q718">_xlfn.IFS(L718="M","Medium",L718="L","Light",L718="D","Dark")</f>
        <v>Light</v>
      </c>
      <c r="R718" t="str">
        <f>_xlfn.XLOOKUP(Orders[[#This Row],[Customer ID]],customers!$A$1:$A$1001,customers!$I$1:$I$1001)</f>
        <v>No</v>
      </c>
    </row>
    <row r="719" spans="1:18" x14ac:dyDescent="0.35">
      <c r="A719" s="2" t="s">
        <v>1596</v>
      </c>
      <c r="B719" s="4">
        <v>44339</v>
      </c>
      <c r="C719" s="23">
        <f>Orders[[#This Row],[Order Date]]</f>
        <v>44339</v>
      </c>
      <c r="D719" s="2">
        <f>YEAR(Orders[[#This Row],[Order Date]])</f>
        <v>2021</v>
      </c>
      <c r="E719" s="2" t="s">
        <v>1597</v>
      </c>
      <c r="F719" t="s">
        <v>6165</v>
      </c>
      <c r="G719" s="20">
        <v>2</v>
      </c>
      <c r="H719" s="2" t="str">
        <f>INDEX(customers!$A$1:$I$1001,MATCH($E719,customers!$A$1:$A$1001,),MATCH($H$1,customers!$A$1:$I$1,0))</f>
        <v>Nealson Cuttler</v>
      </c>
      <c r="I719" s="2" t="str">
        <f>IF(INDEX(customers!$A$1:$I$1001,MATCH($E719,customers!$A$1:$A$1001,0),3)=0,"",INDEX(customers!$A$1:$I$1001,MATCH($E719,customers!$A$1:$A$1001,0),3))</f>
        <v>ncuttler5g@parallels.com</v>
      </c>
      <c r="J719" s="2" t="str">
        <f>_xlfn.XLOOKUP(E719,customers!$A$1:$A$1001,customers!$G$1:$G$1001)</f>
        <v>United States</v>
      </c>
      <c r="K719" t="str">
        <f>INDEX(products!$A$1:$G$49,MATCH($F719,products!$A$1:$A$49,0),MATCH(K$1,products!$A$1:$G$1,0))</f>
        <v>Lib</v>
      </c>
      <c r="L719" t="str">
        <f>INDEX(products!$A$1:$G$49,MATCH($F719,products!$A$1:$A$49,0),MATCH(L$1,products!$A$1:$G$1,0))</f>
        <v>D</v>
      </c>
      <c r="M719" s="5">
        <f>INDEX(products!$A$1:$G$49,MATCH($F719,products!$A$1:$A$49,0),MATCH(M$1,products!$A$1:$G$1,0))</f>
        <v>2.5</v>
      </c>
      <c r="N719" s="7">
        <f>INDEX(products!$A$1:$G$49,MATCH($F719,products!$A$1:$A$49,0),MATCH(N$1,products!$A$1:$G$1,0))</f>
        <v>29.784999999999997</v>
      </c>
      <c r="O719" s="7">
        <f t="shared" si="11"/>
        <v>59.569999999999993</v>
      </c>
      <c r="P719" t="str" cm="1">
        <f t="array" ref="P719">_xlfn.IFS(K719="Rob","Robusta",K719="Exc","Excelsa",K719="Ara","Arabica",K719="Lib","Liberica")</f>
        <v>Liberica</v>
      </c>
      <c r="Q719" t="str" cm="1">
        <f t="array" ref="Q719">_xlfn.IFS(L719="M","Medium",L719="L","Light",L719="D","Dark")</f>
        <v>Dark</v>
      </c>
      <c r="R719" t="str">
        <f>_xlfn.XLOOKUP(Orders[[#This Row],[Customer ID]],customers!$A$1:$A$1001,customers!$I$1:$I$1001)</f>
        <v>No</v>
      </c>
    </row>
    <row r="720" spans="1:18" x14ac:dyDescent="0.35">
      <c r="A720" s="2" t="s">
        <v>1596</v>
      </c>
      <c r="B720" s="4">
        <v>44339</v>
      </c>
      <c r="C720" s="23">
        <f>Orders[[#This Row],[Order Date]]</f>
        <v>44339</v>
      </c>
      <c r="D720" s="2">
        <f>YEAR(Orders[[#This Row],[Order Date]])</f>
        <v>2021</v>
      </c>
      <c r="E720" s="2" t="s">
        <v>1597</v>
      </c>
      <c r="F720" t="s">
        <v>6165</v>
      </c>
      <c r="G720" s="20">
        <v>3</v>
      </c>
      <c r="H720" s="2" t="str">
        <f>INDEX(customers!$A$1:$I$1001,MATCH($E720,customers!$A$1:$A$1001,),MATCH($H$1,customers!$A$1:$I$1,0))</f>
        <v>Nealson Cuttler</v>
      </c>
      <c r="I720" s="2" t="str">
        <f>IF(INDEX(customers!$A$1:$I$1001,MATCH($E720,customers!$A$1:$A$1001,0),3)=0,"",INDEX(customers!$A$1:$I$1001,MATCH($E720,customers!$A$1:$A$1001,0),3))</f>
        <v>ncuttler5g@parallels.com</v>
      </c>
      <c r="J720" s="2" t="str">
        <f>_xlfn.XLOOKUP(E720,customers!$A$1:$A$1001,customers!$G$1:$G$1001)</f>
        <v>United States</v>
      </c>
      <c r="K720" t="str">
        <f>INDEX(products!$A$1:$G$49,MATCH($F720,products!$A$1:$A$49,0),MATCH(K$1,products!$A$1:$G$1,0))</f>
        <v>Lib</v>
      </c>
      <c r="L720" t="str">
        <f>INDEX(products!$A$1:$G$49,MATCH($F720,products!$A$1:$A$49,0),MATCH(L$1,products!$A$1:$G$1,0))</f>
        <v>D</v>
      </c>
      <c r="M720" s="5">
        <f>INDEX(products!$A$1:$G$49,MATCH($F720,products!$A$1:$A$49,0),MATCH(M$1,products!$A$1:$G$1,0))</f>
        <v>2.5</v>
      </c>
      <c r="N720" s="7">
        <f>INDEX(products!$A$1:$G$49,MATCH($F720,products!$A$1:$A$49,0),MATCH(N$1,products!$A$1:$G$1,0))</f>
        <v>29.784999999999997</v>
      </c>
      <c r="O720" s="7">
        <f t="shared" si="11"/>
        <v>89.35499999999999</v>
      </c>
      <c r="P720" t="str" cm="1">
        <f t="array" ref="P720">_xlfn.IFS(K720="Rob","Robusta",K720="Exc","Excelsa",K720="Ara","Arabica",K720="Lib","Liberica")</f>
        <v>Liberica</v>
      </c>
      <c r="Q720" t="str" cm="1">
        <f t="array" ref="Q720">_xlfn.IFS(L720="M","Medium",L720="L","Light",L720="D","Dark")</f>
        <v>Dark</v>
      </c>
      <c r="R720" t="str">
        <f>_xlfn.XLOOKUP(Orders[[#This Row],[Customer ID]],customers!$A$1:$A$1001,customers!$I$1:$I$1001)</f>
        <v>No</v>
      </c>
    </row>
    <row r="721" spans="1:18" x14ac:dyDescent="0.35">
      <c r="A721" s="2" t="s">
        <v>1596</v>
      </c>
      <c r="B721" s="4">
        <v>44339</v>
      </c>
      <c r="C721" s="23">
        <f>Orders[[#This Row],[Order Date]]</f>
        <v>44339</v>
      </c>
      <c r="D721" s="2">
        <f>YEAR(Orders[[#This Row],[Order Date]])</f>
        <v>2021</v>
      </c>
      <c r="E721" s="2" t="s">
        <v>1597</v>
      </c>
      <c r="F721" t="s">
        <v>6161</v>
      </c>
      <c r="G721" s="20">
        <v>4</v>
      </c>
      <c r="H721" s="2" t="str">
        <f>INDEX(customers!$A$1:$I$1001,MATCH($E721,customers!$A$1:$A$1001,),MATCH($H$1,customers!$A$1:$I$1,0))</f>
        <v>Nealson Cuttler</v>
      </c>
      <c r="I721" s="2" t="str">
        <f>IF(INDEX(customers!$A$1:$I$1001,MATCH($E721,customers!$A$1:$A$1001,0),3)=0,"",INDEX(customers!$A$1:$I$1001,MATCH($E721,customers!$A$1:$A$1001,0),3))</f>
        <v>ncuttler5g@parallels.com</v>
      </c>
      <c r="J721" s="2" t="str">
        <f>_xlfn.XLOOKUP(E721,customers!$A$1:$A$1001,customers!$G$1:$G$1001)</f>
        <v>United States</v>
      </c>
      <c r="K721" t="str">
        <f>INDEX(products!$A$1:$G$49,MATCH($F721,products!$A$1:$A$49,0),MATCH(K$1,products!$A$1:$G$1,0))</f>
        <v>Lib</v>
      </c>
      <c r="L721" t="str">
        <f>INDEX(products!$A$1:$G$49,MATCH($F721,products!$A$1:$A$49,0),MATCH(L$1,products!$A$1:$G$1,0))</f>
        <v>L</v>
      </c>
      <c r="M721" s="5">
        <f>INDEX(products!$A$1:$G$49,MATCH($F721,products!$A$1:$A$49,0),MATCH(M$1,products!$A$1:$G$1,0))</f>
        <v>0.5</v>
      </c>
      <c r="N721" s="7">
        <f>INDEX(products!$A$1:$G$49,MATCH($F721,products!$A$1:$A$49,0),MATCH(N$1,products!$A$1:$G$1,0))</f>
        <v>9.51</v>
      </c>
      <c r="O721" s="7">
        <f t="shared" si="11"/>
        <v>38.04</v>
      </c>
      <c r="P721" t="str" cm="1">
        <f t="array" ref="P721">_xlfn.IFS(K721="Rob","Robusta",K721="Exc","Excelsa",K721="Ara","Arabica",K721="Lib","Liberica")</f>
        <v>Liberica</v>
      </c>
      <c r="Q721" t="str" cm="1">
        <f t="array" ref="Q721">_xlfn.IFS(L721="M","Medium",L721="L","Light",L721="D","Dark")</f>
        <v>Light</v>
      </c>
      <c r="R721" t="str">
        <f>_xlfn.XLOOKUP(Orders[[#This Row],[Customer ID]],customers!$A$1:$A$1001,customers!$I$1:$I$1001)</f>
        <v>No</v>
      </c>
    </row>
    <row r="722" spans="1:18" x14ac:dyDescent="0.35">
      <c r="A722" s="2" t="s">
        <v>1596</v>
      </c>
      <c r="B722" s="4">
        <v>44339</v>
      </c>
      <c r="C722" s="23">
        <f>Orders[[#This Row],[Order Date]]</f>
        <v>44339</v>
      </c>
      <c r="D722" s="2">
        <f>YEAR(Orders[[#This Row],[Order Date]])</f>
        <v>2021</v>
      </c>
      <c r="E722" s="2" t="s">
        <v>1597</v>
      </c>
      <c r="F722" t="s">
        <v>6141</v>
      </c>
      <c r="G722" s="20">
        <v>3</v>
      </c>
      <c r="H722" s="2" t="str">
        <f>INDEX(customers!$A$1:$I$1001,MATCH($E722,customers!$A$1:$A$1001,),MATCH($H$1,customers!$A$1:$I$1,0))</f>
        <v>Nealson Cuttler</v>
      </c>
      <c r="I722" s="2" t="str">
        <f>IF(INDEX(customers!$A$1:$I$1001,MATCH($E722,customers!$A$1:$A$1001,0),3)=0,"",INDEX(customers!$A$1:$I$1001,MATCH($E722,customers!$A$1:$A$1001,0),3))</f>
        <v>ncuttler5g@parallels.com</v>
      </c>
      <c r="J722" s="2" t="str">
        <f>_xlfn.XLOOKUP(E722,customers!$A$1:$A$1001,customers!$G$1:$G$1001)</f>
        <v>United States</v>
      </c>
      <c r="K722" t="str">
        <f>INDEX(products!$A$1:$G$49,MATCH($F722,products!$A$1:$A$49,0),MATCH(K$1,products!$A$1:$G$1,0))</f>
        <v>Exc</v>
      </c>
      <c r="L722" t="str">
        <f>INDEX(products!$A$1:$G$49,MATCH($F722,products!$A$1:$A$49,0),MATCH(L$1,products!$A$1:$G$1,0))</f>
        <v>M</v>
      </c>
      <c r="M722" s="5">
        <f>INDEX(products!$A$1:$G$49,MATCH($F722,products!$A$1:$A$49,0),MATCH(M$1,products!$A$1:$G$1,0))</f>
        <v>1</v>
      </c>
      <c r="N722" s="7">
        <f>INDEX(products!$A$1:$G$49,MATCH($F722,products!$A$1:$A$49,0),MATCH(N$1,products!$A$1:$G$1,0))</f>
        <v>13.75</v>
      </c>
      <c r="O722" s="7">
        <f t="shared" si="11"/>
        <v>41.25</v>
      </c>
      <c r="P722" t="str" cm="1">
        <f t="array" ref="P722">_xlfn.IFS(K722="Rob","Robusta",K722="Exc","Excelsa",K722="Ara","Arabica",K722="Lib","Liberica")</f>
        <v>Excelsa</v>
      </c>
      <c r="Q722" t="str" cm="1">
        <f t="array" ref="Q722">_xlfn.IFS(L722="M","Medium",L722="L","Light",L722="D","Dark")</f>
        <v>Medium</v>
      </c>
      <c r="R722" t="str">
        <f>_xlfn.XLOOKUP(Orders[[#This Row],[Customer ID]],customers!$A$1:$A$1001,customers!$I$1:$I$1001)</f>
        <v>No</v>
      </c>
    </row>
    <row r="723" spans="1:18" x14ac:dyDescent="0.35">
      <c r="A723" s="2" t="s">
        <v>2745</v>
      </c>
      <c r="B723" s="4">
        <v>44332</v>
      </c>
      <c r="C723" s="23">
        <f>Orders[[#This Row],[Order Date]]</f>
        <v>44332</v>
      </c>
      <c r="D723" s="2">
        <f>YEAR(Orders[[#This Row],[Order Date]])</f>
        <v>2021</v>
      </c>
      <c r="E723" s="2" t="s">
        <v>2746</v>
      </c>
      <c r="F723" t="s">
        <v>6170</v>
      </c>
      <c r="G723" s="20">
        <v>4</v>
      </c>
      <c r="H723" s="2" t="str">
        <f>INDEX(customers!$A$1:$I$1001,MATCH($E723,customers!$A$1:$A$1001,),MATCH($H$1,customers!$A$1:$I$1,0))</f>
        <v>Neely Broadberrie</v>
      </c>
      <c r="I723" s="2" t="str">
        <f>IF(INDEX(customers!$A$1:$I$1001,MATCH($E723,customers!$A$1:$A$1001,0),3)=0,"",INDEX(customers!$A$1:$I$1001,MATCH($E723,customers!$A$1:$A$1001,0),3))</f>
        <v>nbroadberrieb4@gnu.org</v>
      </c>
      <c r="J723" s="2" t="str">
        <f>_xlfn.XLOOKUP(E723,customers!$A$1:$A$1001,customers!$G$1:$G$1001)</f>
        <v>United States</v>
      </c>
      <c r="K723" t="str">
        <f>INDEX(products!$A$1:$G$49,MATCH($F723,products!$A$1:$A$49,0),MATCH(K$1,products!$A$1:$G$1,0))</f>
        <v>Lib</v>
      </c>
      <c r="L723" t="str">
        <f>INDEX(products!$A$1:$G$49,MATCH($F723,products!$A$1:$A$49,0),MATCH(L$1,products!$A$1:$G$1,0))</f>
        <v>L</v>
      </c>
      <c r="M723" s="5">
        <f>INDEX(products!$A$1:$G$49,MATCH($F723,products!$A$1:$A$49,0),MATCH(M$1,products!$A$1:$G$1,0))</f>
        <v>1</v>
      </c>
      <c r="N723" s="7">
        <f>INDEX(products!$A$1:$G$49,MATCH($F723,products!$A$1:$A$49,0),MATCH(N$1,products!$A$1:$G$1,0))</f>
        <v>15.85</v>
      </c>
      <c r="O723" s="7">
        <f t="shared" si="11"/>
        <v>63.4</v>
      </c>
      <c r="P723" t="str" cm="1">
        <f t="array" ref="P723">_xlfn.IFS(K723="Rob","Robusta",K723="Exc","Excelsa",K723="Ara","Arabica",K723="Lib","Liberica")</f>
        <v>Liberica</v>
      </c>
      <c r="Q723" t="str" cm="1">
        <f t="array" ref="Q723">_xlfn.IFS(L723="M","Medium",L723="L","Light",L723="D","Dark")</f>
        <v>Light</v>
      </c>
      <c r="R723" t="str">
        <f>_xlfn.XLOOKUP(Orders[[#This Row],[Customer ID]],customers!$A$1:$A$1001,customers!$I$1:$I$1001)</f>
        <v>No</v>
      </c>
    </row>
    <row r="724" spans="1:18" x14ac:dyDescent="0.35">
      <c r="A724" s="2" t="s">
        <v>4007</v>
      </c>
      <c r="B724" s="4">
        <v>44224</v>
      </c>
      <c r="C724" s="23">
        <f>Orders[[#This Row],[Order Date]]</f>
        <v>44224</v>
      </c>
      <c r="D724" s="2">
        <f>YEAR(Orders[[#This Row],[Order Date]])</f>
        <v>2021</v>
      </c>
      <c r="E724" s="2" t="s">
        <v>4008</v>
      </c>
      <c r="F724" t="s">
        <v>6183</v>
      </c>
      <c r="G724" s="20">
        <v>1</v>
      </c>
      <c r="H724" s="2" t="str">
        <f>INDEX(customers!$A$1:$I$1001,MATCH($E724,customers!$A$1:$A$1001,),MATCH($H$1,customers!$A$1:$I$1,0))</f>
        <v>Nelie Garnson</v>
      </c>
      <c r="I724" s="2" t="str">
        <f>IF(INDEX(customers!$A$1:$I$1001,MATCH($E724,customers!$A$1:$A$1001,0),3)=0,"",INDEX(customers!$A$1:$I$1001,MATCH($E724,customers!$A$1:$A$1001,0),3))</f>
        <v/>
      </c>
      <c r="J724" s="2" t="str">
        <f>_xlfn.XLOOKUP(E724,customers!$A$1:$A$1001,customers!$G$1:$G$1001)</f>
        <v>United Kingdom</v>
      </c>
      <c r="K724" t="str">
        <f>INDEX(products!$A$1:$G$49,MATCH($F724,products!$A$1:$A$49,0),MATCH(K$1,products!$A$1:$G$1,0))</f>
        <v>Exc</v>
      </c>
      <c r="L724" t="str">
        <f>INDEX(products!$A$1:$G$49,MATCH($F724,products!$A$1:$A$49,0),MATCH(L$1,products!$A$1:$G$1,0))</f>
        <v>D</v>
      </c>
      <c r="M724" s="5">
        <f>INDEX(products!$A$1:$G$49,MATCH($F724,products!$A$1:$A$49,0),MATCH(M$1,products!$A$1:$G$1,0))</f>
        <v>1</v>
      </c>
      <c r="N724" s="7">
        <f>INDEX(products!$A$1:$G$49,MATCH($F724,products!$A$1:$A$49,0),MATCH(N$1,products!$A$1:$G$1,0))</f>
        <v>12.15</v>
      </c>
      <c r="O724" s="7">
        <f t="shared" si="11"/>
        <v>12.15</v>
      </c>
      <c r="P724" t="str" cm="1">
        <f t="array" ref="P724">_xlfn.IFS(K724="Rob","Robusta",K724="Exc","Excelsa",K724="Ara","Arabica",K724="Lib","Liberica")</f>
        <v>Excelsa</v>
      </c>
      <c r="Q724" t="str" cm="1">
        <f t="array" ref="Q724">_xlfn.IFS(L724="M","Medium",L724="L","Light",L724="D","Dark")</f>
        <v>Dark</v>
      </c>
      <c r="R724" t="str">
        <f>_xlfn.XLOOKUP(Orders[[#This Row],[Customer ID]],customers!$A$1:$A$1001,customers!$I$1:$I$1001)</f>
        <v>No</v>
      </c>
    </row>
    <row r="725" spans="1:18" x14ac:dyDescent="0.35">
      <c r="A725" s="2" t="s">
        <v>1648</v>
      </c>
      <c r="B725" s="4">
        <v>44211</v>
      </c>
      <c r="C725" s="23">
        <f>Orders[[#This Row],[Order Date]]</f>
        <v>44211</v>
      </c>
      <c r="D725" s="2">
        <f>YEAR(Orders[[#This Row],[Order Date]])</f>
        <v>2021</v>
      </c>
      <c r="E725" s="2" t="s">
        <v>1649</v>
      </c>
      <c r="F725" t="s">
        <v>6155</v>
      </c>
      <c r="G725" s="20">
        <v>2</v>
      </c>
      <c r="H725" s="2" t="str">
        <f>INDEX(customers!$A$1:$I$1001,MATCH($E725,customers!$A$1:$A$1001,),MATCH($H$1,customers!$A$1:$I$1,0))</f>
        <v>Nertie Poolman</v>
      </c>
      <c r="I725" s="2" t="str">
        <f>IF(INDEX(customers!$A$1:$I$1001,MATCH($E725,customers!$A$1:$A$1001,0),3)=0,"",INDEX(customers!$A$1:$I$1001,MATCH($E725,customers!$A$1:$A$1001,0),3))</f>
        <v>npoolman5q@howstuffworks.com</v>
      </c>
      <c r="J725" s="2" t="str">
        <f>_xlfn.XLOOKUP(E725,customers!$A$1:$A$1001,customers!$G$1:$G$1001)</f>
        <v>United States</v>
      </c>
      <c r="K725" t="str">
        <f>INDEX(products!$A$1:$G$49,MATCH($F725,products!$A$1:$A$49,0),MATCH(K$1,products!$A$1:$G$1,0))</f>
        <v>Ara</v>
      </c>
      <c r="L725" t="str">
        <f>INDEX(products!$A$1:$G$49,MATCH($F725,products!$A$1:$A$49,0),MATCH(L$1,products!$A$1:$G$1,0))</f>
        <v>M</v>
      </c>
      <c r="M725" s="5">
        <f>INDEX(products!$A$1:$G$49,MATCH($F725,products!$A$1:$A$49,0),MATCH(M$1,products!$A$1:$G$1,0))</f>
        <v>1</v>
      </c>
      <c r="N725" s="7">
        <f>INDEX(products!$A$1:$G$49,MATCH($F725,products!$A$1:$A$49,0),MATCH(N$1,products!$A$1:$G$1,0))</f>
        <v>11.25</v>
      </c>
      <c r="O725" s="7">
        <f t="shared" si="11"/>
        <v>22.5</v>
      </c>
      <c r="P725" t="str" cm="1">
        <f t="array" ref="P725">_xlfn.IFS(K725="Rob","Robusta",K725="Exc","Excelsa",K725="Ara","Arabica",K725="Lib","Liberica")</f>
        <v>Arabica</v>
      </c>
      <c r="Q725" t="str" cm="1">
        <f t="array" ref="Q725">_xlfn.IFS(L725="M","Medium",L725="L","Light",L725="D","Dark")</f>
        <v>Medium</v>
      </c>
      <c r="R725" t="str">
        <f>_xlfn.XLOOKUP(Orders[[#This Row],[Customer ID]],customers!$A$1:$A$1001,customers!$I$1:$I$1001)</f>
        <v>No</v>
      </c>
    </row>
    <row r="726" spans="1:18" x14ac:dyDescent="0.35">
      <c r="A726" s="2" t="s">
        <v>4093</v>
      </c>
      <c r="B726" s="4">
        <v>43684</v>
      </c>
      <c r="C726" s="23">
        <f>Orders[[#This Row],[Order Date]]</f>
        <v>43684</v>
      </c>
      <c r="D726" s="2">
        <f>YEAR(Orders[[#This Row],[Order Date]])</f>
        <v>2019</v>
      </c>
      <c r="E726" s="2" t="s">
        <v>4094</v>
      </c>
      <c r="F726" t="s">
        <v>6175</v>
      </c>
      <c r="G726" s="20">
        <v>3</v>
      </c>
      <c r="H726" s="2" t="str">
        <f>INDEX(customers!$A$1:$I$1001,MATCH($E726,customers!$A$1:$A$1001,),MATCH($H$1,customers!$A$1:$I$1,0))</f>
        <v>Neville Piatto</v>
      </c>
      <c r="I726" s="2" t="str">
        <f>IF(INDEX(customers!$A$1:$I$1001,MATCH($E726,customers!$A$1:$A$1001,0),3)=0,"",INDEX(customers!$A$1:$I$1001,MATCH($E726,customers!$A$1:$A$1001,0),3))</f>
        <v/>
      </c>
      <c r="J726" s="2" t="str">
        <f>_xlfn.XLOOKUP(E726,customers!$A$1:$A$1001,customers!$G$1:$G$1001)</f>
        <v>Ireland</v>
      </c>
      <c r="K726" t="str">
        <f>INDEX(products!$A$1:$G$49,MATCH($F726,products!$A$1:$A$49,0),MATCH(K$1,products!$A$1:$G$1,0))</f>
        <v>Ara</v>
      </c>
      <c r="L726" t="str">
        <f>INDEX(products!$A$1:$G$49,MATCH($F726,products!$A$1:$A$49,0),MATCH(L$1,products!$A$1:$G$1,0))</f>
        <v>M</v>
      </c>
      <c r="M726" s="5">
        <f>INDEX(products!$A$1:$G$49,MATCH($F726,products!$A$1:$A$49,0),MATCH(M$1,products!$A$1:$G$1,0))</f>
        <v>2.5</v>
      </c>
      <c r="N726" s="7">
        <f>INDEX(products!$A$1:$G$49,MATCH($F726,products!$A$1:$A$49,0),MATCH(N$1,products!$A$1:$G$1,0))</f>
        <v>25.874999999999996</v>
      </c>
      <c r="O726" s="7">
        <f t="shared" si="11"/>
        <v>77.624999999999986</v>
      </c>
      <c r="P726" t="str" cm="1">
        <f t="array" ref="P726">_xlfn.IFS(K726="Rob","Robusta",K726="Exc","Excelsa",K726="Ara","Arabica",K726="Lib","Liberica")</f>
        <v>Arabica</v>
      </c>
      <c r="Q726" t="str" cm="1">
        <f t="array" ref="Q726">_xlfn.IFS(L726="M","Medium",L726="L","Light",L726="D","Dark")</f>
        <v>Medium</v>
      </c>
      <c r="R726" t="str">
        <f>_xlfn.XLOOKUP(Orders[[#This Row],[Customer ID]],customers!$A$1:$A$1001,customers!$I$1:$I$1001)</f>
        <v>Yes</v>
      </c>
    </row>
    <row r="727" spans="1:18" x14ac:dyDescent="0.35">
      <c r="A727" s="2" t="s">
        <v>2866</v>
      </c>
      <c r="B727" s="4">
        <v>43868</v>
      </c>
      <c r="C727" s="23">
        <f>Orders[[#This Row],[Order Date]]</f>
        <v>43868</v>
      </c>
      <c r="D727" s="2">
        <f>YEAR(Orders[[#This Row],[Order Date]])</f>
        <v>2020</v>
      </c>
      <c r="E727" s="2" t="s">
        <v>2867</v>
      </c>
      <c r="F727" t="s">
        <v>6158</v>
      </c>
      <c r="G727" s="20">
        <v>5</v>
      </c>
      <c r="H727" s="2" t="str">
        <f>INDEX(customers!$A$1:$I$1001,MATCH($E727,customers!$A$1:$A$1001,),MATCH($H$1,customers!$A$1:$I$1,0))</f>
        <v>Nevins Glowacz</v>
      </c>
      <c r="I727" s="2" t="str">
        <f>IF(INDEX(customers!$A$1:$I$1001,MATCH($E727,customers!$A$1:$A$1001,0),3)=0,"",INDEX(customers!$A$1:$I$1001,MATCH($E727,customers!$A$1:$A$1001,0),3))</f>
        <v/>
      </c>
      <c r="J727" s="2" t="str">
        <f>_xlfn.XLOOKUP(E727,customers!$A$1:$A$1001,customers!$G$1:$G$1001)</f>
        <v>United States</v>
      </c>
      <c r="K727" t="str">
        <f>INDEX(products!$A$1:$G$49,MATCH($F727,products!$A$1:$A$49,0),MATCH(K$1,products!$A$1:$G$1,0))</f>
        <v>Ara</v>
      </c>
      <c r="L727" t="str">
        <f>INDEX(products!$A$1:$G$49,MATCH($F727,products!$A$1:$A$49,0),MATCH(L$1,products!$A$1:$G$1,0))</f>
        <v>D</v>
      </c>
      <c r="M727" s="5">
        <f>INDEX(products!$A$1:$G$49,MATCH($F727,products!$A$1:$A$49,0),MATCH(M$1,products!$A$1:$G$1,0))</f>
        <v>0.5</v>
      </c>
      <c r="N727" s="7">
        <f>INDEX(products!$A$1:$G$49,MATCH($F727,products!$A$1:$A$49,0),MATCH(N$1,products!$A$1:$G$1,0))</f>
        <v>5.97</v>
      </c>
      <c r="O727" s="7">
        <f t="shared" si="11"/>
        <v>29.849999999999998</v>
      </c>
      <c r="P727" t="str" cm="1">
        <f t="array" ref="P727">_xlfn.IFS(K727="Rob","Robusta",K727="Exc","Excelsa",K727="Ara","Arabica",K727="Lib","Liberica")</f>
        <v>Arabica</v>
      </c>
      <c r="Q727" t="str" cm="1">
        <f t="array" ref="Q727">_xlfn.IFS(L727="M","Medium",L727="L","Light",L727="D","Dark")</f>
        <v>Dark</v>
      </c>
      <c r="R727" t="str">
        <f>_xlfn.XLOOKUP(Orders[[#This Row],[Customer ID]],customers!$A$1:$A$1001,customers!$I$1:$I$1001)</f>
        <v>No</v>
      </c>
    </row>
    <row r="728" spans="1:18" x14ac:dyDescent="0.35">
      <c r="A728" s="2" t="s">
        <v>2934</v>
      </c>
      <c r="B728" s="4">
        <v>43807</v>
      </c>
      <c r="C728" s="23">
        <f>Orders[[#This Row],[Order Date]]</f>
        <v>43807</v>
      </c>
      <c r="D728" s="2">
        <f>YEAR(Orders[[#This Row],[Order Date]])</f>
        <v>2019</v>
      </c>
      <c r="E728" s="2" t="s">
        <v>2935</v>
      </c>
      <c r="F728" t="s">
        <v>6155</v>
      </c>
      <c r="G728" s="20">
        <v>6</v>
      </c>
      <c r="H728" s="2" t="str">
        <f>INDEX(customers!$A$1:$I$1001,MATCH($E728,customers!$A$1:$A$1001,),MATCH($H$1,customers!$A$1:$I$1,0))</f>
        <v>Nevsa Fields</v>
      </c>
      <c r="I728" s="2" t="str">
        <f>IF(INDEX(customers!$A$1:$I$1001,MATCH($E728,customers!$A$1:$A$1001,0),3)=0,"",INDEX(customers!$A$1:$I$1001,MATCH($E728,customers!$A$1:$A$1001,0),3))</f>
        <v/>
      </c>
      <c r="J728" s="2" t="str">
        <f>_xlfn.XLOOKUP(E728,customers!$A$1:$A$1001,customers!$G$1:$G$1001)</f>
        <v>United States</v>
      </c>
      <c r="K728" t="str">
        <f>INDEX(products!$A$1:$G$49,MATCH($F728,products!$A$1:$A$49,0),MATCH(K$1,products!$A$1:$G$1,0))</f>
        <v>Ara</v>
      </c>
      <c r="L728" t="str">
        <f>INDEX(products!$A$1:$G$49,MATCH($F728,products!$A$1:$A$49,0),MATCH(L$1,products!$A$1:$G$1,0))</f>
        <v>M</v>
      </c>
      <c r="M728" s="5">
        <f>INDEX(products!$A$1:$G$49,MATCH($F728,products!$A$1:$A$49,0),MATCH(M$1,products!$A$1:$G$1,0))</f>
        <v>1</v>
      </c>
      <c r="N728" s="7">
        <f>INDEX(products!$A$1:$G$49,MATCH($F728,products!$A$1:$A$49,0),MATCH(N$1,products!$A$1:$G$1,0))</f>
        <v>11.25</v>
      </c>
      <c r="O728" s="7">
        <f t="shared" si="11"/>
        <v>67.5</v>
      </c>
      <c r="P728" t="str" cm="1">
        <f t="array" ref="P728">_xlfn.IFS(K728="Rob","Robusta",K728="Exc","Excelsa",K728="Ara","Arabica",K728="Lib","Liberica")</f>
        <v>Arabica</v>
      </c>
      <c r="Q728" t="str" cm="1">
        <f t="array" ref="Q728">_xlfn.IFS(L728="M","Medium",L728="L","Light",L728="D","Dark")</f>
        <v>Medium</v>
      </c>
      <c r="R728" t="str">
        <f>_xlfn.XLOOKUP(Orders[[#This Row],[Customer ID]],customers!$A$1:$A$1001,customers!$I$1:$I$1001)</f>
        <v>No</v>
      </c>
    </row>
    <row r="729" spans="1:18" x14ac:dyDescent="0.35">
      <c r="A729" s="2" t="s">
        <v>3599</v>
      </c>
      <c r="B729" s="4">
        <v>44176</v>
      </c>
      <c r="C729" s="23">
        <f>Orders[[#This Row],[Order Date]]</f>
        <v>44176</v>
      </c>
      <c r="D729" s="2">
        <f>YEAR(Orders[[#This Row],[Order Date]])</f>
        <v>2020</v>
      </c>
      <c r="E729" s="2" t="s">
        <v>3600</v>
      </c>
      <c r="F729" t="s">
        <v>6150</v>
      </c>
      <c r="G729" s="20">
        <v>6</v>
      </c>
      <c r="H729" s="2" t="str">
        <f>INDEX(customers!$A$1:$I$1001,MATCH($E729,customers!$A$1:$A$1001,),MATCH($H$1,customers!$A$1:$I$1,0))</f>
        <v>Nick Brakespear</v>
      </c>
      <c r="I729" s="2" t="str">
        <f>IF(INDEX(customers!$A$1:$I$1001,MATCH($E729,customers!$A$1:$A$1001,0),3)=0,"",INDEX(customers!$A$1:$I$1001,MATCH($E729,customers!$A$1:$A$1001,0),3))</f>
        <v>nbrakespearfa@rediff.com</v>
      </c>
      <c r="J729" s="2" t="str">
        <f>_xlfn.XLOOKUP(E729,customers!$A$1:$A$1001,customers!$G$1:$G$1001)</f>
        <v>United States</v>
      </c>
      <c r="K729" t="str">
        <f>INDEX(products!$A$1:$G$49,MATCH($F729,products!$A$1:$A$49,0),MATCH(K$1,products!$A$1:$G$1,0))</f>
        <v>Lib</v>
      </c>
      <c r="L729" t="str">
        <f>INDEX(products!$A$1:$G$49,MATCH($F729,products!$A$1:$A$49,0),MATCH(L$1,products!$A$1:$G$1,0))</f>
        <v>D</v>
      </c>
      <c r="M729" s="5">
        <f>INDEX(products!$A$1:$G$49,MATCH($F729,products!$A$1:$A$49,0),MATCH(M$1,products!$A$1:$G$1,0))</f>
        <v>0.2</v>
      </c>
      <c r="N729" s="7">
        <f>INDEX(products!$A$1:$G$49,MATCH($F729,products!$A$1:$A$49,0),MATCH(N$1,products!$A$1:$G$1,0))</f>
        <v>3.8849999999999998</v>
      </c>
      <c r="O729" s="7">
        <f t="shared" si="11"/>
        <v>23.31</v>
      </c>
      <c r="P729" t="str" cm="1">
        <f t="array" ref="P729">_xlfn.IFS(K729="Rob","Robusta",K729="Exc","Excelsa",K729="Ara","Arabica",K729="Lib","Liberica")</f>
        <v>Liberica</v>
      </c>
      <c r="Q729" t="str" cm="1">
        <f t="array" ref="Q729">_xlfn.IFS(L729="M","Medium",L729="L","Light",L729="D","Dark")</f>
        <v>Dark</v>
      </c>
      <c r="R729" t="str">
        <f>_xlfn.XLOOKUP(Orders[[#This Row],[Customer ID]],customers!$A$1:$A$1001,customers!$I$1:$I$1001)</f>
        <v>Yes</v>
      </c>
    </row>
    <row r="730" spans="1:18" x14ac:dyDescent="0.35">
      <c r="A730" s="2" t="s">
        <v>2655</v>
      </c>
      <c r="B730" s="4">
        <v>43870</v>
      </c>
      <c r="C730" s="23">
        <f>Orders[[#This Row],[Order Date]]</f>
        <v>43870</v>
      </c>
      <c r="D730" s="2">
        <f>YEAR(Orders[[#This Row],[Order Date]])</f>
        <v>2020</v>
      </c>
      <c r="E730" s="2" t="s">
        <v>2656</v>
      </c>
      <c r="F730" t="s">
        <v>6182</v>
      </c>
      <c r="G730" s="20">
        <v>4</v>
      </c>
      <c r="H730" s="2" t="str">
        <f>INDEX(customers!$A$1:$I$1001,MATCH($E730,customers!$A$1:$A$1001,),MATCH($H$1,customers!$A$1:$I$1,0))</f>
        <v>Nickey Dimbleby</v>
      </c>
      <c r="I730" s="2" t="str">
        <f>IF(INDEX(customers!$A$1:$I$1001,MATCH($E730,customers!$A$1:$A$1001,0),3)=0,"",INDEX(customers!$A$1:$I$1001,MATCH($E730,customers!$A$1:$A$1001,0),3))</f>
        <v/>
      </c>
      <c r="J730" s="2" t="str">
        <f>_xlfn.XLOOKUP(E730,customers!$A$1:$A$1001,customers!$G$1:$G$1001)</f>
        <v>United States</v>
      </c>
      <c r="K730" t="str">
        <f>INDEX(products!$A$1:$G$49,MATCH($F730,products!$A$1:$A$49,0),MATCH(K$1,products!$A$1:$G$1,0))</f>
        <v>Ara</v>
      </c>
      <c r="L730" t="str">
        <f>INDEX(products!$A$1:$G$49,MATCH($F730,products!$A$1:$A$49,0),MATCH(L$1,products!$A$1:$G$1,0))</f>
        <v>L</v>
      </c>
      <c r="M730" s="5">
        <f>INDEX(products!$A$1:$G$49,MATCH($F730,products!$A$1:$A$49,0),MATCH(M$1,products!$A$1:$G$1,0))</f>
        <v>2.5</v>
      </c>
      <c r="N730" s="7">
        <f>INDEX(products!$A$1:$G$49,MATCH($F730,products!$A$1:$A$49,0),MATCH(N$1,products!$A$1:$G$1,0))</f>
        <v>29.784999999999997</v>
      </c>
      <c r="O730" s="7">
        <f t="shared" si="11"/>
        <v>119.13999999999999</v>
      </c>
      <c r="P730" t="str" cm="1">
        <f t="array" ref="P730">_xlfn.IFS(K730="Rob","Robusta",K730="Exc","Excelsa",K730="Ara","Arabica",K730="Lib","Liberica")</f>
        <v>Arabica</v>
      </c>
      <c r="Q730" t="str" cm="1">
        <f t="array" ref="Q730">_xlfn.IFS(L730="M","Medium",L730="L","Light",L730="D","Dark")</f>
        <v>Light</v>
      </c>
      <c r="R730" t="str">
        <f>_xlfn.XLOOKUP(Orders[[#This Row],[Customer ID]],customers!$A$1:$A$1001,customers!$I$1:$I$1001)</f>
        <v>No</v>
      </c>
    </row>
    <row r="731" spans="1:18" x14ac:dyDescent="0.35">
      <c r="A731" s="2" t="s">
        <v>1053</v>
      </c>
      <c r="B731" s="4">
        <v>43891</v>
      </c>
      <c r="C731" s="23">
        <f>Orders[[#This Row],[Order Date]]</f>
        <v>43891</v>
      </c>
      <c r="D731" s="2">
        <f>YEAR(Orders[[#This Row],[Order Date]])</f>
        <v>2020</v>
      </c>
      <c r="E731" s="2" t="s">
        <v>1054</v>
      </c>
      <c r="F731" t="s">
        <v>6165</v>
      </c>
      <c r="G731" s="20">
        <v>5</v>
      </c>
      <c r="H731" s="2" t="str">
        <f>INDEX(customers!$A$1:$I$1001,MATCH($E731,customers!$A$1:$A$1001,),MATCH($H$1,customers!$A$1:$I$1,0))</f>
        <v>Nickey Youles</v>
      </c>
      <c r="I731" s="2" t="str">
        <f>IF(INDEX(customers!$A$1:$I$1001,MATCH($E731,customers!$A$1:$A$1001,0),3)=0,"",INDEX(customers!$A$1:$I$1001,MATCH($E731,customers!$A$1:$A$1001,0),3))</f>
        <v>nyoules2t@reference.com</v>
      </c>
      <c r="J731" s="2" t="str">
        <f>_xlfn.XLOOKUP(E731,customers!$A$1:$A$1001,customers!$G$1:$G$1001)</f>
        <v>Ireland</v>
      </c>
      <c r="K731" t="str">
        <f>INDEX(products!$A$1:$G$49,MATCH($F731,products!$A$1:$A$49,0),MATCH(K$1,products!$A$1:$G$1,0))</f>
        <v>Lib</v>
      </c>
      <c r="L731" t="str">
        <f>INDEX(products!$A$1:$G$49,MATCH($F731,products!$A$1:$A$49,0),MATCH(L$1,products!$A$1:$G$1,0))</f>
        <v>D</v>
      </c>
      <c r="M731" s="5">
        <f>INDEX(products!$A$1:$G$49,MATCH($F731,products!$A$1:$A$49,0),MATCH(M$1,products!$A$1:$G$1,0))</f>
        <v>2.5</v>
      </c>
      <c r="N731" s="7">
        <f>INDEX(products!$A$1:$G$49,MATCH($F731,products!$A$1:$A$49,0),MATCH(N$1,products!$A$1:$G$1,0))</f>
        <v>29.784999999999997</v>
      </c>
      <c r="O731" s="7">
        <f t="shared" si="11"/>
        <v>148.92499999999998</v>
      </c>
      <c r="P731" t="str" cm="1">
        <f t="array" ref="P731">_xlfn.IFS(K731="Rob","Robusta",K731="Exc","Excelsa",K731="Ara","Arabica",K731="Lib","Liberica")</f>
        <v>Liberica</v>
      </c>
      <c r="Q731" t="str" cm="1">
        <f t="array" ref="Q731">_xlfn.IFS(L731="M","Medium",L731="L","Light",L731="D","Dark")</f>
        <v>Dark</v>
      </c>
      <c r="R731" t="str">
        <f>_xlfn.XLOOKUP(Orders[[#This Row],[Customer ID]],customers!$A$1:$A$1001,customers!$I$1:$I$1001)</f>
        <v>Yes</v>
      </c>
    </row>
    <row r="732" spans="1:18" x14ac:dyDescent="0.35">
      <c r="A732" s="2" t="s">
        <v>2521</v>
      </c>
      <c r="B732" s="4">
        <v>44058</v>
      </c>
      <c r="C732" s="23">
        <f>Orders[[#This Row],[Order Date]]</f>
        <v>44058</v>
      </c>
      <c r="D732" s="2">
        <f>YEAR(Orders[[#This Row],[Order Date]])</f>
        <v>2020</v>
      </c>
      <c r="E732" s="2" t="s">
        <v>2522</v>
      </c>
      <c r="F732" t="s">
        <v>6149</v>
      </c>
      <c r="G732" s="20">
        <v>2</v>
      </c>
      <c r="H732" s="2" t="str">
        <f>INDEX(customers!$A$1:$I$1001,MATCH($E732,customers!$A$1:$A$1001,),MATCH($H$1,customers!$A$1:$I$1,0))</f>
        <v>Nicko Corps</v>
      </c>
      <c r="I732" s="2" t="str">
        <f>IF(INDEX(customers!$A$1:$I$1001,MATCH($E732,customers!$A$1:$A$1001,0),3)=0,"",INDEX(customers!$A$1:$I$1001,MATCH($E732,customers!$A$1:$A$1001,0),3))</f>
        <v>ncorpsa0@gmpg.org</v>
      </c>
      <c r="J732" s="2" t="str">
        <f>_xlfn.XLOOKUP(E732,customers!$A$1:$A$1001,customers!$G$1:$G$1001)</f>
        <v>United States</v>
      </c>
      <c r="K732" t="str">
        <f>INDEX(products!$A$1:$G$49,MATCH($F732,products!$A$1:$A$49,0),MATCH(K$1,products!$A$1:$G$1,0))</f>
        <v>Rob</v>
      </c>
      <c r="L732" t="str">
        <f>INDEX(products!$A$1:$G$49,MATCH($F732,products!$A$1:$A$49,0),MATCH(L$1,products!$A$1:$G$1,0))</f>
        <v>D</v>
      </c>
      <c r="M732" s="5">
        <f>INDEX(products!$A$1:$G$49,MATCH($F732,products!$A$1:$A$49,0),MATCH(M$1,products!$A$1:$G$1,0))</f>
        <v>2.5</v>
      </c>
      <c r="N732" s="7">
        <f>INDEX(products!$A$1:$G$49,MATCH($F732,products!$A$1:$A$49,0),MATCH(N$1,products!$A$1:$G$1,0))</f>
        <v>20.584999999999997</v>
      </c>
      <c r="O732" s="7">
        <f t="shared" si="11"/>
        <v>41.169999999999995</v>
      </c>
      <c r="P732" t="str" cm="1">
        <f t="array" ref="P732">_xlfn.IFS(K732="Rob","Robusta",K732="Exc","Excelsa",K732="Ara","Arabica",K732="Lib","Liberica")</f>
        <v>Robusta</v>
      </c>
      <c r="Q732" t="str" cm="1">
        <f t="array" ref="Q732">_xlfn.IFS(L732="M","Medium",L732="L","Light",L732="D","Dark")</f>
        <v>Dark</v>
      </c>
      <c r="R732" t="str">
        <f>_xlfn.XLOOKUP(Orders[[#This Row],[Customer ID]],customers!$A$1:$A$1001,customers!$I$1:$I$1001)</f>
        <v>No</v>
      </c>
    </row>
    <row r="733" spans="1:18" x14ac:dyDescent="0.35">
      <c r="A733" s="2" t="s">
        <v>2521</v>
      </c>
      <c r="B733" s="4">
        <v>44058</v>
      </c>
      <c r="C733" s="23">
        <f>Orders[[#This Row],[Order Date]]</f>
        <v>44058</v>
      </c>
      <c r="D733" s="2">
        <f>YEAR(Orders[[#This Row],[Order Date]])</f>
        <v>2020</v>
      </c>
      <c r="E733" s="2" t="s">
        <v>2522</v>
      </c>
      <c r="F733" t="s">
        <v>6146</v>
      </c>
      <c r="G733" s="20">
        <v>1</v>
      </c>
      <c r="H733" s="2" t="str">
        <f>INDEX(customers!$A$1:$I$1001,MATCH($E733,customers!$A$1:$A$1001,),MATCH($H$1,customers!$A$1:$I$1,0))</f>
        <v>Nicko Corps</v>
      </c>
      <c r="I733" s="2" t="str">
        <f>IF(INDEX(customers!$A$1:$I$1001,MATCH($E733,customers!$A$1:$A$1001,0),3)=0,"",INDEX(customers!$A$1:$I$1001,MATCH($E733,customers!$A$1:$A$1001,0),3))</f>
        <v>ncorpsa0@gmpg.org</v>
      </c>
      <c r="J733" s="2" t="str">
        <f>_xlfn.XLOOKUP(E733,customers!$A$1:$A$1001,customers!$G$1:$G$1001)</f>
        <v>United States</v>
      </c>
      <c r="K733" t="str">
        <f>INDEX(products!$A$1:$G$49,MATCH($F733,products!$A$1:$A$49,0),MATCH(K$1,products!$A$1:$G$1,0))</f>
        <v>Rob</v>
      </c>
      <c r="L733" t="str">
        <f>INDEX(products!$A$1:$G$49,MATCH($F733,products!$A$1:$A$49,0),MATCH(L$1,products!$A$1:$G$1,0))</f>
        <v>M</v>
      </c>
      <c r="M733" s="5">
        <f>INDEX(products!$A$1:$G$49,MATCH($F733,products!$A$1:$A$49,0),MATCH(M$1,products!$A$1:$G$1,0))</f>
        <v>0.5</v>
      </c>
      <c r="N733" s="7">
        <f>INDEX(products!$A$1:$G$49,MATCH($F733,products!$A$1:$A$49,0),MATCH(N$1,products!$A$1:$G$1,0))</f>
        <v>5.97</v>
      </c>
      <c r="O733" s="7">
        <f t="shared" si="11"/>
        <v>5.97</v>
      </c>
      <c r="P733" t="str" cm="1">
        <f t="array" ref="P733">_xlfn.IFS(K733="Rob","Robusta",K733="Exc","Excelsa",K733="Ara","Arabica",K733="Lib","Liberica")</f>
        <v>Robusta</v>
      </c>
      <c r="Q733" t="str" cm="1">
        <f t="array" ref="Q733">_xlfn.IFS(L733="M","Medium",L733="L","Light",L733="D","Dark")</f>
        <v>Medium</v>
      </c>
      <c r="R733" t="str">
        <f>_xlfn.XLOOKUP(Orders[[#This Row],[Customer ID]],customers!$A$1:$A$1001,customers!$I$1:$I$1001)</f>
        <v>No</v>
      </c>
    </row>
    <row r="734" spans="1:18" x14ac:dyDescent="0.35">
      <c r="A734" s="2" t="s">
        <v>4336</v>
      </c>
      <c r="B734" s="4">
        <v>44080</v>
      </c>
      <c r="C734" s="23">
        <f>Orders[[#This Row],[Order Date]]</f>
        <v>44080</v>
      </c>
      <c r="D734" s="2">
        <f>YEAR(Orders[[#This Row],[Order Date]])</f>
        <v>2020</v>
      </c>
      <c r="E734" s="2" t="s">
        <v>4337</v>
      </c>
      <c r="F734" t="s">
        <v>6145</v>
      </c>
      <c r="G734" s="20">
        <v>2</v>
      </c>
      <c r="H734" s="2" t="str">
        <f>INDEX(customers!$A$1:$I$1001,MATCH($E734,customers!$A$1:$A$1001,),MATCH($H$1,customers!$A$1:$I$1,0))</f>
        <v>Nicky Ayris</v>
      </c>
      <c r="I734" s="2" t="str">
        <f>IF(INDEX(customers!$A$1:$I$1001,MATCH($E734,customers!$A$1:$A$1001,0),3)=0,"",INDEX(customers!$A$1:$I$1001,MATCH($E734,customers!$A$1:$A$1001,0),3))</f>
        <v>nayrisix@t-online.de</v>
      </c>
      <c r="J734" s="2" t="str">
        <f>_xlfn.XLOOKUP(E734,customers!$A$1:$A$1001,customers!$G$1:$G$1001)</f>
        <v>United Kingdom</v>
      </c>
      <c r="K734" t="str">
        <f>INDEX(products!$A$1:$G$49,MATCH($F734,products!$A$1:$A$49,0),MATCH(K$1,products!$A$1:$G$1,0))</f>
        <v>Lib</v>
      </c>
      <c r="L734" t="str">
        <f>INDEX(products!$A$1:$G$49,MATCH($F734,products!$A$1:$A$49,0),MATCH(L$1,products!$A$1:$G$1,0))</f>
        <v>L</v>
      </c>
      <c r="M734" s="5">
        <f>INDEX(products!$A$1:$G$49,MATCH($F734,products!$A$1:$A$49,0),MATCH(M$1,products!$A$1:$G$1,0))</f>
        <v>0.2</v>
      </c>
      <c r="N734" s="7">
        <f>INDEX(products!$A$1:$G$49,MATCH($F734,products!$A$1:$A$49,0),MATCH(N$1,products!$A$1:$G$1,0))</f>
        <v>4.7549999999999999</v>
      </c>
      <c r="O734" s="7">
        <f t="shared" si="11"/>
        <v>9.51</v>
      </c>
      <c r="P734" t="str" cm="1">
        <f t="array" ref="P734">_xlfn.IFS(K734="Rob","Robusta",K734="Exc","Excelsa",K734="Ara","Arabica",K734="Lib","Liberica")</f>
        <v>Liberica</v>
      </c>
      <c r="Q734" t="str" cm="1">
        <f t="array" ref="Q734">_xlfn.IFS(L734="M","Medium",L734="L","Light",L734="D","Dark")</f>
        <v>Light</v>
      </c>
      <c r="R734" t="str">
        <f>_xlfn.XLOOKUP(Orders[[#This Row],[Customer ID]],customers!$A$1:$A$1001,customers!$I$1:$I$1001)</f>
        <v>Yes</v>
      </c>
    </row>
    <row r="735" spans="1:18" x14ac:dyDescent="0.35">
      <c r="A735" s="2" t="s">
        <v>4580</v>
      </c>
      <c r="B735" s="4">
        <v>44076</v>
      </c>
      <c r="C735" s="23">
        <f>Orders[[#This Row],[Order Date]]</f>
        <v>44076</v>
      </c>
      <c r="D735" s="2">
        <f>YEAR(Orders[[#This Row],[Order Date]])</f>
        <v>2020</v>
      </c>
      <c r="E735" s="2" t="s">
        <v>4581</v>
      </c>
      <c r="F735" t="s">
        <v>6152</v>
      </c>
      <c r="G735" s="20">
        <v>2</v>
      </c>
      <c r="H735" s="2" t="str">
        <f>INDEX(customers!$A$1:$I$1001,MATCH($E735,customers!$A$1:$A$1001,),MATCH($H$1,customers!$A$1:$I$1,0))</f>
        <v>Nico Hubert</v>
      </c>
      <c r="I735" s="2" t="str">
        <f>IF(INDEX(customers!$A$1:$I$1001,MATCH($E735,customers!$A$1:$A$1001,0),3)=0,"",INDEX(customers!$A$1:$I$1001,MATCH($E735,customers!$A$1:$A$1001,0),3))</f>
        <v/>
      </c>
      <c r="J735" s="2" t="str">
        <f>_xlfn.XLOOKUP(E735,customers!$A$1:$A$1001,customers!$G$1:$G$1001)</f>
        <v>United States</v>
      </c>
      <c r="K735" t="str">
        <f>INDEX(products!$A$1:$G$49,MATCH($F735,products!$A$1:$A$49,0),MATCH(K$1,products!$A$1:$G$1,0))</f>
        <v>Ara</v>
      </c>
      <c r="L735" t="str">
        <f>INDEX(products!$A$1:$G$49,MATCH($F735,products!$A$1:$A$49,0),MATCH(L$1,products!$A$1:$G$1,0))</f>
        <v>M</v>
      </c>
      <c r="M735" s="5">
        <f>INDEX(products!$A$1:$G$49,MATCH($F735,products!$A$1:$A$49,0),MATCH(M$1,products!$A$1:$G$1,0))</f>
        <v>0.2</v>
      </c>
      <c r="N735" s="7">
        <f>INDEX(products!$A$1:$G$49,MATCH($F735,products!$A$1:$A$49,0),MATCH(N$1,products!$A$1:$G$1,0))</f>
        <v>3.375</v>
      </c>
      <c r="O735" s="7">
        <f t="shared" si="11"/>
        <v>6.75</v>
      </c>
      <c r="P735" t="str" cm="1">
        <f t="array" ref="P735">_xlfn.IFS(K735="Rob","Robusta",K735="Exc","Excelsa",K735="Ara","Arabica",K735="Lib","Liberica")</f>
        <v>Arabica</v>
      </c>
      <c r="Q735" t="str" cm="1">
        <f t="array" ref="Q735">_xlfn.IFS(L735="M","Medium",L735="L","Light",L735="D","Dark")</f>
        <v>Medium</v>
      </c>
      <c r="R735" t="str">
        <f>_xlfn.XLOOKUP(Orders[[#This Row],[Customer ID]],customers!$A$1:$A$1001,customers!$I$1:$I$1001)</f>
        <v>Yes</v>
      </c>
    </row>
    <row r="736" spans="1:18" x14ac:dyDescent="0.35">
      <c r="A736" s="2" t="s">
        <v>4483</v>
      </c>
      <c r="B736" s="4">
        <v>43540</v>
      </c>
      <c r="C736" s="23">
        <f>Orders[[#This Row],[Order Date]]</f>
        <v>43540</v>
      </c>
      <c r="D736" s="2">
        <f>YEAR(Orders[[#This Row],[Order Date]])</f>
        <v>2019</v>
      </c>
      <c r="E736" s="2" t="s">
        <v>4484</v>
      </c>
      <c r="F736" t="s">
        <v>6143</v>
      </c>
      <c r="G736" s="20">
        <v>2</v>
      </c>
      <c r="H736" s="2" t="str">
        <f>INDEX(customers!$A$1:$I$1001,MATCH($E736,customers!$A$1:$A$1001,),MATCH($H$1,customers!$A$1:$I$1,0))</f>
        <v>Nicolas Aiton</v>
      </c>
      <c r="I736" s="2" t="str">
        <f>IF(INDEX(customers!$A$1:$I$1001,MATCH($E736,customers!$A$1:$A$1001,0),3)=0,"",INDEX(customers!$A$1:$I$1001,MATCH($E736,customers!$A$1:$A$1001,0),3))</f>
        <v/>
      </c>
      <c r="J736" s="2" t="str">
        <f>_xlfn.XLOOKUP(E736,customers!$A$1:$A$1001,customers!$G$1:$G$1001)</f>
        <v>Ireland</v>
      </c>
      <c r="K736" t="str">
        <f>INDEX(products!$A$1:$G$49,MATCH($F736,products!$A$1:$A$49,0),MATCH(K$1,products!$A$1:$G$1,0))</f>
        <v>Lib</v>
      </c>
      <c r="L736" t="str">
        <f>INDEX(products!$A$1:$G$49,MATCH($F736,products!$A$1:$A$49,0),MATCH(L$1,products!$A$1:$G$1,0))</f>
        <v>D</v>
      </c>
      <c r="M736" s="5">
        <f>INDEX(products!$A$1:$G$49,MATCH($F736,products!$A$1:$A$49,0),MATCH(M$1,products!$A$1:$G$1,0))</f>
        <v>1</v>
      </c>
      <c r="N736" s="7">
        <f>INDEX(products!$A$1:$G$49,MATCH($F736,products!$A$1:$A$49,0),MATCH(N$1,products!$A$1:$G$1,0))</f>
        <v>12.95</v>
      </c>
      <c r="O736" s="7">
        <f t="shared" si="11"/>
        <v>25.9</v>
      </c>
      <c r="P736" t="str" cm="1">
        <f t="array" ref="P736">_xlfn.IFS(K736="Rob","Robusta",K736="Exc","Excelsa",K736="Ara","Arabica",K736="Lib","Liberica")</f>
        <v>Liberica</v>
      </c>
      <c r="Q736" t="str" cm="1">
        <f t="array" ref="Q736">_xlfn.IFS(L736="M","Medium",L736="L","Light",L736="D","Dark")</f>
        <v>Dark</v>
      </c>
      <c r="R736" t="str">
        <f>_xlfn.XLOOKUP(Orders[[#This Row],[Customer ID]],customers!$A$1:$A$1001,customers!$I$1:$I$1001)</f>
        <v>No</v>
      </c>
    </row>
    <row r="737" spans="1:18" x14ac:dyDescent="0.35">
      <c r="A737" s="2" t="s">
        <v>6127</v>
      </c>
      <c r="B737" s="4">
        <v>44411</v>
      </c>
      <c r="C737" s="23">
        <f>Orders[[#This Row],[Order Date]]</f>
        <v>44411</v>
      </c>
      <c r="D737" s="2">
        <f>YEAR(Orders[[#This Row],[Order Date]])</f>
        <v>2021</v>
      </c>
      <c r="E737" s="2" t="s">
        <v>6128</v>
      </c>
      <c r="F737" t="s">
        <v>6147</v>
      </c>
      <c r="G737" s="20">
        <v>1</v>
      </c>
      <c r="H737" s="2" t="str">
        <f>INDEX(customers!$A$1:$I$1001,MATCH($E737,customers!$A$1:$A$1001,),MATCH($H$1,customers!$A$1:$I$1,0))</f>
        <v>Nicolina Jenny</v>
      </c>
      <c r="I737" s="2" t="str">
        <f>IF(INDEX(customers!$A$1:$I$1001,MATCH($E737,customers!$A$1:$A$1001,0),3)=0,"",INDEX(customers!$A$1:$I$1001,MATCH($E737,customers!$A$1:$A$1001,0),3))</f>
        <v>njennyrq@bigcartel.com</v>
      </c>
      <c r="J737" s="2" t="str">
        <f>_xlfn.XLOOKUP(E737,customers!$A$1:$A$1001,customers!$G$1:$G$1001)</f>
        <v>United States</v>
      </c>
      <c r="K737" t="str">
        <f>INDEX(products!$A$1:$G$49,MATCH($F737,products!$A$1:$A$49,0),MATCH(K$1,products!$A$1:$G$1,0))</f>
        <v>Ara</v>
      </c>
      <c r="L737" t="str">
        <f>INDEX(products!$A$1:$G$49,MATCH($F737,products!$A$1:$A$49,0),MATCH(L$1,products!$A$1:$G$1,0))</f>
        <v>D</v>
      </c>
      <c r="M737" s="5">
        <f>INDEX(products!$A$1:$G$49,MATCH($F737,products!$A$1:$A$49,0),MATCH(M$1,products!$A$1:$G$1,0))</f>
        <v>1</v>
      </c>
      <c r="N737" s="7">
        <f>INDEX(products!$A$1:$G$49,MATCH($F737,products!$A$1:$A$49,0),MATCH(N$1,products!$A$1:$G$1,0))</f>
        <v>9.9499999999999993</v>
      </c>
      <c r="O737" s="7">
        <f t="shared" si="11"/>
        <v>9.9499999999999993</v>
      </c>
      <c r="P737" t="str" cm="1">
        <f t="array" ref="P737">_xlfn.IFS(K737="Rob","Robusta",K737="Exc","Excelsa",K737="Ara","Arabica",K737="Lib","Liberica")</f>
        <v>Arabica</v>
      </c>
      <c r="Q737" t="str" cm="1">
        <f t="array" ref="Q737">_xlfn.IFS(L737="M","Medium",L737="L","Light",L737="D","Dark")</f>
        <v>Dark</v>
      </c>
      <c r="R737" t="str">
        <f>_xlfn.XLOOKUP(Orders[[#This Row],[Customer ID]],customers!$A$1:$A$1001,customers!$I$1:$I$1001)</f>
        <v>No</v>
      </c>
    </row>
    <row r="738" spans="1:18" x14ac:dyDescent="0.35">
      <c r="A738" s="2" t="s">
        <v>4563</v>
      </c>
      <c r="B738" s="4">
        <v>44479</v>
      </c>
      <c r="C738" s="23">
        <f>Orders[[#This Row],[Order Date]]</f>
        <v>44479</v>
      </c>
      <c r="D738" s="2">
        <f>YEAR(Orders[[#This Row],[Order Date]])</f>
        <v>2021</v>
      </c>
      <c r="E738" s="2" t="s">
        <v>4564</v>
      </c>
      <c r="F738" t="s">
        <v>6174</v>
      </c>
      <c r="G738" s="20">
        <v>3</v>
      </c>
      <c r="H738" s="2" t="str">
        <f>INDEX(customers!$A$1:$I$1001,MATCH($E738,customers!$A$1:$A$1001,),MATCH($H$1,customers!$A$1:$I$1,0))</f>
        <v>Niels Leake</v>
      </c>
      <c r="I738" s="2" t="str">
        <f>IF(INDEX(customers!$A$1:$I$1001,MATCH($E738,customers!$A$1:$A$1001,0),3)=0,"",INDEX(customers!$A$1:$I$1001,MATCH($E738,customers!$A$1:$A$1001,0),3))</f>
        <v>nleakek1@cmu.edu</v>
      </c>
      <c r="J738" s="2" t="str">
        <f>_xlfn.XLOOKUP(E738,customers!$A$1:$A$1001,customers!$G$1:$G$1001)</f>
        <v>United States</v>
      </c>
      <c r="K738" t="str">
        <f>INDEX(products!$A$1:$G$49,MATCH($F738,products!$A$1:$A$49,0),MATCH(K$1,products!$A$1:$G$1,0))</f>
        <v>Rob</v>
      </c>
      <c r="L738" t="str">
        <f>INDEX(products!$A$1:$G$49,MATCH($F738,products!$A$1:$A$49,0),MATCH(L$1,products!$A$1:$G$1,0))</f>
        <v>M</v>
      </c>
      <c r="M738" s="5">
        <f>INDEX(products!$A$1:$G$49,MATCH($F738,products!$A$1:$A$49,0),MATCH(M$1,products!$A$1:$G$1,0))</f>
        <v>0.2</v>
      </c>
      <c r="N738" s="7">
        <f>INDEX(products!$A$1:$G$49,MATCH($F738,products!$A$1:$A$49,0),MATCH(N$1,products!$A$1:$G$1,0))</f>
        <v>2.9849999999999999</v>
      </c>
      <c r="O738" s="7">
        <f t="shared" si="11"/>
        <v>8.9550000000000001</v>
      </c>
      <c r="P738" t="str" cm="1">
        <f t="array" ref="P738">_xlfn.IFS(K738="Rob","Robusta",K738="Exc","Excelsa",K738="Ara","Arabica",K738="Lib","Liberica")</f>
        <v>Robusta</v>
      </c>
      <c r="Q738" t="str" cm="1">
        <f t="array" ref="Q738">_xlfn.IFS(L738="M","Medium",L738="L","Light",L738="D","Dark")</f>
        <v>Medium</v>
      </c>
      <c r="R738" t="str">
        <f>_xlfn.XLOOKUP(Orders[[#This Row],[Customer ID]],customers!$A$1:$A$1001,customers!$I$1:$I$1001)</f>
        <v>Yes</v>
      </c>
    </row>
    <row r="739" spans="1:18" x14ac:dyDescent="0.35">
      <c r="A739" s="2" t="s">
        <v>4256</v>
      </c>
      <c r="B739" s="4">
        <v>44451</v>
      </c>
      <c r="C739" s="23">
        <f>Orders[[#This Row],[Order Date]]</f>
        <v>44451</v>
      </c>
      <c r="D739" s="2">
        <f>YEAR(Orders[[#This Row],[Order Date]])</f>
        <v>2021</v>
      </c>
      <c r="E739" s="2" t="s">
        <v>4257</v>
      </c>
      <c r="F739" t="s">
        <v>6147</v>
      </c>
      <c r="G739" s="20">
        <v>6</v>
      </c>
      <c r="H739" s="2" t="str">
        <f>INDEX(customers!$A$1:$I$1001,MATCH($E739,customers!$A$1:$A$1001,),MATCH($H$1,customers!$A$1:$I$1,0))</f>
        <v>Nissie Rudland</v>
      </c>
      <c r="I739" s="2" t="str">
        <f>IF(INDEX(customers!$A$1:$I$1001,MATCH($E739,customers!$A$1:$A$1001,0),3)=0,"",INDEX(customers!$A$1:$I$1001,MATCH($E739,customers!$A$1:$A$1001,0),3))</f>
        <v>nrudlandij@blogs.com</v>
      </c>
      <c r="J739" s="2" t="str">
        <f>_xlfn.XLOOKUP(E739,customers!$A$1:$A$1001,customers!$G$1:$G$1001)</f>
        <v>Ireland</v>
      </c>
      <c r="K739" t="str">
        <f>INDEX(products!$A$1:$G$49,MATCH($F739,products!$A$1:$A$49,0),MATCH(K$1,products!$A$1:$G$1,0))</f>
        <v>Ara</v>
      </c>
      <c r="L739" t="str">
        <f>INDEX(products!$A$1:$G$49,MATCH($F739,products!$A$1:$A$49,0),MATCH(L$1,products!$A$1:$G$1,0))</f>
        <v>D</v>
      </c>
      <c r="M739" s="5">
        <f>INDEX(products!$A$1:$G$49,MATCH($F739,products!$A$1:$A$49,0),MATCH(M$1,products!$A$1:$G$1,0))</f>
        <v>1</v>
      </c>
      <c r="N739" s="7">
        <f>INDEX(products!$A$1:$G$49,MATCH($F739,products!$A$1:$A$49,0),MATCH(N$1,products!$A$1:$G$1,0))</f>
        <v>9.9499999999999993</v>
      </c>
      <c r="O739" s="7">
        <f t="shared" si="11"/>
        <v>59.699999999999996</v>
      </c>
      <c r="P739" t="str" cm="1">
        <f t="array" ref="P739">_xlfn.IFS(K739="Rob","Robusta",K739="Exc","Excelsa",K739="Ara","Arabica",K739="Lib","Liberica")</f>
        <v>Arabica</v>
      </c>
      <c r="Q739" t="str" cm="1">
        <f t="array" ref="Q739">_xlfn.IFS(L739="M","Medium",L739="L","Light",L739="D","Dark")</f>
        <v>Dark</v>
      </c>
      <c r="R739" t="str">
        <f>_xlfn.XLOOKUP(Orders[[#This Row],[Customer ID]],customers!$A$1:$A$1001,customers!$I$1:$I$1001)</f>
        <v>No</v>
      </c>
    </row>
    <row r="740" spans="1:18" x14ac:dyDescent="0.35">
      <c r="A740" s="2" t="s">
        <v>1771</v>
      </c>
      <c r="B740" s="4">
        <v>43880</v>
      </c>
      <c r="C740" s="23">
        <f>Orders[[#This Row],[Order Date]]</f>
        <v>43880</v>
      </c>
      <c r="D740" s="2">
        <f>YEAR(Orders[[#This Row],[Order Date]])</f>
        <v>2020</v>
      </c>
      <c r="E740" s="2" t="s">
        <v>1772</v>
      </c>
      <c r="F740" t="s">
        <v>6163</v>
      </c>
      <c r="G740" s="20">
        <v>6</v>
      </c>
      <c r="H740" s="2" t="str">
        <f>INDEX(customers!$A$1:$I$1001,MATCH($E740,customers!$A$1:$A$1001,),MATCH($H$1,customers!$A$1:$I$1,0))</f>
        <v>Noak Wyvill</v>
      </c>
      <c r="I740" s="2" t="str">
        <f>IF(INDEX(customers!$A$1:$I$1001,MATCH($E740,customers!$A$1:$A$1001,0),3)=0,"",INDEX(customers!$A$1:$I$1001,MATCH($E740,customers!$A$1:$A$1001,0),3))</f>
        <v>nwyvill6b@naver.com</v>
      </c>
      <c r="J740" s="2" t="str">
        <f>_xlfn.XLOOKUP(E740,customers!$A$1:$A$1001,customers!$G$1:$G$1001)</f>
        <v>United Kingdom</v>
      </c>
      <c r="K740" t="str">
        <f>INDEX(products!$A$1:$G$49,MATCH($F740,products!$A$1:$A$49,0),MATCH(K$1,products!$A$1:$G$1,0))</f>
        <v>Rob</v>
      </c>
      <c r="L740" t="str">
        <f>INDEX(products!$A$1:$G$49,MATCH($F740,products!$A$1:$A$49,0),MATCH(L$1,products!$A$1:$G$1,0))</f>
        <v>D</v>
      </c>
      <c r="M740" s="5">
        <f>INDEX(products!$A$1:$G$49,MATCH($F740,products!$A$1:$A$49,0),MATCH(M$1,products!$A$1:$G$1,0))</f>
        <v>0.2</v>
      </c>
      <c r="N740" s="7">
        <f>INDEX(products!$A$1:$G$49,MATCH($F740,products!$A$1:$A$49,0),MATCH(N$1,products!$A$1:$G$1,0))</f>
        <v>2.6849999999999996</v>
      </c>
      <c r="O740" s="7">
        <f t="shared" si="11"/>
        <v>16.11</v>
      </c>
      <c r="P740" t="str" cm="1">
        <f t="array" ref="P740">_xlfn.IFS(K740="Rob","Robusta",K740="Exc","Excelsa",K740="Ara","Arabica",K740="Lib","Liberica")</f>
        <v>Robusta</v>
      </c>
      <c r="Q740" t="str" cm="1">
        <f t="array" ref="Q740">_xlfn.IFS(L740="M","Medium",L740="L","Light",L740="D","Dark")</f>
        <v>Dark</v>
      </c>
      <c r="R740" t="str">
        <f>_xlfn.XLOOKUP(Orders[[#This Row],[Customer ID]],customers!$A$1:$A$1001,customers!$I$1:$I$1001)</f>
        <v>Yes</v>
      </c>
    </row>
    <row r="741" spans="1:18" x14ac:dyDescent="0.35">
      <c r="A741" s="2" t="s">
        <v>2424</v>
      </c>
      <c r="B741" s="4">
        <v>43692</v>
      </c>
      <c r="C741" s="23">
        <f>Orders[[#This Row],[Order Date]]</f>
        <v>43692</v>
      </c>
      <c r="D741" s="2">
        <f>YEAR(Orders[[#This Row],[Order Date]])</f>
        <v>2019</v>
      </c>
      <c r="E741" s="2" t="s">
        <v>2425</v>
      </c>
      <c r="F741" t="s">
        <v>6172</v>
      </c>
      <c r="G741" s="20">
        <v>6</v>
      </c>
      <c r="H741" s="2" t="str">
        <f>INDEX(customers!$A$1:$I$1001,MATCH($E741,customers!$A$1:$A$1001,),MATCH($H$1,customers!$A$1:$I$1,0))</f>
        <v>Noam Climance</v>
      </c>
      <c r="I741" s="2" t="str">
        <f>IF(INDEX(customers!$A$1:$I$1001,MATCH($E741,customers!$A$1:$A$1001,0),3)=0,"",INDEX(customers!$A$1:$I$1001,MATCH($E741,customers!$A$1:$A$1001,0),3))</f>
        <v>nclimance9j@europa.eu</v>
      </c>
      <c r="J741" s="2" t="str">
        <f>_xlfn.XLOOKUP(E741,customers!$A$1:$A$1001,customers!$G$1:$G$1001)</f>
        <v>United States</v>
      </c>
      <c r="K741" t="str">
        <f>INDEX(products!$A$1:$G$49,MATCH($F741,products!$A$1:$A$49,0),MATCH(K$1,products!$A$1:$G$1,0))</f>
        <v>Rob</v>
      </c>
      <c r="L741" t="str">
        <f>INDEX(products!$A$1:$G$49,MATCH($F741,products!$A$1:$A$49,0),MATCH(L$1,products!$A$1:$G$1,0))</f>
        <v>D</v>
      </c>
      <c r="M741" s="5">
        <f>INDEX(products!$A$1:$G$49,MATCH($F741,products!$A$1:$A$49,0),MATCH(M$1,products!$A$1:$G$1,0))</f>
        <v>0.5</v>
      </c>
      <c r="N741" s="7">
        <f>INDEX(products!$A$1:$G$49,MATCH($F741,products!$A$1:$A$49,0),MATCH(N$1,products!$A$1:$G$1,0))</f>
        <v>5.3699999999999992</v>
      </c>
      <c r="O741" s="7">
        <f t="shared" si="11"/>
        <v>32.22</v>
      </c>
      <c r="P741" t="str" cm="1">
        <f t="array" ref="P741">_xlfn.IFS(K741="Rob","Robusta",K741="Exc","Excelsa",K741="Ara","Arabica",K741="Lib","Liberica")</f>
        <v>Robusta</v>
      </c>
      <c r="Q741" t="str" cm="1">
        <f t="array" ref="Q741">_xlfn.IFS(L741="M","Medium",L741="L","Light",L741="D","Dark")</f>
        <v>Dark</v>
      </c>
      <c r="R741" t="str">
        <f>_xlfn.XLOOKUP(Orders[[#This Row],[Customer ID]],customers!$A$1:$A$1001,customers!$I$1:$I$1001)</f>
        <v>No</v>
      </c>
    </row>
    <row r="742" spans="1:18" x14ac:dyDescent="0.35">
      <c r="A742" s="2" t="s">
        <v>4949</v>
      </c>
      <c r="B742" s="4">
        <v>43485</v>
      </c>
      <c r="C742" s="23">
        <f>Orders[[#This Row],[Order Date]]</f>
        <v>43485</v>
      </c>
      <c r="D742" s="2">
        <f>YEAR(Orders[[#This Row],[Order Date]])</f>
        <v>2019</v>
      </c>
      <c r="E742" s="2" t="s">
        <v>4950</v>
      </c>
      <c r="F742" t="s">
        <v>6140</v>
      </c>
      <c r="G742" s="20">
        <v>6</v>
      </c>
      <c r="H742" s="2" t="str">
        <f>INDEX(customers!$A$1:$I$1001,MATCH($E742,customers!$A$1:$A$1001,),MATCH($H$1,customers!$A$1:$I$1,0))</f>
        <v>Nobe Buney</v>
      </c>
      <c r="I742" s="2" t="str">
        <f>IF(INDEX(customers!$A$1:$I$1001,MATCH($E742,customers!$A$1:$A$1001,0),3)=0,"",INDEX(customers!$A$1:$I$1001,MATCH($E742,customers!$A$1:$A$1001,0),3))</f>
        <v>nbuneylx@jugem.jp</v>
      </c>
      <c r="J742" s="2" t="str">
        <f>_xlfn.XLOOKUP(E742,customers!$A$1:$A$1001,customers!$G$1:$G$1001)</f>
        <v>United States</v>
      </c>
      <c r="K742" t="str">
        <f>INDEX(products!$A$1:$G$49,MATCH($F742,products!$A$1:$A$49,0),MATCH(K$1,products!$A$1:$G$1,0))</f>
        <v>Ara</v>
      </c>
      <c r="L742" t="str">
        <f>INDEX(products!$A$1:$G$49,MATCH($F742,products!$A$1:$A$49,0),MATCH(L$1,products!$A$1:$G$1,0))</f>
        <v>L</v>
      </c>
      <c r="M742" s="5">
        <f>INDEX(products!$A$1:$G$49,MATCH($F742,products!$A$1:$A$49,0),MATCH(M$1,products!$A$1:$G$1,0))</f>
        <v>1</v>
      </c>
      <c r="N742" s="7">
        <f>INDEX(products!$A$1:$G$49,MATCH($F742,products!$A$1:$A$49,0),MATCH(N$1,products!$A$1:$G$1,0))</f>
        <v>12.95</v>
      </c>
      <c r="O742" s="7">
        <f t="shared" si="11"/>
        <v>77.699999999999989</v>
      </c>
      <c r="P742" t="str" cm="1">
        <f t="array" ref="P742">_xlfn.IFS(K742="Rob","Robusta",K742="Exc","Excelsa",K742="Ara","Arabica",K742="Lib","Liberica")</f>
        <v>Arabica</v>
      </c>
      <c r="Q742" t="str" cm="1">
        <f t="array" ref="Q742">_xlfn.IFS(L742="M","Medium",L742="L","Light",L742="D","Dark")</f>
        <v>Light</v>
      </c>
      <c r="R742" t="str">
        <f>_xlfn.XLOOKUP(Orders[[#This Row],[Customer ID]],customers!$A$1:$A$1001,customers!$I$1:$I$1001)</f>
        <v>No</v>
      </c>
    </row>
    <row r="743" spans="1:18" x14ac:dyDescent="0.35">
      <c r="A743" s="2" t="s">
        <v>5356</v>
      </c>
      <c r="B743" s="4">
        <v>43802</v>
      </c>
      <c r="C743" s="23">
        <f>Orders[[#This Row],[Order Date]]</f>
        <v>43802</v>
      </c>
      <c r="D743" s="2">
        <f>YEAR(Orders[[#This Row],[Order Date]])</f>
        <v>2019</v>
      </c>
      <c r="E743" s="2" t="s">
        <v>5357</v>
      </c>
      <c r="F743" t="s">
        <v>6143</v>
      </c>
      <c r="G743" s="20">
        <v>6</v>
      </c>
      <c r="H743" s="2" t="str">
        <f>INDEX(customers!$A$1:$I$1001,MATCH($E743,customers!$A$1:$A$1001,),MATCH($H$1,customers!$A$1:$I$1,0))</f>
        <v>Noel Chisholm</v>
      </c>
      <c r="I743" s="2" t="str">
        <f>IF(INDEX(customers!$A$1:$I$1001,MATCH($E743,customers!$A$1:$A$1001,0),3)=0,"",INDEX(customers!$A$1:$I$1001,MATCH($E743,customers!$A$1:$A$1001,0),3))</f>
        <v>nchisholmnx@example.com</v>
      </c>
      <c r="J743" s="2" t="str">
        <f>_xlfn.XLOOKUP(E743,customers!$A$1:$A$1001,customers!$G$1:$G$1001)</f>
        <v>United States</v>
      </c>
      <c r="K743" t="str">
        <f>INDEX(products!$A$1:$G$49,MATCH($F743,products!$A$1:$A$49,0),MATCH(K$1,products!$A$1:$G$1,0))</f>
        <v>Lib</v>
      </c>
      <c r="L743" t="str">
        <f>INDEX(products!$A$1:$G$49,MATCH($F743,products!$A$1:$A$49,0),MATCH(L$1,products!$A$1:$G$1,0))</f>
        <v>D</v>
      </c>
      <c r="M743" s="5">
        <f>INDEX(products!$A$1:$G$49,MATCH($F743,products!$A$1:$A$49,0),MATCH(M$1,products!$A$1:$G$1,0))</f>
        <v>1</v>
      </c>
      <c r="N743" s="7">
        <f>INDEX(products!$A$1:$G$49,MATCH($F743,products!$A$1:$A$49,0),MATCH(N$1,products!$A$1:$G$1,0))</f>
        <v>12.95</v>
      </c>
      <c r="O743" s="7">
        <f t="shared" si="11"/>
        <v>77.699999999999989</v>
      </c>
      <c r="P743" t="str" cm="1">
        <f t="array" ref="P743">_xlfn.IFS(K743="Rob","Robusta",K743="Exc","Excelsa",K743="Ara","Arabica",K743="Lib","Liberica")</f>
        <v>Liberica</v>
      </c>
      <c r="Q743" t="str" cm="1">
        <f t="array" ref="Q743">_xlfn.IFS(L743="M","Medium",L743="L","Light",L743="D","Dark")</f>
        <v>Dark</v>
      </c>
      <c r="R743" t="str">
        <f>_xlfn.XLOOKUP(Orders[[#This Row],[Customer ID]],customers!$A$1:$A$1001,customers!$I$1:$I$1001)</f>
        <v>Yes</v>
      </c>
    </row>
    <row r="744" spans="1:18" x14ac:dyDescent="0.35">
      <c r="A744" s="2" t="s">
        <v>838</v>
      </c>
      <c r="B744" s="4">
        <v>43505</v>
      </c>
      <c r="C744" s="23">
        <f>Orders[[#This Row],[Order Date]]</f>
        <v>43505</v>
      </c>
      <c r="D744" s="2">
        <f>YEAR(Orders[[#This Row],[Order Date]])</f>
        <v>2019</v>
      </c>
      <c r="E744" s="2" t="s">
        <v>839</v>
      </c>
      <c r="F744" t="s">
        <v>6145</v>
      </c>
      <c r="G744" s="20">
        <v>5</v>
      </c>
      <c r="H744" s="2" t="str">
        <f>INDEX(customers!$A$1:$I$1001,MATCH($E744,customers!$A$1:$A$1001,),MATCH($H$1,customers!$A$1:$I$1,0))</f>
        <v>Nona Linklater</v>
      </c>
      <c r="I744" s="2" t="str">
        <f>IF(INDEX(customers!$A$1:$I$1001,MATCH($E744,customers!$A$1:$A$1001,0),3)=0,"",INDEX(customers!$A$1:$I$1001,MATCH($E744,customers!$A$1:$A$1001,0),3))</f>
        <v/>
      </c>
      <c r="J744" s="2" t="str">
        <f>_xlfn.XLOOKUP(E744,customers!$A$1:$A$1001,customers!$G$1:$G$1001)</f>
        <v>United States</v>
      </c>
      <c r="K744" t="str">
        <f>INDEX(products!$A$1:$G$49,MATCH($F744,products!$A$1:$A$49,0),MATCH(K$1,products!$A$1:$G$1,0))</f>
        <v>Lib</v>
      </c>
      <c r="L744" t="str">
        <f>INDEX(products!$A$1:$G$49,MATCH($F744,products!$A$1:$A$49,0),MATCH(L$1,products!$A$1:$G$1,0))</f>
        <v>L</v>
      </c>
      <c r="M744" s="5">
        <f>INDEX(products!$A$1:$G$49,MATCH($F744,products!$A$1:$A$49,0),MATCH(M$1,products!$A$1:$G$1,0))</f>
        <v>0.2</v>
      </c>
      <c r="N744" s="7">
        <f>INDEX(products!$A$1:$G$49,MATCH($F744,products!$A$1:$A$49,0),MATCH(N$1,products!$A$1:$G$1,0))</f>
        <v>4.7549999999999999</v>
      </c>
      <c r="O744" s="7">
        <f t="shared" si="11"/>
        <v>23.774999999999999</v>
      </c>
      <c r="P744" t="str" cm="1">
        <f t="array" ref="P744">_xlfn.IFS(K744="Rob","Robusta",K744="Exc","Excelsa",K744="Ara","Arabica",K744="Lib","Liberica")</f>
        <v>Liberica</v>
      </c>
      <c r="Q744" t="str" cm="1">
        <f t="array" ref="Q744">_xlfn.IFS(L744="M","Medium",L744="L","Light",L744="D","Dark")</f>
        <v>Light</v>
      </c>
      <c r="R744" t="str">
        <f>_xlfn.XLOOKUP(Orders[[#This Row],[Customer ID]],customers!$A$1:$A$1001,customers!$I$1:$I$1001)</f>
        <v>Yes</v>
      </c>
    </row>
    <row r="745" spans="1:18" x14ac:dyDescent="0.35">
      <c r="A745" s="2" t="s">
        <v>5978</v>
      </c>
      <c r="B745" s="4">
        <v>43703</v>
      </c>
      <c r="C745" s="23">
        <f>Orders[[#This Row],[Order Date]]</f>
        <v>43703</v>
      </c>
      <c r="D745" s="2">
        <f>YEAR(Orders[[#This Row],[Order Date]])</f>
        <v>2019</v>
      </c>
      <c r="E745" s="2" t="s">
        <v>5979</v>
      </c>
      <c r="F745" t="s">
        <v>6182</v>
      </c>
      <c r="G745" s="20">
        <v>5</v>
      </c>
      <c r="H745" s="2" t="str">
        <f>INDEX(customers!$A$1:$I$1001,MATCH($E745,customers!$A$1:$A$1001,),MATCH($H$1,customers!$A$1:$I$1,0))</f>
        <v>Noni Furber</v>
      </c>
      <c r="I745" s="2" t="str">
        <f>IF(INDEX(customers!$A$1:$I$1001,MATCH($E745,customers!$A$1:$A$1001,0),3)=0,"",INDEX(customers!$A$1:$I$1001,MATCH($E745,customers!$A$1:$A$1001,0),3))</f>
        <v>nfurberqz@jugem.jp</v>
      </c>
      <c r="J745" s="2" t="str">
        <f>_xlfn.XLOOKUP(E745,customers!$A$1:$A$1001,customers!$G$1:$G$1001)</f>
        <v>United States</v>
      </c>
      <c r="K745" t="str">
        <f>INDEX(products!$A$1:$G$49,MATCH($F745,products!$A$1:$A$49,0),MATCH(K$1,products!$A$1:$G$1,0))</f>
        <v>Ara</v>
      </c>
      <c r="L745" t="str">
        <f>INDEX(products!$A$1:$G$49,MATCH($F745,products!$A$1:$A$49,0),MATCH(L$1,products!$A$1:$G$1,0))</f>
        <v>L</v>
      </c>
      <c r="M745" s="5">
        <f>INDEX(products!$A$1:$G$49,MATCH($F745,products!$A$1:$A$49,0),MATCH(M$1,products!$A$1:$G$1,0))</f>
        <v>2.5</v>
      </c>
      <c r="N745" s="7">
        <f>INDEX(products!$A$1:$G$49,MATCH($F745,products!$A$1:$A$49,0),MATCH(N$1,products!$A$1:$G$1,0))</f>
        <v>29.784999999999997</v>
      </c>
      <c r="O745" s="7">
        <f t="shared" si="11"/>
        <v>148.92499999999998</v>
      </c>
      <c r="P745" t="str" cm="1">
        <f t="array" ref="P745">_xlfn.IFS(K745="Rob","Robusta",K745="Exc","Excelsa",K745="Ara","Arabica",K745="Lib","Liberica")</f>
        <v>Arabica</v>
      </c>
      <c r="Q745" t="str" cm="1">
        <f t="array" ref="Q745">_xlfn.IFS(L745="M","Medium",L745="L","Light",L745="D","Dark")</f>
        <v>Light</v>
      </c>
      <c r="R745" t="str">
        <f>_xlfn.XLOOKUP(Orders[[#This Row],[Customer ID]],customers!$A$1:$A$1001,customers!$I$1:$I$1001)</f>
        <v>No</v>
      </c>
    </row>
    <row r="746" spans="1:18" x14ac:dyDescent="0.35">
      <c r="A746" s="2" t="s">
        <v>1022</v>
      </c>
      <c r="B746" s="4">
        <v>43816</v>
      </c>
      <c r="C746" s="23">
        <f>Orders[[#This Row],[Order Date]]</f>
        <v>43816</v>
      </c>
      <c r="D746" s="2">
        <f>YEAR(Orders[[#This Row],[Order Date]])</f>
        <v>2019</v>
      </c>
      <c r="E746" s="2" t="s">
        <v>1023</v>
      </c>
      <c r="F746" t="s">
        <v>6175</v>
      </c>
      <c r="G746" s="20">
        <v>6</v>
      </c>
      <c r="H746" s="2" t="str">
        <f>INDEX(customers!$A$1:$I$1001,MATCH($E746,customers!$A$1:$A$1001,),MATCH($H$1,customers!$A$1:$I$1,0))</f>
        <v>Norene Magauran</v>
      </c>
      <c r="I746" s="2" t="str">
        <f>IF(INDEX(customers!$A$1:$I$1001,MATCH($E746,customers!$A$1:$A$1001,0),3)=0,"",INDEX(customers!$A$1:$I$1001,MATCH($E746,customers!$A$1:$A$1001,0),3))</f>
        <v>nmagauran2n@51.la</v>
      </c>
      <c r="J746" s="2" t="str">
        <f>_xlfn.XLOOKUP(E746,customers!$A$1:$A$1001,customers!$G$1:$G$1001)</f>
        <v>United States</v>
      </c>
      <c r="K746" t="str">
        <f>INDEX(products!$A$1:$G$49,MATCH($F746,products!$A$1:$A$49,0),MATCH(K$1,products!$A$1:$G$1,0))</f>
        <v>Ara</v>
      </c>
      <c r="L746" t="str">
        <f>INDEX(products!$A$1:$G$49,MATCH($F746,products!$A$1:$A$49,0),MATCH(L$1,products!$A$1:$G$1,0))</f>
        <v>M</v>
      </c>
      <c r="M746" s="5">
        <f>INDEX(products!$A$1:$G$49,MATCH($F746,products!$A$1:$A$49,0),MATCH(M$1,products!$A$1:$G$1,0))</f>
        <v>2.5</v>
      </c>
      <c r="N746" s="7">
        <f>INDEX(products!$A$1:$G$49,MATCH($F746,products!$A$1:$A$49,0),MATCH(N$1,products!$A$1:$G$1,0))</f>
        <v>25.874999999999996</v>
      </c>
      <c r="O746" s="7">
        <f t="shared" si="11"/>
        <v>155.24999999999997</v>
      </c>
      <c r="P746" t="str" cm="1">
        <f t="array" ref="P746">_xlfn.IFS(K746="Rob","Robusta",K746="Exc","Excelsa",K746="Ara","Arabica",K746="Lib","Liberica")</f>
        <v>Arabica</v>
      </c>
      <c r="Q746" t="str" cm="1">
        <f t="array" ref="Q746">_xlfn.IFS(L746="M","Medium",L746="L","Light",L746="D","Dark")</f>
        <v>Medium</v>
      </c>
      <c r="R746" t="str">
        <f>_xlfn.XLOOKUP(Orders[[#This Row],[Customer ID]],customers!$A$1:$A$1001,customers!$I$1:$I$1001)</f>
        <v>No</v>
      </c>
    </row>
    <row r="747" spans="1:18" x14ac:dyDescent="0.35">
      <c r="A747" s="2" t="s">
        <v>5152</v>
      </c>
      <c r="B747" s="4">
        <v>44603</v>
      </c>
      <c r="C747" s="23">
        <f>Orders[[#This Row],[Order Date]]</f>
        <v>44603</v>
      </c>
      <c r="D747" s="2">
        <f>YEAR(Orders[[#This Row],[Order Date]])</f>
        <v>2022</v>
      </c>
      <c r="E747" s="2" t="s">
        <v>5188</v>
      </c>
      <c r="F747" t="s">
        <v>6147</v>
      </c>
      <c r="G747" s="20">
        <v>3</v>
      </c>
      <c r="H747" s="2" t="str">
        <f>INDEX(customers!$A$1:$I$1001,MATCH($E747,customers!$A$1:$A$1001,),MATCH($H$1,customers!$A$1:$I$1,0))</f>
        <v>Odelia Skerme</v>
      </c>
      <c r="I747" s="2" t="str">
        <f>IF(INDEX(customers!$A$1:$I$1001,MATCH($E747,customers!$A$1:$A$1001,0),3)=0,"",INDEX(customers!$A$1:$I$1001,MATCH($E747,customers!$A$1:$A$1001,0),3))</f>
        <v>oskermen3@hatena.ne.jp</v>
      </c>
      <c r="J747" s="2" t="str">
        <f>_xlfn.XLOOKUP(E747,customers!$A$1:$A$1001,customers!$G$1:$G$1001)</f>
        <v>United States</v>
      </c>
      <c r="K747" t="str">
        <f>INDEX(products!$A$1:$G$49,MATCH($F747,products!$A$1:$A$49,0),MATCH(K$1,products!$A$1:$G$1,0))</f>
        <v>Ara</v>
      </c>
      <c r="L747" t="str">
        <f>INDEX(products!$A$1:$G$49,MATCH($F747,products!$A$1:$A$49,0),MATCH(L$1,products!$A$1:$G$1,0))</f>
        <v>D</v>
      </c>
      <c r="M747" s="5">
        <f>INDEX(products!$A$1:$G$49,MATCH($F747,products!$A$1:$A$49,0),MATCH(M$1,products!$A$1:$G$1,0))</f>
        <v>1</v>
      </c>
      <c r="N747" s="7">
        <f>INDEX(products!$A$1:$G$49,MATCH($F747,products!$A$1:$A$49,0),MATCH(N$1,products!$A$1:$G$1,0))</f>
        <v>9.9499999999999993</v>
      </c>
      <c r="O747" s="7">
        <f t="shared" si="11"/>
        <v>29.849999999999998</v>
      </c>
      <c r="P747" t="str" cm="1">
        <f t="array" ref="P747">_xlfn.IFS(K747="Rob","Robusta",K747="Exc","Excelsa",K747="Ara","Arabica",K747="Lib","Liberica")</f>
        <v>Arabica</v>
      </c>
      <c r="Q747" t="str" cm="1">
        <f t="array" ref="Q747">_xlfn.IFS(L747="M","Medium",L747="L","Light",L747="D","Dark")</f>
        <v>Dark</v>
      </c>
      <c r="R747" t="str">
        <f>_xlfn.XLOOKUP(Orders[[#This Row],[Customer ID]],customers!$A$1:$A$1001,customers!$I$1:$I$1001)</f>
        <v>Yes</v>
      </c>
    </row>
    <row r="748" spans="1:18" x14ac:dyDescent="0.35">
      <c r="A748" s="2" t="s">
        <v>5251</v>
      </c>
      <c r="B748" s="4">
        <v>44502</v>
      </c>
      <c r="C748" s="23">
        <f>Orders[[#This Row],[Order Date]]</f>
        <v>44502</v>
      </c>
      <c r="D748" s="2">
        <f>YEAR(Orders[[#This Row],[Order Date]])</f>
        <v>2021</v>
      </c>
      <c r="E748" s="2" t="s">
        <v>5188</v>
      </c>
      <c r="F748" t="s">
        <v>6156</v>
      </c>
      <c r="G748" s="20">
        <v>2</v>
      </c>
      <c r="H748" s="2" t="str">
        <f>INDEX(customers!$A$1:$I$1001,MATCH($E748,customers!$A$1:$A$1001,),MATCH($H$1,customers!$A$1:$I$1,0))</f>
        <v>Odelia Skerme</v>
      </c>
      <c r="I748" s="2" t="str">
        <f>IF(INDEX(customers!$A$1:$I$1001,MATCH($E748,customers!$A$1:$A$1001,0),3)=0,"",INDEX(customers!$A$1:$I$1001,MATCH($E748,customers!$A$1:$A$1001,0),3))</f>
        <v>oskermen3@hatena.ne.jp</v>
      </c>
      <c r="J748" s="2" t="str">
        <f>_xlfn.XLOOKUP(E748,customers!$A$1:$A$1001,customers!$G$1:$G$1001)</f>
        <v>United States</v>
      </c>
      <c r="K748" t="str">
        <f>INDEX(products!$A$1:$G$49,MATCH($F748,products!$A$1:$A$49,0),MATCH(K$1,products!$A$1:$G$1,0))</f>
        <v>Exc</v>
      </c>
      <c r="L748" t="str">
        <f>INDEX(products!$A$1:$G$49,MATCH($F748,products!$A$1:$A$49,0),MATCH(L$1,products!$A$1:$G$1,0))</f>
        <v>M</v>
      </c>
      <c r="M748" s="5">
        <f>INDEX(products!$A$1:$G$49,MATCH($F748,products!$A$1:$A$49,0),MATCH(M$1,products!$A$1:$G$1,0))</f>
        <v>0.2</v>
      </c>
      <c r="N748" s="7">
        <f>INDEX(products!$A$1:$G$49,MATCH($F748,products!$A$1:$A$49,0),MATCH(N$1,products!$A$1:$G$1,0))</f>
        <v>4.125</v>
      </c>
      <c r="O748" s="7">
        <f t="shared" si="11"/>
        <v>8.25</v>
      </c>
      <c r="P748" t="str" cm="1">
        <f t="array" ref="P748">_xlfn.IFS(K748="Rob","Robusta",K748="Exc","Excelsa",K748="Ara","Arabica",K748="Lib","Liberica")</f>
        <v>Excelsa</v>
      </c>
      <c r="Q748" t="str" cm="1">
        <f t="array" ref="Q748">_xlfn.IFS(L748="M","Medium",L748="L","Light",L748="D","Dark")</f>
        <v>Medium</v>
      </c>
      <c r="R748" t="str">
        <f>_xlfn.XLOOKUP(Orders[[#This Row],[Customer ID]],customers!$A$1:$A$1001,customers!$I$1:$I$1001)</f>
        <v>Yes</v>
      </c>
    </row>
    <row r="749" spans="1:18" x14ac:dyDescent="0.35">
      <c r="A749" s="2" t="s">
        <v>5327</v>
      </c>
      <c r="B749" s="4">
        <v>44031</v>
      </c>
      <c r="C749" s="23">
        <f>Orders[[#This Row],[Order Date]]</f>
        <v>44031</v>
      </c>
      <c r="D749" s="2">
        <f>YEAR(Orders[[#This Row],[Order Date]])</f>
        <v>2020</v>
      </c>
      <c r="E749" s="2" t="s">
        <v>5188</v>
      </c>
      <c r="F749" t="s">
        <v>6159</v>
      </c>
      <c r="G749" s="20">
        <v>2</v>
      </c>
      <c r="H749" s="2" t="str">
        <f>INDEX(customers!$A$1:$I$1001,MATCH($E749,customers!$A$1:$A$1001,),MATCH($H$1,customers!$A$1:$I$1,0))</f>
        <v>Odelia Skerme</v>
      </c>
      <c r="I749" s="2" t="str">
        <f>IF(INDEX(customers!$A$1:$I$1001,MATCH($E749,customers!$A$1:$A$1001,0),3)=0,"",INDEX(customers!$A$1:$I$1001,MATCH($E749,customers!$A$1:$A$1001,0),3))</f>
        <v>oskermen3@hatena.ne.jp</v>
      </c>
      <c r="J749" s="2" t="str">
        <f>_xlfn.XLOOKUP(E749,customers!$A$1:$A$1001,customers!$G$1:$G$1001)</f>
        <v>United States</v>
      </c>
      <c r="K749" t="str">
        <f>INDEX(products!$A$1:$G$49,MATCH($F749,products!$A$1:$A$49,0),MATCH(K$1,products!$A$1:$G$1,0))</f>
        <v>Lib</v>
      </c>
      <c r="L749" t="str">
        <f>INDEX(products!$A$1:$G$49,MATCH($F749,products!$A$1:$A$49,0),MATCH(L$1,products!$A$1:$G$1,0))</f>
        <v>M</v>
      </c>
      <c r="M749" s="5">
        <f>INDEX(products!$A$1:$G$49,MATCH($F749,products!$A$1:$A$49,0),MATCH(M$1,products!$A$1:$G$1,0))</f>
        <v>0.2</v>
      </c>
      <c r="N749" s="7">
        <f>INDEX(products!$A$1:$G$49,MATCH($F749,products!$A$1:$A$49,0),MATCH(N$1,products!$A$1:$G$1,0))</f>
        <v>4.3650000000000002</v>
      </c>
      <c r="O749" s="7">
        <f t="shared" si="11"/>
        <v>8.73</v>
      </c>
      <c r="P749" t="str" cm="1">
        <f t="array" ref="P749">_xlfn.IFS(K749="Rob","Robusta",K749="Exc","Excelsa",K749="Ara","Arabica",K749="Lib","Liberica")</f>
        <v>Liberica</v>
      </c>
      <c r="Q749" t="str" cm="1">
        <f t="array" ref="Q749">_xlfn.IFS(L749="M","Medium",L749="L","Light",L749="D","Dark")</f>
        <v>Medium</v>
      </c>
      <c r="R749" t="str">
        <f>_xlfn.XLOOKUP(Orders[[#This Row],[Customer ID]],customers!$A$1:$A$1001,customers!$I$1:$I$1001)</f>
        <v>Yes</v>
      </c>
    </row>
    <row r="750" spans="1:18" x14ac:dyDescent="0.35">
      <c r="A750" s="2" t="s">
        <v>1481</v>
      </c>
      <c r="B750" s="4">
        <v>43900</v>
      </c>
      <c r="C750" s="23">
        <f>Orders[[#This Row],[Order Date]]</f>
        <v>43900</v>
      </c>
      <c r="D750" s="2">
        <f>YEAR(Orders[[#This Row],[Order Date]])</f>
        <v>2020</v>
      </c>
      <c r="E750" s="2" t="s">
        <v>1482</v>
      </c>
      <c r="F750" t="s">
        <v>6148</v>
      </c>
      <c r="G750" s="20">
        <v>1</v>
      </c>
      <c r="H750" s="2" t="str">
        <f>INDEX(customers!$A$1:$I$1001,MATCH($E750,customers!$A$1:$A$1001,),MATCH($H$1,customers!$A$1:$I$1,0))</f>
        <v>Odille Thynne</v>
      </c>
      <c r="I750" s="2" t="str">
        <f>IF(INDEX(customers!$A$1:$I$1001,MATCH($E750,customers!$A$1:$A$1001,0),3)=0,"",INDEX(customers!$A$1:$I$1001,MATCH($E750,customers!$A$1:$A$1001,0),3))</f>
        <v>othynne4w@auda.org.au</v>
      </c>
      <c r="J750" s="2" t="str">
        <f>_xlfn.XLOOKUP(E750,customers!$A$1:$A$1001,customers!$G$1:$G$1001)</f>
        <v>United States</v>
      </c>
      <c r="K750" t="str">
        <f>INDEX(products!$A$1:$G$49,MATCH($F750,products!$A$1:$A$49,0),MATCH(K$1,products!$A$1:$G$1,0))</f>
        <v>Exc</v>
      </c>
      <c r="L750" t="str">
        <f>INDEX(products!$A$1:$G$49,MATCH($F750,products!$A$1:$A$49,0),MATCH(L$1,products!$A$1:$G$1,0))</f>
        <v>L</v>
      </c>
      <c r="M750" s="5">
        <f>INDEX(products!$A$1:$G$49,MATCH($F750,products!$A$1:$A$49,0),MATCH(M$1,products!$A$1:$G$1,0))</f>
        <v>2.5</v>
      </c>
      <c r="N750" s="7">
        <f>INDEX(products!$A$1:$G$49,MATCH($F750,products!$A$1:$A$49,0),MATCH(N$1,products!$A$1:$G$1,0))</f>
        <v>34.154999999999994</v>
      </c>
      <c r="O750" s="7">
        <f t="shared" si="11"/>
        <v>34.154999999999994</v>
      </c>
      <c r="P750" t="str" cm="1">
        <f t="array" ref="P750">_xlfn.IFS(K750="Rob","Robusta",K750="Exc","Excelsa",K750="Ara","Arabica",K750="Lib","Liberica")</f>
        <v>Excelsa</v>
      </c>
      <c r="Q750" t="str" cm="1">
        <f t="array" ref="Q750">_xlfn.IFS(L750="M","Medium",L750="L","Light",L750="D","Dark")</f>
        <v>Light</v>
      </c>
      <c r="R750" t="str">
        <f>_xlfn.XLOOKUP(Orders[[#This Row],[Customer ID]],customers!$A$1:$A$1001,customers!$I$1:$I$1001)</f>
        <v>Yes</v>
      </c>
    </row>
    <row r="751" spans="1:18" x14ac:dyDescent="0.35">
      <c r="A751" s="2" t="s">
        <v>738</v>
      </c>
      <c r="B751" s="4">
        <v>43932</v>
      </c>
      <c r="C751" s="23">
        <f>Orders[[#This Row],[Order Date]]</f>
        <v>43932</v>
      </c>
      <c r="D751" s="2">
        <f>YEAR(Orders[[#This Row],[Order Date]])</f>
        <v>2020</v>
      </c>
      <c r="E751" s="2" t="s">
        <v>739</v>
      </c>
      <c r="F751" t="s">
        <v>6139</v>
      </c>
      <c r="G751" s="20">
        <v>2</v>
      </c>
      <c r="H751" s="2" t="str">
        <f>INDEX(customers!$A$1:$I$1001,MATCH($E751,customers!$A$1:$A$1001,),MATCH($H$1,customers!$A$1:$I$1,0))</f>
        <v>Olag Baudassi</v>
      </c>
      <c r="I751" s="2" t="str">
        <f>IF(INDEX(customers!$A$1:$I$1001,MATCH($E751,customers!$A$1:$A$1001,0),3)=0,"",INDEX(customers!$A$1:$I$1001,MATCH($E751,customers!$A$1:$A$1001,0),3))</f>
        <v>obaudassi18@seesaa.net</v>
      </c>
      <c r="J751" s="2" t="str">
        <f>_xlfn.XLOOKUP(E751,customers!$A$1:$A$1001,customers!$G$1:$G$1001)</f>
        <v>United States</v>
      </c>
      <c r="K751" t="str">
        <f>INDEX(products!$A$1:$G$49,MATCH($F751,products!$A$1:$A$49,0),MATCH(K$1,products!$A$1:$G$1,0))</f>
        <v>Exc</v>
      </c>
      <c r="L751" t="str">
        <f>INDEX(products!$A$1:$G$49,MATCH($F751,products!$A$1:$A$49,0),MATCH(L$1,products!$A$1:$G$1,0))</f>
        <v>M</v>
      </c>
      <c r="M751" s="5">
        <f>INDEX(products!$A$1:$G$49,MATCH($F751,products!$A$1:$A$49,0),MATCH(M$1,products!$A$1:$G$1,0))</f>
        <v>0.5</v>
      </c>
      <c r="N751" s="7">
        <f>INDEX(products!$A$1:$G$49,MATCH($F751,products!$A$1:$A$49,0),MATCH(N$1,products!$A$1:$G$1,0))</f>
        <v>8.25</v>
      </c>
      <c r="O751" s="7">
        <f t="shared" si="11"/>
        <v>16.5</v>
      </c>
      <c r="P751" t="str" cm="1">
        <f t="array" ref="P751">_xlfn.IFS(K751="Rob","Robusta",K751="Exc","Excelsa",K751="Ara","Arabica",K751="Lib","Liberica")</f>
        <v>Excelsa</v>
      </c>
      <c r="Q751" t="str" cm="1">
        <f t="array" ref="Q751">_xlfn.IFS(L751="M","Medium",L751="L","Light",L751="D","Dark")</f>
        <v>Medium</v>
      </c>
      <c r="R751" t="str">
        <f>_xlfn.XLOOKUP(Orders[[#This Row],[Customer ID]],customers!$A$1:$A$1001,customers!$I$1:$I$1001)</f>
        <v>Yes</v>
      </c>
    </row>
    <row r="752" spans="1:18" x14ac:dyDescent="0.35">
      <c r="A752" s="2" t="s">
        <v>1464</v>
      </c>
      <c r="B752" s="4">
        <v>44720</v>
      </c>
      <c r="C752" s="23">
        <f>Orders[[#This Row],[Order Date]]</f>
        <v>44720</v>
      </c>
      <c r="D752" s="2">
        <f>YEAR(Orders[[#This Row],[Order Date]])</f>
        <v>2022</v>
      </c>
      <c r="E752" s="2" t="s">
        <v>1465</v>
      </c>
      <c r="F752" t="s">
        <v>6151</v>
      </c>
      <c r="G752" s="20">
        <v>4</v>
      </c>
      <c r="H752" s="2" t="str">
        <f>INDEX(customers!$A$1:$I$1001,MATCH($E752,customers!$A$1:$A$1001,),MATCH($H$1,customers!$A$1:$I$1,0))</f>
        <v>Oran Colbeck</v>
      </c>
      <c r="I752" s="2" t="str">
        <f>IF(INDEX(customers!$A$1:$I$1001,MATCH($E752,customers!$A$1:$A$1001,0),3)=0,"",INDEX(customers!$A$1:$I$1001,MATCH($E752,customers!$A$1:$A$1001,0),3))</f>
        <v>ocolbeck4t@sina.com.cn</v>
      </c>
      <c r="J752" s="2" t="str">
        <f>_xlfn.XLOOKUP(E752,customers!$A$1:$A$1001,customers!$G$1:$G$1001)</f>
        <v>United States</v>
      </c>
      <c r="K752" t="str">
        <f>INDEX(products!$A$1:$G$49,MATCH($F752,products!$A$1:$A$49,0),MATCH(K$1,products!$A$1:$G$1,0))</f>
        <v>Rob</v>
      </c>
      <c r="L752" t="str">
        <f>INDEX(products!$A$1:$G$49,MATCH($F752,products!$A$1:$A$49,0),MATCH(L$1,products!$A$1:$G$1,0))</f>
        <v>M</v>
      </c>
      <c r="M752" s="5">
        <f>INDEX(products!$A$1:$G$49,MATCH($F752,products!$A$1:$A$49,0),MATCH(M$1,products!$A$1:$G$1,0))</f>
        <v>2.5</v>
      </c>
      <c r="N752" s="7">
        <f>INDEX(products!$A$1:$G$49,MATCH($F752,products!$A$1:$A$49,0),MATCH(N$1,products!$A$1:$G$1,0))</f>
        <v>22.884999999999998</v>
      </c>
      <c r="O752" s="7">
        <f t="shared" si="11"/>
        <v>91.539999999999992</v>
      </c>
      <c r="P752" t="str" cm="1">
        <f t="array" ref="P752">_xlfn.IFS(K752="Rob","Robusta",K752="Exc","Excelsa",K752="Ara","Arabica",K752="Lib","Liberica")</f>
        <v>Robusta</v>
      </c>
      <c r="Q752" t="str" cm="1">
        <f t="array" ref="Q752">_xlfn.IFS(L752="M","Medium",L752="L","Light",L752="D","Dark")</f>
        <v>Medium</v>
      </c>
      <c r="R752" t="str">
        <f>_xlfn.XLOOKUP(Orders[[#This Row],[Customer ID]],customers!$A$1:$A$1001,customers!$I$1:$I$1001)</f>
        <v>No</v>
      </c>
    </row>
    <row r="753" spans="1:18" x14ac:dyDescent="0.35">
      <c r="A753" s="2" t="s">
        <v>5439</v>
      </c>
      <c r="B753" s="4">
        <v>44253</v>
      </c>
      <c r="C753" s="23">
        <f>Orders[[#This Row],[Order Date]]</f>
        <v>44253</v>
      </c>
      <c r="D753" s="2">
        <f>YEAR(Orders[[#This Row],[Order Date]])</f>
        <v>2021</v>
      </c>
      <c r="E753" s="2" t="s">
        <v>5440</v>
      </c>
      <c r="F753" t="s">
        <v>6160</v>
      </c>
      <c r="G753" s="20">
        <v>5</v>
      </c>
      <c r="H753" s="2" t="str">
        <f>INDEX(customers!$A$1:$I$1001,MATCH($E753,customers!$A$1:$A$1001,),MATCH($H$1,customers!$A$1:$I$1,0))</f>
        <v>Orazio Comber</v>
      </c>
      <c r="I753" s="2" t="str">
        <f>IF(INDEX(customers!$A$1:$I$1001,MATCH($E753,customers!$A$1:$A$1001,0),3)=0,"",INDEX(customers!$A$1:$I$1001,MATCH($E753,customers!$A$1:$A$1001,0),3))</f>
        <v>ocomberob@goo.gl</v>
      </c>
      <c r="J753" s="2" t="str">
        <f>_xlfn.XLOOKUP(E753,customers!$A$1:$A$1001,customers!$G$1:$G$1001)</f>
        <v>Ireland</v>
      </c>
      <c r="K753" t="str">
        <f>INDEX(products!$A$1:$G$49,MATCH($F753,products!$A$1:$A$49,0),MATCH(K$1,products!$A$1:$G$1,0))</f>
        <v>Lib</v>
      </c>
      <c r="L753" t="str">
        <f>INDEX(products!$A$1:$G$49,MATCH($F753,products!$A$1:$A$49,0),MATCH(L$1,products!$A$1:$G$1,0))</f>
        <v>M</v>
      </c>
      <c r="M753" s="5">
        <f>INDEX(products!$A$1:$G$49,MATCH($F753,products!$A$1:$A$49,0),MATCH(M$1,products!$A$1:$G$1,0))</f>
        <v>0.5</v>
      </c>
      <c r="N753" s="7">
        <f>INDEX(products!$A$1:$G$49,MATCH($F753,products!$A$1:$A$49,0),MATCH(N$1,products!$A$1:$G$1,0))</f>
        <v>8.73</v>
      </c>
      <c r="O753" s="7">
        <f t="shared" si="11"/>
        <v>43.650000000000006</v>
      </c>
      <c r="P753" t="str" cm="1">
        <f t="array" ref="P753">_xlfn.IFS(K753="Rob","Robusta",K753="Exc","Excelsa",K753="Ara","Arabica",K753="Lib","Liberica")</f>
        <v>Liberica</v>
      </c>
      <c r="Q753" t="str" cm="1">
        <f t="array" ref="Q753">_xlfn.IFS(L753="M","Medium",L753="L","Light",L753="D","Dark")</f>
        <v>Medium</v>
      </c>
      <c r="R753" t="str">
        <f>_xlfn.XLOOKUP(Orders[[#This Row],[Customer ID]],customers!$A$1:$A$1001,customers!$I$1:$I$1001)</f>
        <v>No</v>
      </c>
    </row>
    <row r="754" spans="1:18" x14ac:dyDescent="0.35">
      <c r="A754" s="2" t="s">
        <v>5439</v>
      </c>
      <c r="B754" s="4">
        <v>44253</v>
      </c>
      <c r="C754" s="23">
        <f>Orders[[#This Row],[Order Date]]</f>
        <v>44253</v>
      </c>
      <c r="D754" s="2">
        <f>YEAR(Orders[[#This Row],[Order Date]])</f>
        <v>2021</v>
      </c>
      <c r="E754" s="2" t="s">
        <v>5440</v>
      </c>
      <c r="F754" t="s">
        <v>6180</v>
      </c>
      <c r="G754" s="20">
        <v>6</v>
      </c>
      <c r="H754" s="2" t="str">
        <f>INDEX(customers!$A$1:$I$1001,MATCH($E754,customers!$A$1:$A$1001,),MATCH($H$1,customers!$A$1:$I$1,0))</f>
        <v>Orazio Comber</v>
      </c>
      <c r="I754" s="2" t="str">
        <f>IF(INDEX(customers!$A$1:$I$1001,MATCH($E754,customers!$A$1:$A$1001,0),3)=0,"",INDEX(customers!$A$1:$I$1001,MATCH($E754,customers!$A$1:$A$1001,0),3))</f>
        <v>ocomberob@goo.gl</v>
      </c>
      <c r="J754" s="2" t="str">
        <f>_xlfn.XLOOKUP(E754,customers!$A$1:$A$1001,customers!$G$1:$G$1001)</f>
        <v>Ireland</v>
      </c>
      <c r="K754" t="str">
        <f>INDEX(products!$A$1:$G$49,MATCH($F754,products!$A$1:$A$49,0),MATCH(K$1,products!$A$1:$G$1,0))</f>
        <v>Ara</v>
      </c>
      <c r="L754" t="str">
        <f>INDEX(products!$A$1:$G$49,MATCH($F754,products!$A$1:$A$49,0),MATCH(L$1,products!$A$1:$G$1,0))</f>
        <v>L</v>
      </c>
      <c r="M754" s="5">
        <f>INDEX(products!$A$1:$G$49,MATCH($F754,products!$A$1:$A$49,0),MATCH(M$1,products!$A$1:$G$1,0))</f>
        <v>0.5</v>
      </c>
      <c r="N754" s="7">
        <f>INDEX(products!$A$1:$G$49,MATCH($F754,products!$A$1:$A$49,0),MATCH(N$1,products!$A$1:$G$1,0))</f>
        <v>7.77</v>
      </c>
      <c r="O754" s="7">
        <f t="shared" si="11"/>
        <v>46.62</v>
      </c>
      <c r="P754" t="str" cm="1">
        <f t="array" ref="P754">_xlfn.IFS(K754="Rob","Robusta",K754="Exc","Excelsa",K754="Ara","Arabica",K754="Lib","Liberica")</f>
        <v>Arabica</v>
      </c>
      <c r="Q754" t="str" cm="1">
        <f t="array" ref="Q754">_xlfn.IFS(L754="M","Medium",L754="L","Light",L754="D","Dark")</f>
        <v>Light</v>
      </c>
      <c r="R754" t="str">
        <f>_xlfn.XLOOKUP(Orders[[#This Row],[Customer ID]],customers!$A$1:$A$1001,customers!$I$1:$I$1001)</f>
        <v>No</v>
      </c>
    </row>
    <row r="755" spans="1:18" x14ac:dyDescent="0.35">
      <c r="A755" s="2" t="s">
        <v>1653</v>
      </c>
      <c r="B755" s="4">
        <v>44207</v>
      </c>
      <c r="C755" s="23">
        <f>Orders[[#This Row],[Order Date]]</f>
        <v>44207</v>
      </c>
      <c r="D755" s="2">
        <f>YEAR(Orders[[#This Row],[Order Date]])</f>
        <v>2021</v>
      </c>
      <c r="E755" s="2" t="s">
        <v>1654</v>
      </c>
      <c r="F755" t="s">
        <v>6157</v>
      </c>
      <c r="G755" s="20">
        <v>6</v>
      </c>
      <c r="H755" s="2" t="str">
        <f>INDEX(customers!$A$1:$I$1001,MATCH($E755,customers!$A$1:$A$1001,),MATCH($H$1,customers!$A$1:$I$1,0))</f>
        <v>Orbadiah Duny</v>
      </c>
      <c r="I755" s="2" t="str">
        <f>IF(INDEX(customers!$A$1:$I$1001,MATCH($E755,customers!$A$1:$A$1001,0),3)=0,"",INDEX(customers!$A$1:$I$1001,MATCH($E755,customers!$A$1:$A$1001,0),3))</f>
        <v>oduny5r@constantcontact.com</v>
      </c>
      <c r="J755" s="2" t="str">
        <f>_xlfn.XLOOKUP(E755,customers!$A$1:$A$1001,customers!$G$1:$G$1001)</f>
        <v>United States</v>
      </c>
      <c r="K755" t="str">
        <f>INDEX(products!$A$1:$G$49,MATCH($F755,products!$A$1:$A$49,0),MATCH(K$1,products!$A$1:$G$1,0))</f>
        <v>Ara</v>
      </c>
      <c r="L755" t="str">
        <f>INDEX(products!$A$1:$G$49,MATCH($F755,products!$A$1:$A$49,0),MATCH(L$1,products!$A$1:$G$1,0))</f>
        <v>M</v>
      </c>
      <c r="M755" s="5">
        <f>INDEX(products!$A$1:$G$49,MATCH($F755,products!$A$1:$A$49,0),MATCH(M$1,products!$A$1:$G$1,0))</f>
        <v>0.5</v>
      </c>
      <c r="N755" s="7">
        <f>INDEX(products!$A$1:$G$49,MATCH($F755,products!$A$1:$A$49,0),MATCH(N$1,products!$A$1:$G$1,0))</f>
        <v>6.75</v>
      </c>
      <c r="O755" s="7">
        <f t="shared" si="11"/>
        <v>40.5</v>
      </c>
      <c r="P755" t="str" cm="1">
        <f t="array" ref="P755">_xlfn.IFS(K755="Rob","Robusta",K755="Exc","Excelsa",K755="Ara","Arabica",K755="Lib","Liberica")</f>
        <v>Arabica</v>
      </c>
      <c r="Q755" t="str" cm="1">
        <f t="array" ref="Q755">_xlfn.IFS(L755="M","Medium",L755="L","Light",L755="D","Dark")</f>
        <v>Medium</v>
      </c>
      <c r="R755" t="str">
        <f>_xlfn.XLOOKUP(Orders[[#This Row],[Customer ID]],customers!$A$1:$A$1001,customers!$I$1:$I$1001)</f>
        <v>Yes</v>
      </c>
    </row>
    <row r="756" spans="1:18" x14ac:dyDescent="0.35">
      <c r="A756" s="2" t="s">
        <v>3220</v>
      </c>
      <c r="B756" s="4">
        <v>43790</v>
      </c>
      <c r="C756" s="23">
        <f>Orders[[#This Row],[Order Date]]</f>
        <v>43790</v>
      </c>
      <c r="D756" s="2">
        <f>YEAR(Orders[[#This Row],[Order Date]])</f>
        <v>2019</v>
      </c>
      <c r="E756" s="2" t="s">
        <v>3221</v>
      </c>
      <c r="F756" t="s">
        <v>6165</v>
      </c>
      <c r="G756" s="20">
        <v>2</v>
      </c>
      <c r="H756" s="2" t="str">
        <f>INDEX(customers!$A$1:$I$1001,MATCH($E756,customers!$A$1:$A$1001,),MATCH($H$1,customers!$A$1:$I$1,0))</f>
        <v>Orion Dyott</v>
      </c>
      <c r="I756" s="2" t="str">
        <f>IF(INDEX(customers!$A$1:$I$1001,MATCH($E756,customers!$A$1:$A$1001,0),3)=0,"",INDEX(customers!$A$1:$I$1001,MATCH($E756,customers!$A$1:$A$1001,0),3))</f>
        <v/>
      </c>
      <c r="J756" s="2" t="str">
        <f>_xlfn.XLOOKUP(E756,customers!$A$1:$A$1001,customers!$G$1:$G$1001)</f>
        <v>United States</v>
      </c>
      <c r="K756" t="str">
        <f>INDEX(products!$A$1:$G$49,MATCH($F756,products!$A$1:$A$49,0),MATCH(K$1,products!$A$1:$G$1,0))</f>
        <v>Lib</v>
      </c>
      <c r="L756" t="str">
        <f>INDEX(products!$A$1:$G$49,MATCH($F756,products!$A$1:$A$49,0),MATCH(L$1,products!$A$1:$G$1,0))</f>
        <v>D</v>
      </c>
      <c r="M756" s="5">
        <f>INDEX(products!$A$1:$G$49,MATCH($F756,products!$A$1:$A$49,0),MATCH(M$1,products!$A$1:$G$1,0))</f>
        <v>2.5</v>
      </c>
      <c r="N756" s="7">
        <f>INDEX(products!$A$1:$G$49,MATCH($F756,products!$A$1:$A$49,0),MATCH(N$1,products!$A$1:$G$1,0))</f>
        <v>29.784999999999997</v>
      </c>
      <c r="O756" s="7">
        <f t="shared" si="11"/>
        <v>59.569999999999993</v>
      </c>
      <c r="P756" t="str" cm="1">
        <f t="array" ref="P756">_xlfn.IFS(K756="Rob","Robusta",K756="Exc","Excelsa",K756="Ara","Arabica",K756="Lib","Liberica")</f>
        <v>Liberica</v>
      </c>
      <c r="Q756" t="str" cm="1">
        <f t="array" ref="Q756">_xlfn.IFS(L756="M","Medium",L756="L","Light",L756="D","Dark")</f>
        <v>Dark</v>
      </c>
      <c r="R756" t="str">
        <f>_xlfn.XLOOKUP(Orders[[#This Row],[Customer ID]],customers!$A$1:$A$1001,customers!$I$1:$I$1001)</f>
        <v>Yes</v>
      </c>
    </row>
    <row r="757" spans="1:18" x14ac:dyDescent="0.35">
      <c r="A757" s="2" t="s">
        <v>4439</v>
      </c>
      <c r="B757" s="4">
        <v>44298</v>
      </c>
      <c r="C757" s="23">
        <f>Orders[[#This Row],[Order Date]]</f>
        <v>44298</v>
      </c>
      <c r="D757" s="2">
        <f>YEAR(Orders[[#This Row],[Order Date]])</f>
        <v>2021</v>
      </c>
      <c r="E757" s="2" t="s">
        <v>4440</v>
      </c>
      <c r="F757" t="s">
        <v>6158</v>
      </c>
      <c r="G757" s="20">
        <v>4</v>
      </c>
      <c r="H757" s="2" t="str">
        <f>INDEX(customers!$A$1:$I$1001,MATCH($E757,customers!$A$1:$A$1001,),MATCH($H$1,customers!$A$1:$I$1,0))</f>
        <v>Orland Tadman</v>
      </c>
      <c r="I757" s="2" t="str">
        <f>IF(INDEX(customers!$A$1:$I$1001,MATCH($E757,customers!$A$1:$A$1001,0),3)=0,"",INDEX(customers!$A$1:$I$1001,MATCH($E757,customers!$A$1:$A$1001,0),3))</f>
        <v>otadmanjf@ft.com</v>
      </c>
      <c r="J757" s="2" t="str">
        <f>_xlfn.XLOOKUP(E757,customers!$A$1:$A$1001,customers!$G$1:$G$1001)</f>
        <v>United States</v>
      </c>
      <c r="K757" t="str">
        <f>INDEX(products!$A$1:$G$49,MATCH($F757,products!$A$1:$A$49,0),MATCH(K$1,products!$A$1:$G$1,0))</f>
        <v>Ara</v>
      </c>
      <c r="L757" t="str">
        <f>INDEX(products!$A$1:$G$49,MATCH($F757,products!$A$1:$A$49,0),MATCH(L$1,products!$A$1:$G$1,0))</f>
        <v>D</v>
      </c>
      <c r="M757" s="5">
        <f>INDEX(products!$A$1:$G$49,MATCH($F757,products!$A$1:$A$49,0),MATCH(M$1,products!$A$1:$G$1,0))</f>
        <v>0.5</v>
      </c>
      <c r="N757" s="7">
        <f>INDEX(products!$A$1:$G$49,MATCH($F757,products!$A$1:$A$49,0),MATCH(N$1,products!$A$1:$G$1,0))</f>
        <v>5.97</v>
      </c>
      <c r="O757" s="7">
        <f t="shared" si="11"/>
        <v>23.88</v>
      </c>
      <c r="P757" t="str" cm="1">
        <f t="array" ref="P757">_xlfn.IFS(K757="Rob","Robusta",K757="Exc","Excelsa",K757="Ara","Arabica",K757="Lib","Liberica")</f>
        <v>Arabica</v>
      </c>
      <c r="Q757" t="str" cm="1">
        <f t="array" ref="Q757">_xlfn.IFS(L757="M","Medium",L757="L","Light",L757="D","Dark")</f>
        <v>Dark</v>
      </c>
      <c r="R757" t="str">
        <f>_xlfn.XLOOKUP(Orders[[#This Row],[Customer ID]],customers!$A$1:$A$1001,customers!$I$1:$I$1001)</f>
        <v>Yes</v>
      </c>
    </row>
    <row r="758" spans="1:18" x14ac:dyDescent="0.35">
      <c r="A758" s="2" t="s">
        <v>2945</v>
      </c>
      <c r="B758" s="4">
        <v>44631</v>
      </c>
      <c r="C758" s="23">
        <f>Orders[[#This Row],[Order Date]]</f>
        <v>44631</v>
      </c>
      <c r="D758" s="2">
        <f>YEAR(Orders[[#This Row],[Order Date]])</f>
        <v>2022</v>
      </c>
      <c r="E758" s="2" t="s">
        <v>2946</v>
      </c>
      <c r="F758" t="s">
        <v>6145</v>
      </c>
      <c r="G758" s="20">
        <v>2</v>
      </c>
      <c r="H758" s="2" t="str">
        <f>INDEX(customers!$A$1:$I$1001,MATCH($E758,customers!$A$1:$A$1001,),MATCH($H$1,customers!$A$1:$I$1,0))</f>
        <v>Orly Ryland</v>
      </c>
      <c r="I758" s="2" t="str">
        <f>IF(INDEX(customers!$A$1:$I$1001,MATCH($E758,customers!$A$1:$A$1001,0),3)=0,"",INDEX(customers!$A$1:$I$1001,MATCH($E758,customers!$A$1:$A$1001,0),3))</f>
        <v>orylandc4@deviantart.com</v>
      </c>
      <c r="J758" s="2" t="str">
        <f>_xlfn.XLOOKUP(E758,customers!$A$1:$A$1001,customers!$G$1:$G$1001)</f>
        <v>United States</v>
      </c>
      <c r="K758" t="str">
        <f>INDEX(products!$A$1:$G$49,MATCH($F758,products!$A$1:$A$49,0),MATCH(K$1,products!$A$1:$G$1,0))</f>
        <v>Lib</v>
      </c>
      <c r="L758" t="str">
        <f>INDEX(products!$A$1:$G$49,MATCH($F758,products!$A$1:$A$49,0),MATCH(L$1,products!$A$1:$G$1,0))</f>
        <v>L</v>
      </c>
      <c r="M758" s="5">
        <f>INDEX(products!$A$1:$G$49,MATCH($F758,products!$A$1:$A$49,0),MATCH(M$1,products!$A$1:$G$1,0))</f>
        <v>0.2</v>
      </c>
      <c r="N758" s="7">
        <f>INDEX(products!$A$1:$G$49,MATCH($F758,products!$A$1:$A$49,0),MATCH(N$1,products!$A$1:$G$1,0))</f>
        <v>4.7549999999999999</v>
      </c>
      <c r="O758" s="7">
        <f t="shared" si="11"/>
        <v>9.51</v>
      </c>
      <c r="P758" t="str" cm="1">
        <f t="array" ref="P758">_xlfn.IFS(K758="Rob","Robusta",K758="Exc","Excelsa",K758="Ara","Arabica",K758="Lib","Liberica")</f>
        <v>Liberica</v>
      </c>
      <c r="Q758" t="str" cm="1">
        <f t="array" ref="Q758">_xlfn.IFS(L758="M","Medium",L758="L","Light",L758="D","Dark")</f>
        <v>Light</v>
      </c>
      <c r="R758" t="str">
        <f>_xlfn.XLOOKUP(Orders[[#This Row],[Customer ID]],customers!$A$1:$A$1001,customers!$I$1:$I$1001)</f>
        <v>Yes</v>
      </c>
    </row>
    <row r="759" spans="1:18" x14ac:dyDescent="0.35">
      <c r="A759" s="2" t="s">
        <v>1233</v>
      </c>
      <c r="B759" s="4">
        <v>44043</v>
      </c>
      <c r="C759" s="23">
        <f>Orders[[#This Row],[Order Date]]</f>
        <v>44043</v>
      </c>
      <c r="D759" s="2">
        <f>YEAR(Orders[[#This Row],[Order Date]])</f>
        <v>2020</v>
      </c>
      <c r="E759" s="2" t="s">
        <v>1234</v>
      </c>
      <c r="F759" t="s">
        <v>6182</v>
      </c>
      <c r="G759" s="20">
        <v>5</v>
      </c>
      <c r="H759" s="2" t="str">
        <f>INDEX(customers!$A$1:$I$1001,MATCH($E759,customers!$A$1:$A$1001,),MATCH($H$1,customers!$A$1:$I$1,0))</f>
        <v>Osbert Robins</v>
      </c>
      <c r="I759" s="2" t="str">
        <f>IF(INDEX(customers!$A$1:$I$1001,MATCH($E759,customers!$A$1:$A$1001,0),3)=0,"",INDEX(customers!$A$1:$I$1001,MATCH($E759,customers!$A$1:$A$1001,0),3))</f>
        <v>orobins3o@salon.com</v>
      </c>
      <c r="J759" s="2" t="str">
        <f>_xlfn.XLOOKUP(E759,customers!$A$1:$A$1001,customers!$G$1:$G$1001)</f>
        <v>United States</v>
      </c>
      <c r="K759" t="str">
        <f>INDEX(products!$A$1:$G$49,MATCH($F759,products!$A$1:$A$49,0),MATCH(K$1,products!$A$1:$G$1,0))</f>
        <v>Ara</v>
      </c>
      <c r="L759" t="str">
        <f>INDEX(products!$A$1:$G$49,MATCH($F759,products!$A$1:$A$49,0),MATCH(L$1,products!$A$1:$G$1,0))</f>
        <v>L</v>
      </c>
      <c r="M759" s="5">
        <f>INDEX(products!$A$1:$G$49,MATCH($F759,products!$A$1:$A$49,0),MATCH(M$1,products!$A$1:$G$1,0))</f>
        <v>2.5</v>
      </c>
      <c r="N759" s="7">
        <f>INDEX(products!$A$1:$G$49,MATCH($F759,products!$A$1:$A$49,0),MATCH(N$1,products!$A$1:$G$1,0))</f>
        <v>29.784999999999997</v>
      </c>
      <c r="O759" s="7">
        <f t="shared" si="11"/>
        <v>148.92499999999998</v>
      </c>
      <c r="P759" t="str" cm="1">
        <f t="array" ref="P759">_xlfn.IFS(K759="Rob","Robusta",K759="Exc","Excelsa",K759="Ara","Arabica",K759="Lib","Liberica")</f>
        <v>Arabica</v>
      </c>
      <c r="Q759" t="str" cm="1">
        <f t="array" ref="Q759">_xlfn.IFS(L759="M","Medium",L759="L","Light",L759="D","Dark")</f>
        <v>Light</v>
      </c>
      <c r="R759" t="str">
        <f>_xlfn.XLOOKUP(Orders[[#This Row],[Customer ID]],customers!$A$1:$A$1001,customers!$I$1:$I$1001)</f>
        <v>Yes</v>
      </c>
    </row>
    <row r="760" spans="1:18" x14ac:dyDescent="0.35">
      <c r="A760" s="2" t="s">
        <v>1305</v>
      </c>
      <c r="B760" s="4">
        <v>43562</v>
      </c>
      <c r="C760" s="23">
        <f>Orders[[#This Row],[Order Date]]</f>
        <v>43562</v>
      </c>
      <c r="D760" s="2">
        <f>YEAR(Orders[[#This Row],[Order Date]])</f>
        <v>2019</v>
      </c>
      <c r="E760" s="2" t="s">
        <v>1306</v>
      </c>
      <c r="F760" t="s">
        <v>6159</v>
      </c>
      <c r="G760" s="20">
        <v>4</v>
      </c>
      <c r="H760" s="2" t="str">
        <f>INDEX(customers!$A$1:$I$1001,MATCH($E760,customers!$A$1:$A$1001,),MATCH($H$1,customers!$A$1:$I$1,0))</f>
        <v>Osmund Clausen-Thue</v>
      </c>
      <c r="I760" s="2" t="str">
        <f>IF(INDEX(customers!$A$1:$I$1001,MATCH($E760,customers!$A$1:$A$1001,0),3)=0,"",INDEX(customers!$A$1:$I$1001,MATCH($E760,customers!$A$1:$A$1001,0),3))</f>
        <v>oclausenthue41@marriott.com</v>
      </c>
      <c r="J760" s="2" t="str">
        <f>_xlfn.XLOOKUP(E760,customers!$A$1:$A$1001,customers!$G$1:$G$1001)</f>
        <v>United States</v>
      </c>
      <c r="K760" t="str">
        <f>INDEX(products!$A$1:$G$49,MATCH($F760,products!$A$1:$A$49,0),MATCH(K$1,products!$A$1:$G$1,0))</f>
        <v>Lib</v>
      </c>
      <c r="L760" t="str">
        <f>INDEX(products!$A$1:$G$49,MATCH($F760,products!$A$1:$A$49,0),MATCH(L$1,products!$A$1:$G$1,0))</f>
        <v>M</v>
      </c>
      <c r="M760" s="5">
        <f>INDEX(products!$A$1:$G$49,MATCH($F760,products!$A$1:$A$49,0),MATCH(M$1,products!$A$1:$G$1,0))</f>
        <v>0.2</v>
      </c>
      <c r="N760" s="7">
        <f>INDEX(products!$A$1:$G$49,MATCH($F760,products!$A$1:$A$49,0),MATCH(N$1,products!$A$1:$G$1,0))</f>
        <v>4.3650000000000002</v>
      </c>
      <c r="O760" s="7">
        <f t="shared" si="11"/>
        <v>17.46</v>
      </c>
      <c r="P760" t="str" cm="1">
        <f t="array" ref="P760">_xlfn.IFS(K760="Rob","Robusta",K760="Exc","Excelsa",K760="Ara","Arabica",K760="Lib","Liberica")</f>
        <v>Liberica</v>
      </c>
      <c r="Q760" t="str" cm="1">
        <f t="array" ref="Q760">_xlfn.IFS(L760="M","Medium",L760="L","Light",L760="D","Dark")</f>
        <v>Medium</v>
      </c>
      <c r="R760" t="str">
        <f>_xlfn.XLOOKUP(Orders[[#This Row],[Customer ID]],customers!$A$1:$A$1001,customers!$I$1:$I$1001)</f>
        <v>No</v>
      </c>
    </row>
    <row r="761" spans="1:18" x14ac:dyDescent="0.35">
      <c r="A761" s="2" t="s">
        <v>1239</v>
      </c>
      <c r="B761" s="4">
        <v>44340</v>
      </c>
      <c r="C761" s="23">
        <f>Orders[[#This Row],[Order Date]]</f>
        <v>44340</v>
      </c>
      <c r="D761" s="2">
        <f>YEAR(Orders[[#This Row],[Order Date]])</f>
        <v>2021</v>
      </c>
      <c r="E761" s="2" t="s">
        <v>1240</v>
      </c>
      <c r="F761" t="s">
        <v>6143</v>
      </c>
      <c r="G761" s="20">
        <v>1</v>
      </c>
      <c r="H761" s="2" t="str">
        <f>INDEX(customers!$A$1:$I$1001,MATCH($E761,customers!$A$1:$A$1001,),MATCH($H$1,customers!$A$1:$I$1,0))</f>
        <v>Othello Syseland</v>
      </c>
      <c r="I761" s="2" t="str">
        <f>IF(INDEX(customers!$A$1:$I$1001,MATCH($E761,customers!$A$1:$A$1001,0),3)=0,"",INDEX(customers!$A$1:$I$1001,MATCH($E761,customers!$A$1:$A$1001,0),3))</f>
        <v>osyseland3p@independent.co.uk</v>
      </c>
      <c r="J761" s="2" t="str">
        <f>_xlfn.XLOOKUP(E761,customers!$A$1:$A$1001,customers!$G$1:$G$1001)</f>
        <v>United States</v>
      </c>
      <c r="K761" t="str">
        <f>INDEX(products!$A$1:$G$49,MATCH($F761,products!$A$1:$A$49,0),MATCH(K$1,products!$A$1:$G$1,0))</f>
        <v>Lib</v>
      </c>
      <c r="L761" t="str">
        <f>INDEX(products!$A$1:$G$49,MATCH($F761,products!$A$1:$A$49,0),MATCH(L$1,products!$A$1:$G$1,0))</f>
        <v>D</v>
      </c>
      <c r="M761" s="5">
        <f>INDEX(products!$A$1:$G$49,MATCH($F761,products!$A$1:$A$49,0),MATCH(M$1,products!$A$1:$G$1,0))</f>
        <v>1</v>
      </c>
      <c r="N761" s="7">
        <f>INDEX(products!$A$1:$G$49,MATCH($F761,products!$A$1:$A$49,0),MATCH(N$1,products!$A$1:$G$1,0))</f>
        <v>12.95</v>
      </c>
      <c r="O761" s="7">
        <f t="shared" si="11"/>
        <v>12.95</v>
      </c>
      <c r="P761" t="str" cm="1">
        <f t="array" ref="P761">_xlfn.IFS(K761="Rob","Robusta",K761="Exc","Excelsa",K761="Ara","Arabica",K761="Lib","Liberica")</f>
        <v>Liberica</v>
      </c>
      <c r="Q761" t="str" cm="1">
        <f t="array" ref="Q761">_xlfn.IFS(L761="M","Medium",L761="L","Light",L761="D","Dark")</f>
        <v>Dark</v>
      </c>
      <c r="R761" t="str">
        <f>_xlfn.XLOOKUP(Orders[[#This Row],[Customer ID]],customers!$A$1:$A$1001,customers!$I$1:$I$1001)</f>
        <v>No</v>
      </c>
    </row>
    <row r="762" spans="1:18" x14ac:dyDescent="0.35">
      <c r="A762" s="2" t="s">
        <v>593</v>
      </c>
      <c r="B762" s="4">
        <v>43629</v>
      </c>
      <c r="C762" s="23">
        <f>Orders[[#This Row],[Order Date]]</f>
        <v>43629</v>
      </c>
      <c r="D762" s="2">
        <f>YEAR(Orders[[#This Row],[Order Date]])</f>
        <v>2019</v>
      </c>
      <c r="E762" s="2" t="s">
        <v>594</v>
      </c>
      <c r="F762" t="s">
        <v>6149</v>
      </c>
      <c r="G762" s="20">
        <v>4</v>
      </c>
      <c r="H762" s="2" t="str">
        <f>INDEX(customers!$A$1:$I$1001,MATCH($E762,customers!$A$1:$A$1001,),MATCH($H$1,customers!$A$1:$I$1,0))</f>
        <v>Pall Redford</v>
      </c>
      <c r="I762" s="2" t="str">
        <f>IF(INDEX(customers!$A$1:$I$1001,MATCH($E762,customers!$A$1:$A$1001,0),3)=0,"",INDEX(customers!$A$1:$I$1001,MATCH($E762,customers!$A$1:$A$1001,0),3))</f>
        <v>predfordi@ow.ly</v>
      </c>
      <c r="J762" s="2" t="str">
        <f>_xlfn.XLOOKUP(E762,customers!$A$1:$A$1001,customers!$G$1:$G$1001)</f>
        <v>Ireland</v>
      </c>
      <c r="K762" t="str">
        <f>INDEX(products!$A$1:$G$49,MATCH($F762,products!$A$1:$A$49,0),MATCH(K$1,products!$A$1:$G$1,0))</f>
        <v>Rob</v>
      </c>
      <c r="L762" t="str">
        <f>INDEX(products!$A$1:$G$49,MATCH($F762,products!$A$1:$A$49,0),MATCH(L$1,products!$A$1:$G$1,0))</f>
        <v>D</v>
      </c>
      <c r="M762" s="5">
        <f>INDEX(products!$A$1:$G$49,MATCH($F762,products!$A$1:$A$49,0),MATCH(M$1,products!$A$1:$G$1,0))</f>
        <v>2.5</v>
      </c>
      <c r="N762" s="7">
        <f>INDEX(products!$A$1:$G$49,MATCH($F762,products!$A$1:$A$49,0),MATCH(N$1,products!$A$1:$G$1,0))</f>
        <v>20.584999999999997</v>
      </c>
      <c r="O762" s="7">
        <f t="shared" si="11"/>
        <v>82.339999999999989</v>
      </c>
      <c r="P762" t="str" cm="1">
        <f t="array" ref="P762">_xlfn.IFS(K762="Rob","Robusta",K762="Exc","Excelsa",K762="Ara","Arabica",K762="Lib","Liberica")</f>
        <v>Robusta</v>
      </c>
      <c r="Q762" t="str" cm="1">
        <f t="array" ref="Q762">_xlfn.IFS(L762="M","Medium",L762="L","Light",L762="D","Dark")</f>
        <v>Dark</v>
      </c>
      <c r="R762" t="str">
        <f>_xlfn.XLOOKUP(Orders[[#This Row],[Customer ID]],customers!$A$1:$A$1001,customers!$I$1:$I$1001)</f>
        <v>Yes</v>
      </c>
    </row>
    <row r="763" spans="1:18" x14ac:dyDescent="0.35">
      <c r="A763" s="2" t="s">
        <v>833</v>
      </c>
      <c r="B763" s="4">
        <v>43521</v>
      </c>
      <c r="C763" s="23">
        <f>Orders[[#This Row],[Order Date]]</f>
        <v>43521</v>
      </c>
      <c r="D763" s="2">
        <f>YEAR(Orders[[#This Row],[Order Date]])</f>
        <v>2019</v>
      </c>
      <c r="E763" s="2" t="s">
        <v>834</v>
      </c>
      <c r="F763" t="s">
        <v>6172</v>
      </c>
      <c r="G763" s="20">
        <v>5</v>
      </c>
      <c r="H763" s="2" t="str">
        <f>INDEX(customers!$A$1:$I$1001,MATCH($E763,customers!$A$1:$A$1001,),MATCH($H$1,customers!$A$1:$I$1,0))</f>
        <v>Pammi Endacott</v>
      </c>
      <c r="I763" s="2" t="str">
        <f>IF(INDEX(customers!$A$1:$I$1001,MATCH($E763,customers!$A$1:$A$1001,0),3)=0,"",INDEX(customers!$A$1:$I$1001,MATCH($E763,customers!$A$1:$A$1001,0),3))</f>
        <v/>
      </c>
      <c r="J763" s="2" t="str">
        <f>_xlfn.XLOOKUP(E763,customers!$A$1:$A$1001,customers!$G$1:$G$1001)</f>
        <v>United Kingdom</v>
      </c>
      <c r="K763" t="str">
        <f>INDEX(products!$A$1:$G$49,MATCH($F763,products!$A$1:$A$49,0),MATCH(K$1,products!$A$1:$G$1,0))</f>
        <v>Rob</v>
      </c>
      <c r="L763" t="str">
        <f>INDEX(products!$A$1:$G$49,MATCH($F763,products!$A$1:$A$49,0),MATCH(L$1,products!$A$1:$G$1,0))</f>
        <v>D</v>
      </c>
      <c r="M763" s="5">
        <f>INDEX(products!$A$1:$G$49,MATCH($F763,products!$A$1:$A$49,0),MATCH(M$1,products!$A$1:$G$1,0))</f>
        <v>0.5</v>
      </c>
      <c r="N763" s="7">
        <f>INDEX(products!$A$1:$G$49,MATCH($F763,products!$A$1:$A$49,0),MATCH(N$1,products!$A$1:$G$1,0))</f>
        <v>5.3699999999999992</v>
      </c>
      <c r="O763" s="7">
        <f t="shared" si="11"/>
        <v>26.849999999999994</v>
      </c>
      <c r="P763" t="str" cm="1">
        <f t="array" ref="P763">_xlfn.IFS(K763="Rob","Robusta",K763="Exc","Excelsa",K763="Ara","Arabica",K763="Lib","Liberica")</f>
        <v>Robusta</v>
      </c>
      <c r="Q763" t="str" cm="1">
        <f t="array" ref="Q763">_xlfn.IFS(L763="M","Medium",L763="L","Light",L763="D","Dark")</f>
        <v>Dark</v>
      </c>
      <c r="R763" t="str">
        <f>_xlfn.XLOOKUP(Orders[[#This Row],[Customer ID]],customers!$A$1:$A$1001,customers!$I$1:$I$1001)</f>
        <v>Yes</v>
      </c>
    </row>
    <row r="764" spans="1:18" x14ac:dyDescent="0.35">
      <c r="A764" s="2" t="s">
        <v>2238</v>
      </c>
      <c r="B764" s="4">
        <v>44586</v>
      </c>
      <c r="C764" s="23">
        <f>Orders[[#This Row],[Order Date]]</f>
        <v>44586</v>
      </c>
      <c r="D764" s="2">
        <f>YEAR(Orders[[#This Row],[Order Date]])</f>
        <v>2022</v>
      </c>
      <c r="E764" s="2" t="s">
        <v>2239</v>
      </c>
      <c r="F764" t="s">
        <v>6171</v>
      </c>
      <c r="G764" s="20">
        <v>1</v>
      </c>
      <c r="H764" s="2" t="str">
        <f>INDEX(customers!$A$1:$I$1001,MATCH($E764,customers!$A$1:$A$1001,),MATCH($H$1,customers!$A$1:$I$1,0))</f>
        <v>Paola Brydell</v>
      </c>
      <c r="I764" s="2" t="str">
        <f>IF(INDEX(customers!$A$1:$I$1001,MATCH($E764,customers!$A$1:$A$1001,0),3)=0,"",INDEX(customers!$A$1:$I$1001,MATCH($E764,customers!$A$1:$A$1001,0),3))</f>
        <v>pbrydell8m@bloglovin.com</v>
      </c>
      <c r="J764" s="2" t="str">
        <f>_xlfn.XLOOKUP(E764,customers!$A$1:$A$1001,customers!$G$1:$G$1001)</f>
        <v>Ireland</v>
      </c>
      <c r="K764" t="str">
        <f>INDEX(products!$A$1:$G$49,MATCH($F764,products!$A$1:$A$49,0),MATCH(K$1,products!$A$1:$G$1,0))</f>
        <v>Exc</v>
      </c>
      <c r="L764" t="str">
        <f>INDEX(products!$A$1:$G$49,MATCH($F764,products!$A$1:$A$49,0),MATCH(L$1,products!$A$1:$G$1,0))</f>
        <v>L</v>
      </c>
      <c r="M764" s="5">
        <f>INDEX(products!$A$1:$G$49,MATCH($F764,products!$A$1:$A$49,0),MATCH(M$1,products!$A$1:$G$1,0))</f>
        <v>1</v>
      </c>
      <c r="N764" s="7">
        <f>INDEX(products!$A$1:$G$49,MATCH($F764,products!$A$1:$A$49,0),MATCH(N$1,products!$A$1:$G$1,0))</f>
        <v>14.85</v>
      </c>
      <c r="O764" s="7">
        <f t="shared" si="11"/>
        <v>14.85</v>
      </c>
      <c r="P764" t="str" cm="1">
        <f t="array" ref="P764">_xlfn.IFS(K764="Rob","Robusta",K764="Exc","Excelsa",K764="Ara","Arabica",K764="Lib","Liberica")</f>
        <v>Excelsa</v>
      </c>
      <c r="Q764" t="str" cm="1">
        <f t="array" ref="Q764">_xlfn.IFS(L764="M","Medium",L764="L","Light",L764="D","Dark")</f>
        <v>Light</v>
      </c>
      <c r="R764" t="str">
        <f>_xlfn.XLOOKUP(Orders[[#This Row],[Customer ID]],customers!$A$1:$A$1001,customers!$I$1:$I$1001)</f>
        <v>No</v>
      </c>
    </row>
    <row r="765" spans="1:18" x14ac:dyDescent="0.35">
      <c r="A765" s="2" t="s">
        <v>2543</v>
      </c>
      <c r="B765" s="4">
        <v>43582</v>
      </c>
      <c r="C765" s="23">
        <f>Orders[[#This Row],[Order Date]]</f>
        <v>43582</v>
      </c>
      <c r="D765" s="2">
        <f>YEAR(Orders[[#This Row],[Order Date]])</f>
        <v>2019</v>
      </c>
      <c r="E765" s="2" t="s">
        <v>2544</v>
      </c>
      <c r="F765" t="s">
        <v>6183</v>
      </c>
      <c r="G765" s="20">
        <v>6</v>
      </c>
      <c r="H765" s="2" t="str">
        <f>INDEX(customers!$A$1:$I$1001,MATCH($E765,customers!$A$1:$A$1001,),MATCH($H$1,customers!$A$1:$I$1,0))</f>
        <v>Parker Tofful</v>
      </c>
      <c r="I765" s="2" t="str">
        <f>IF(INDEX(customers!$A$1:$I$1001,MATCH($E765,customers!$A$1:$A$1001,0),3)=0,"",INDEX(customers!$A$1:$I$1001,MATCH($E765,customers!$A$1:$A$1001,0),3))</f>
        <v>ptoffula4@posterous.com</v>
      </c>
      <c r="J765" s="2" t="str">
        <f>_xlfn.XLOOKUP(E765,customers!$A$1:$A$1001,customers!$G$1:$G$1001)</f>
        <v>United States</v>
      </c>
      <c r="K765" t="str">
        <f>INDEX(products!$A$1:$G$49,MATCH($F765,products!$A$1:$A$49,0),MATCH(K$1,products!$A$1:$G$1,0))</f>
        <v>Exc</v>
      </c>
      <c r="L765" t="str">
        <f>INDEX(products!$A$1:$G$49,MATCH($F765,products!$A$1:$A$49,0),MATCH(L$1,products!$A$1:$G$1,0))</f>
        <v>D</v>
      </c>
      <c r="M765" s="5">
        <f>INDEX(products!$A$1:$G$49,MATCH($F765,products!$A$1:$A$49,0),MATCH(M$1,products!$A$1:$G$1,0))</f>
        <v>1</v>
      </c>
      <c r="N765" s="7">
        <f>INDEX(products!$A$1:$G$49,MATCH($F765,products!$A$1:$A$49,0),MATCH(N$1,products!$A$1:$G$1,0))</f>
        <v>12.15</v>
      </c>
      <c r="O765" s="7">
        <f t="shared" si="11"/>
        <v>72.900000000000006</v>
      </c>
      <c r="P765" t="str" cm="1">
        <f t="array" ref="P765">_xlfn.IFS(K765="Rob","Robusta",K765="Exc","Excelsa",K765="Ara","Arabica",K765="Lib","Liberica")</f>
        <v>Excelsa</v>
      </c>
      <c r="Q765" t="str" cm="1">
        <f t="array" ref="Q765">_xlfn.IFS(L765="M","Medium",L765="L","Light",L765="D","Dark")</f>
        <v>Dark</v>
      </c>
      <c r="R765" t="str">
        <f>_xlfn.XLOOKUP(Orders[[#This Row],[Customer ID]],customers!$A$1:$A$1001,customers!$I$1:$I$1001)</f>
        <v>Yes</v>
      </c>
    </row>
    <row r="766" spans="1:18" x14ac:dyDescent="0.35">
      <c r="A766" s="2" t="s">
        <v>2068</v>
      </c>
      <c r="B766" s="4">
        <v>43521</v>
      </c>
      <c r="C766" s="23">
        <f>Orders[[#This Row],[Order Date]]</f>
        <v>43521</v>
      </c>
      <c r="D766" s="2">
        <f>YEAR(Orders[[#This Row],[Order Date]])</f>
        <v>2019</v>
      </c>
      <c r="E766" s="2" t="s">
        <v>2069</v>
      </c>
      <c r="F766" t="s">
        <v>6181</v>
      </c>
      <c r="G766" s="20">
        <v>1</v>
      </c>
      <c r="H766" s="2" t="str">
        <f>INDEX(customers!$A$1:$I$1001,MATCH($E766,customers!$A$1:$A$1001,),MATCH($H$1,customers!$A$1:$I$1,0))</f>
        <v>Parsifal Metrick</v>
      </c>
      <c r="I766" s="2" t="str">
        <f>IF(INDEX(customers!$A$1:$I$1001,MATCH($E766,customers!$A$1:$A$1001,0),3)=0,"",INDEX(customers!$A$1:$I$1001,MATCH($E766,customers!$A$1:$A$1001,0),3))</f>
        <v>pmetrick7r@rakuten.co.jp</v>
      </c>
      <c r="J766" s="2" t="str">
        <f>_xlfn.XLOOKUP(E766,customers!$A$1:$A$1001,customers!$G$1:$G$1001)</f>
        <v>United States</v>
      </c>
      <c r="K766" t="str">
        <f>INDEX(products!$A$1:$G$49,MATCH($F766,products!$A$1:$A$49,0),MATCH(K$1,products!$A$1:$G$1,0))</f>
        <v>Lib</v>
      </c>
      <c r="L766" t="str">
        <f>INDEX(products!$A$1:$G$49,MATCH($F766,products!$A$1:$A$49,0),MATCH(L$1,products!$A$1:$G$1,0))</f>
        <v>M</v>
      </c>
      <c r="M766" s="5">
        <f>INDEX(products!$A$1:$G$49,MATCH($F766,products!$A$1:$A$49,0),MATCH(M$1,products!$A$1:$G$1,0))</f>
        <v>2.5</v>
      </c>
      <c r="N766" s="7">
        <f>INDEX(products!$A$1:$G$49,MATCH($F766,products!$A$1:$A$49,0),MATCH(N$1,products!$A$1:$G$1,0))</f>
        <v>33.464999999999996</v>
      </c>
      <c r="O766" s="7">
        <f t="shared" si="11"/>
        <v>33.464999999999996</v>
      </c>
      <c r="P766" t="str" cm="1">
        <f t="array" ref="P766">_xlfn.IFS(K766="Rob","Robusta",K766="Exc","Excelsa",K766="Ara","Arabica",K766="Lib","Liberica")</f>
        <v>Liberica</v>
      </c>
      <c r="Q766" t="str" cm="1">
        <f t="array" ref="Q766">_xlfn.IFS(L766="M","Medium",L766="L","Light",L766="D","Dark")</f>
        <v>Medium</v>
      </c>
      <c r="R766" t="str">
        <f>_xlfn.XLOOKUP(Orders[[#This Row],[Customer ID]],customers!$A$1:$A$1001,customers!$I$1:$I$1001)</f>
        <v>Yes</v>
      </c>
    </row>
    <row r="767" spans="1:18" x14ac:dyDescent="0.35">
      <c r="A767" s="2" t="s">
        <v>570</v>
      </c>
      <c r="B767" s="4">
        <v>44656</v>
      </c>
      <c r="C767" s="23">
        <f>Orders[[#This Row],[Order Date]]</f>
        <v>44656</v>
      </c>
      <c r="D767" s="2">
        <f>YEAR(Orders[[#This Row],[Order Date]])</f>
        <v>2022</v>
      </c>
      <c r="E767" s="2" t="s">
        <v>571</v>
      </c>
      <c r="F767" t="s">
        <v>6150</v>
      </c>
      <c r="G767" s="20">
        <v>3</v>
      </c>
      <c r="H767" s="2" t="str">
        <f>INDEX(customers!$A$1:$I$1001,MATCH($E767,customers!$A$1:$A$1001,),MATCH($H$1,customers!$A$1:$I$1,0))</f>
        <v>Patrice Trobe</v>
      </c>
      <c r="I767" s="2" t="str">
        <f>IF(INDEX(customers!$A$1:$I$1001,MATCH($E767,customers!$A$1:$A$1001,0),3)=0,"",INDEX(customers!$A$1:$I$1001,MATCH($E767,customers!$A$1:$A$1001,0),3))</f>
        <v>ptrobee@wunderground.com</v>
      </c>
      <c r="J767" s="2" t="str">
        <f>_xlfn.XLOOKUP(E767,customers!$A$1:$A$1001,customers!$G$1:$G$1001)</f>
        <v>United States</v>
      </c>
      <c r="K767" t="str">
        <f>INDEX(products!$A$1:$G$49,MATCH($F767,products!$A$1:$A$49,0),MATCH(K$1,products!$A$1:$G$1,0))</f>
        <v>Lib</v>
      </c>
      <c r="L767" t="str">
        <f>INDEX(products!$A$1:$G$49,MATCH($F767,products!$A$1:$A$49,0),MATCH(L$1,products!$A$1:$G$1,0))</f>
        <v>D</v>
      </c>
      <c r="M767" s="5">
        <f>INDEX(products!$A$1:$G$49,MATCH($F767,products!$A$1:$A$49,0),MATCH(M$1,products!$A$1:$G$1,0))</f>
        <v>0.2</v>
      </c>
      <c r="N767" s="7">
        <f>INDEX(products!$A$1:$G$49,MATCH($F767,products!$A$1:$A$49,0),MATCH(N$1,products!$A$1:$G$1,0))</f>
        <v>3.8849999999999998</v>
      </c>
      <c r="O767" s="7">
        <f t="shared" si="11"/>
        <v>11.654999999999999</v>
      </c>
      <c r="P767" t="str" cm="1">
        <f t="array" ref="P767">_xlfn.IFS(K767="Rob","Robusta",K767="Exc","Excelsa",K767="Ara","Arabica",K767="Lib","Liberica")</f>
        <v>Liberica</v>
      </c>
      <c r="Q767" t="str" cm="1">
        <f t="array" ref="Q767">_xlfn.IFS(L767="M","Medium",L767="L","Light",L767="D","Dark")</f>
        <v>Dark</v>
      </c>
      <c r="R767" t="str">
        <f>_xlfn.XLOOKUP(Orders[[#This Row],[Customer ID]],customers!$A$1:$A$1001,customers!$I$1:$I$1001)</f>
        <v>Yes</v>
      </c>
    </row>
    <row r="768" spans="1:18" x14ac:dyDescent="0.35">
      <c r="A768" s="2" t="s">
        <v>5537</v>
      </c>
      <c r="B768" s="4">
        <v>43635</v>
      </c>
      <c r="C768" s="23">
        <f>Orders[[#This Row],[Order Date]]</f>
        <v>43635</v>
      </c>
      <c r="D768" s="2">
        <f>YEAR(Orders[[#This Row],[Order Date]])</f>
        <v>2019</v>
      </c>
      <c r="E768" s="2" t="s">
        <v>5538</v>
      </c>
      <c r="F768" t="s">
        <v>6156</v>
      </c>
      <c r="G768" s="20">
        <v>5</v>
      </c>
      <c r="H768" s="2" t="str">
        <f>INDEX(customers!$A$1:$I$1001,MATCH($E768,customers!$A$1:$A$1001,),MATCH($H$1,customers!$A$1:$I$1,0))</f>
        <v>Patsy Vasilenko</v>
      </c>
      <c r="I768" s="2" t="str">
        <f>IF(INDEX(customers!$A$1:$I$1001,MATCH($E768,customers!$A$1:$A$1001,0),3)=0,"",INDEX(customers!$A$1:$I$1001,MATCH($E768,customers!$A$1:$A$1001,0),3))</f>
        <v>pvasilenkoos@addtoany.com</v>
      </c>
      <c r="J768" s="2" t="str">
        <f>_xlfn.XLOOKUP(E768,customers!$A$1:$A$1001,customers!$G$1:$G$1001)</f>
        <v>United Kingdom</v>
      </c>
      <c r="K768" t="str">
        <f>INDEX(products!$A$1:$G$49,MATCH($F768,products!$A$1:$A$49,0),MATCH(K$1,products!$A$1:$G$1,0))</f>
        <v>Exc</v>
      </c>
      <c r="L768" t="str">
        <f>INDEX(products!$A$1:$G$49,MATCH($F768,products!$A$1:$A$49,0),MATCH(L$1,products!$A$1:$G$1,0))</f>
        <v>M</v>
      </c>
      <c r="M768" s="5">
        <f>INDEX(products!$A$1:$G$49,MATCH($F768,products!$A$1:$A$49,0),MATCH(M$1,products!$A$1:$G$1,0))</f>
        <v>0.2</v>
      </c>
      <c r="N768" s="7">
        <f>INDEX(products!$A$1:$G$49,MATCH($F768,products!$A$1:$A$49,0),MATCH(N$1,products!$A$1:$G$1,0))</f>
        <v>4.125</v>
      </c>
      <c r="O768" s="7">
        <f t="shared" si="11"/>
        <v>20.625</v>
      </c>
      <c r="P768" t="str" cm="1">
        <f t="array" ref="P768">_xlfn.IFS(K768="Rob","Robusta",K768="Exc","Excelsa",K768="Ara","Arabica",K768="Lib","Liberica")</f>
        <v>Excelsa</v>
      </c>
      <c r="Q768" t="str" cm="1">
        <f t="array" ref="Q768">_xlfn.IFS(L768="M","Medium",L768="L","Light",L768="D","Dark")</f>
        <v>Medium</v>
      </c>
      <c r="R768" t="str">
        <f>_xlfn.XLOOKUP(Orders[[#This Row],[Customer ID]],customers!$A$1:$A$1001,customers!$I$1:$I$1001)</f>
        <v>No</v>
      </c>
    </row>
    <row r="769" spans="1:18" x14ac:dyDescent="0.35">
      <c r="A769" s="2" t="s">
        <v>2839</v>
      </c>
      <c r="B769" s="4">
        <v>44457</v>
      </c>
      <c r="C769" s="23">
        <f>Orders[[#This Row],[Order Date]]</f>
        <v>44457</v>
      </c>
      <c r="D769" s="2">
        <f>YEAR(Orders[[#This Row],[Order Date]])</f>
        <v>2021</v>
      </c>
      <c r="E769" s="2" t="s">
        <v>2840</v>
      </c>
      <c r="F769" t="s">
        <v>6182</v>
      </c>
      <c r="G769" s="20">
        <v>1</v>
      </c>
      <c r="H769" s="2" t="str">
        <f>INDEX(customers!$A$1:$I$1001,MATCH($E769,customers!$A$1:$A$1001,),MATCH($H$1,customers!$A$1:$I$1,0))</f>
        <v>Paula Denis</v>
      </c>
      <c r="I769" s="2" t="str">
        <f>IF(INDEX(customers!$A$1:$I$1001,MATCH($E769,customers!$A$1:$A$1001,0),3)=0,"",INDEX(customers!$A$1:$I$1001,MATCH($E769,customers!$A$1:$A$1001,0),3))</f>
        <v/>
      </c>
      <c r="J769" s="2" t="str">
        <f>_xlfn.XLOOKUP(E769,customers!$A$1:$A$1001,customers!$G$1:$G$1001)</f>
        <v>United States</v>
      </c>
      <c r="K769" t="str">
        <f>INDEX(products!$A$1:$G$49,MATCH($F769,products!$A$1:$A$49,0),MATCH(K$1,products!$A$1:$G$1,0))</f>
        <v>Ara</v>
      </c>
      <c r="L769" t="str">
        <f>INDEX(products!$A$1:$G$49,MATCH($F769,products!$A$1:$A$49,0),MATCH(L$1,products!$A$1:$G$1,0))</f>
        <v>L</v>
      </c>
      <c r="M769" s="5">
        <f>INDEX(products!$A$1:$G$49,MATCH($F769,products!$A$1:$A$49,0),MATCH(M$1,products!$A$1:$G$1,0))</f>
        <v>2.5</v>
      </c>
      <c r="N769" s="7">
        <f>INDEX(products!$A$1:$G$49,MATCH($F769,products!$A$1:$A$49,0),MATCH(N$1,products!$A$1:$G$1,0))</f>
        <v>29.784999999999997</v>
      </c>
      <c r="O769" s="7">
        <f t="shared" si="11"/>
        <v>29.784999999999997</v>
      </c>
      <c r="P769" t="str" cm="1">
        <f t="array" ref="P769">_xlfn.IFS(K769="Rob","Robusta",K769="Exc","Excelsa",K769="Ara","Arabica",K769="Lib","Liberica")</f>
        <v>Arabica</v>
      </c>
      <c r="Q769" t="str" cm="1">
        <f t="array" ref="Q769">_xlfn.IFS(L769="M","Medium",L769="L","Light",L769="D","Dark")</f>
        <v>Light</v>
      </c>
      <c r="R769" t="str">
        <f>_xlfn.XLOOKUP(Orders[[#This Row],[Customer ID]],customers!$A$1:$A$1001,customers!$I$1:$I$1001)</f>
        <v>Yes</v>
      </c>
    </row>
    <row r="770" spans="1:18" x14ac:dyDescent="0.35">
      <c r="A770" s="2" t="s">
        <v>5649</v>
      </c>
      <c r="B770" s="4">
        <v>43726</v>
      </c>
      <c r="C770" s="23">
        <f>Orders[[#This Row],[Order Date]]</f>
        <v>43726</v>
      </c>
      <c r="D770" s="2">
        <f>YEAR(Orders[[#This Row],[Order Date]])</f>
        <v>2019</v>
      </c>
      <c r="E770" s="2" t="s">
        <v>5650</v>
      </c>
      <c r="F770" t="s">
        <v>6151</v>
      </c>
      <c r="G770" s="20">
        <v>6</v>
      </c>
      <c r="H770" s="2" t="str">
        <f>INDEX(customers!$A$1:$I$1001,MATCH($E770,customers!$A$1:$A$1001,),MATCH($H$1,customers!$A$1:$I$1,0))</f>
        <v>Paulie Fonzone</v>
      </c>
      <c r="I770" s="2" t="str">
        <f>IF(INDEX(customers!$A$1:$I$1001,MATCH($E770,customers!$A$1:$A$1001,0),3)=0,"",INDEX(customers!$A$1:$I$1001,MATCH($E770,customers!$A$1:$A$1001,0),3))</f>
        <v/>
      </c>
      <c r="J770" s="2" t="str">
        <f>_xlfn.XLOOKUP(E770,customers!$A$1:$A$1001,customers!$G$1:$G$1001)</f>
        <v>United States</v>
      </c>
      <c r="K770" t="str">
        <f>INDEX(products!$A$1:$G$49,MATCH($F770,products!$A$1:$A$49,0),MATCH(K$1,products!$A$1:$G$1,0))</f>
        <v>Rob</v>
      </c>
      <c r="L770" t="str">
        <f>INDEX(products!$A$1:$G$49,MATCH($F770,products!$A$1:$A$49,0),MATCH(L$1,products!$A$1:$G$1,0))</f>
        <v>M</v>
      </c>
      <c r="M770" s="5">
        <f>INDEX(products!$A$1:$G$49,MATCH($F770,products!$A$1:$A$49,0),MATCH(M$1,products!$A$1:$G$1,0))</f>
        <v>2.5</v>
      </c>
      <c r="N770" s="7">
        <f>INDEX(products!$A$1:$G$49,MATCH($F770,products!$A$1:$A$49,0),MATCH(N$1,products!$A$1:$G$1,0))</f>
        <v>22.884999999999998</v>
      </c>
      <c r="O770" s="7">
        <f t="shared" ref="O770:O833" si="12">N770*G770</f>
        <v>137.31</v>
      </c>
      <c r="P770" t="str" cm="1">
        <f t="array" ref="P770">_xlfn.IFS(K770="Rob","Robusta",K770="Exc","Excelsa",K770="Ara","Arabica",K770="Lib","Liberica")</f>
        <v>Robusta</v>
      </c>
      <c r="Q770" t="str" cm="1">
        <f t="array" ref="Q770">_xlfn.IFS(L770="M","Medium",L770="L","Light",L770="D","Dark")</f>
        <v>Medium</v>
      </c>
      <c r="R770" t="str">
        <f>_xlfn.XLOOKUP(Orders[[#This Row],[Customer ID]],customers!$A$1:$A$1001,customers!$I$1:$I$1001)</f>
        <v>Yes</v>
      </c>
    </row>
    <row r="771" spans="1:18" x14ac:dyDescent="0.35">
      <c r="A771" s="2" t="s">
        <v>1373</v>
      </c>
      <c r="B771" s="4">
        <v>44374</v>
      </c>
      <c r="C771" s="23">
        <f>Orders[[#This Row],[Order Date]]</f>
        <v>44374</v>
      </c>
      <c r="D771" s="2">
        <f>YEAR(Orders[[#This Row],[Order Date]])</f>
        <v>2021</v>
      </c>
      <c r="E771" s="2" t="s">
        <v>1374</v>
      </c>
      <c r="F771" t="s">
        <v>6149</v>
      </c>
      <c r="G771" s="20">
        <v>3</v>
      </c>
      <c r="H771" s="2" t="str">
        <f>INDEX(customers!$A$1:$I$1001,MATCH($E771,customers!$A$1:$A$1001,),MATCH($H$1,customers!$A$1:$I$1,0))</f>
        <v>Paulo Yea</v>
      </c>
      <c r="I771" s="2" t="str">
        <f>IF(INDEX(customers!$A$1:$I$1001,MATCH($E771,customers!$A$1:$A$1001,0),3)=0,"",INDEX(customers!$A$1:$I$1001,MATCH($E771,customers!$A$1:$A$1001,0),3))</f>
        <v>pyea4d@aol.com</v>
      </c>
      <c r="J771" s="2" t="str">
        <f>_xlfn.XLOOKUP(E771,customers!$A$1:$A$1001,customers!$G$1:$G$1001)</f>
        <v>Ireland</v>
      </c>
      <c r="K771" t="str">
        <f>INDEX(products!$A$1:$G$49,MATCH($F771,products!$A$1:$A$49,0),MATCH(K$1,products!$A$1:$G$1,0))</f>
        <v>Rob</v>
      </c>
      <c r="L771" t="str">
        <f>INDEX(products!$A$1:$G$49,MATCH($F771,products!$A$1:$A$49,0),MATCH(L$1,products!$A$1:$G$1,0))</f>
        <v>D</v>
      </c>
      <c r="M771" s="5">
        <f>INDEX(products!$A$1:$G$49,MATCH($F771,products!$A$1:$A$49,0),MATCH(M$1,products!$A$1:$G$1,0))</f>
        <v>2.5</v>
      </c>
      <c r="N771" s="7">
        <f>INDEX(products!$A$1:$G$49,MATCH($F771,products!$A$1:$A$49,0),MATCH(N$1,products!$A$1:$G$1,0))</f>
        <v>20.584999999999997</v>
      </c>
      <c r="O771" s="7">
        <f t="shared" si="12"/>
        <v>61.754999999999995</v>
      </c>
      <c r="P771" t="str" cm="1">
        <f t="array" ref="P771">_xlfn.IFS(K771="Rob","Robusta",K771="Exc","Excelsa",K771="Ara","Arabica",K771="Lib","Liberica")</f>
        <v>Robusta</v>
      </c>
      <c r="Q771" t="str" cm="1">
        <f t="array" ref="Q771">_xlfn.IFS(L771="M","Medium",L771="L","Light",L771="D","Dark")</f>
        <v>Dark</v>
      </c>
      <c r="R771" t="str">
        <f>_xlfn.XLOOKUP(Orders[[#This Row],[Customer ID]],customers!$A$1:$A$1001,customers!$I$1:$I$1001)</f>
        <v>No</v>
      </c>
    </row>
    <row r="772" spans="1:18" x14ac:dyDescent="0.35">
      <c r="A772" s="2" t="s">
        <v>1089</v>
      </c>
      <c r="B772" s="4">
        <v>43569</v>
      </c>
      <c r="C772" s="23">
        <f>Orders[[#This Row],[Order Date]]</f>
        <v>43569</v>
      </c>
      <c r="D772" s="2">
        <f>YEAR(Orders[[#This Row],[Order Date]])</f>
        <v>2019</v>
      </c>
      <c r="E772" s="2" t="s">
        <v>1090</v>
      </c>
      <c r="F772" t="s">
        <v>6146</v>
      </c>
      <c r="G772" s="20">
        <v>3</v>
      </c>
      <c r="H772" s="2" t="str">
        <f>INDEX(customers!$A$1:$I$1001,MATCH($E772,customers!$A$1:$A$1001,),MATCH($H$1,customers!$A$1:$I$1,0))</f>
        <v>Pen Wye</v>
      </c>
      <c r="I772" s="2" t="str">
        <f>IF(INDEX(customers!$A$1:$I$1001,MATCH($E772,customers!$A$1:$A$1001,0),3)=0,"",INDEX(customers!$A$1:$I$1001,MATCH($E772,customers!$A$1:$A$1001,0),3))</f>
        <v>pwye2z@dagondesign.com</v>
      </c>
      <c r="J772" s="2" t="str">
        <f>_xlfn.XLOOKUP(E772,customers!$A$1:$A$1001,customers!$G$1:$G$1001)</f>
        <v>United States</v>
      </c>
      <c r="K772" t="str">
        <f>INDEX(products!$A$1:$G$49,MATCH($F772,products!$A$1:$A$49,0),MATCH(K$1,products!$A$1:$G$1,0))</f>
        <v>Rob</v>
      </c>
      <c r="L772" t="str">
        <f>INDEX(products!$A$1:$G$49,MATCH($F772,products!$A$1:$A$49,0),MATCH(L$1,products!$A$1:$G$1,0))</f>
        <v>M</v>
      </c>
      <c r="M772" s="5">
        <f>INDEX(products!$A$1:$G$49,MATCH($F772,products!$A$1:$A$49,0),MATCH(M$1,products!$A$1:$G$1,0))</f>
        <v>0.5</v>
      </c>
      <c r="N772" s="7">
        <f>INDEX(products!$A$1:$G$49,MATCH($F772,products!$A$1:$A$49,0),MATCH(N$1,products!$A$1:$G$1,0))</f>
        <v>5.97</v>
      </c>
      <c r="O772" s="7">
        <f t="shared" si="12"/>
        <v>17.91</v>
      </c>
      <c r="P772" t="str" cm="1">
        <f t="array" ref="P772">_xlfn.IFS(K772="Rob","Robusta",K772="Exc","Excelsa",K772="Ara","Arabica",K772="Lib","Liberica")</f>
        <v>Robusta</v>
      </c>
      <c r="Q772" t="str" cm="1">
        <f t="array" ref="Q772">_xlfn.IFS(L772="M","Medium",L772="L","Light",L772="D","Dark")</f>
        <v>Medium</v>
      </c>
      <c r="R772" t="str">
        <f>_xlfn.XLOOKUP(Orders[[#This Row],[Customer ID]],customers!$A$1:$A$1001,customers!$I$1:$I$1001)</f>
        <v>Yes</v>
      </c>
    </row>
    <row r="773" spans="1:18" x14ac:dyDescent="0.35">
      <c r="A773" s="2" t="s">
        <v>5299</v>
      </c>
      <c r="B773" s="4">
        <v>43900</v>
      </c>
      <c r="C773" s="23">
        <f>Orders[[#This Row],[Order Date]]</f>
        <v>43900</v>
      </c>
      <c r="D773" s="2">
        <f>YEAR(Orders[[#This Row],[Order Date]])</f>
        <v>2020</v>
      </c>
      <c r="E773" s="2" t="s">
        <v>5300</v>
      </c>
      <c r="F773" t="s">
        <v>6169</v>
      </c>
      <c r="G773" s="20">
        <v>1</v>
      </c>
      <c r="H773" s="2" t="str">
        <f>INDEX(customers!$A$1:$I$1001,MATCH($E773,customers!$A$1:$A$1001,),MATCH($H$1,customers!$A$1:$I$1,0))</f>
        <v>Perice Eberz</v>
      </c>
      <c r="I773" s="2" t="str">
        <f>IF(INDEX(customers!$A$1:$I$1001,MATCH($E773,customers!$A$1:$A$1001,0),3)=0,"",INDEX(customers!$A$1:$I$1001,MATCH($E773,customers!$A$1:$A$1001,0),3))</f>
        <v>peberznn@woothemes.com</v>
      </c>
      <c r="J773" s="2" t="str">
        <f>_xlfn.XLOOKUP(E773,customers!$A$1:$A$1001,customers!$G$1:$G$1001)</f>
        <v>United States</v>
      </c>
      <c r="K773" t="str">
        <f>INDEX(products!$A$1:$G$49,MATCH($F773,products!$A$1:$A$49,0),MATCH(K$1,products!$A$1:$G$1,0))</f>
        <v>Lib</v>
      </c>
      <c r="L773" t="str">
        <f>INDEX(products!$A$1:$G$49,MATCH($F773,products!$A$1:$A$49,0),MATCH(L$1,products!$A$1:$G$1,0))</f>
        <v>D</v>
      </c>
      <c r="M773" s="5">
        <f>INDEX(products!$A$1:$G$49,MATCH($F773,products!$A$1:$A$49,0),MATCH(M$1,products!$A$1:$G$1,0))</f>
        <v>0.5</v>
      </c>
      <c r="N773" s="7">
        <f>INDEX(products!$A$1:$G$49,MATCH($F773,products!$A$1:$A$49,0),MATCH(N$1,products!$A$1:$G$1,0))</f>
        <v>7.77</v>
      </c>
      <c r="O773" s="7">
        <f t="shared" si="12"/>
        <v>7.77</v>
      </c>
      <c r="P773" t="str" cm="1">
        <f t="array" ref="P773">_xlfn.IFS(K773="Rob","Robusta",K773="Exc","Excelsa",K773="Ara","Arabica",K773="Lib","Liberica")</f>
        <v>Liberica</v>
      </c>
      <c r="Q773" t="str" cm="1">
        <f t="array" ref="Q773">_xlfn.IFS(L773="M","Medium",L773="L","Light",L773="D","Dark")</f>
        <v>Dark</v>
      </c>
      <c r="R773" t="str">
        <f>_xlfn.XLOOKUP(Orders[[#This Row],[Customer ID]],customers!$A$1:$A$1001,customers!$I$1:$I$1001)</f>
        <v>Yes</v>
      </c>
    </row>
    <row r="774" spans="1:18" x14ac:dyDescent="0.35">
      <c r="A774" s="2" t="s">
        <v>2193</v>
      </c>
      <c r="B774" s="4">
        <v>43762</v>
      </c>
      <c r="C774" s="23">
        <f>Orders[[#This Row],[Order Date]]</f>
        <v>43762</v>
      </c>
      <c r="D774" s="2">
        <f>YEAR(Orders[[#This Row],[Order Date]])</f>
        <v>2019</v>
      </c>
      <c r="E774" s="2" t="s">
        <v>2194</v>
      </c>
      <c r="F774" t="s">
        <v>6157</v>
      </c>
      <c r="G774" s="20">
        <v>1</v>
      </c>
      <c r="H774" s="2" t="str">
        <f>INDEX(customers!$A$1:$I$1001,MATCH($E774,customers!$A$1:$A$1001,),MATCH($H$1,customers!$A$1:$I$1,0))</f>
        <v>Perkin Stonner</v>
      </c>
      <c r="I774" s="2" t="str">
        <f>IF(INDEX(customers!$A$1:$I$1001,MATCH($E774,customers!$A$1:$A$1001,0),3)=0,"",INDEX(customers!$A$1:$I$1001,MATCH($E774,customers!$A$1:$A$1001,0),3))</f>
        <v>pstonner8e@moonfruit.com</v>
      </c>
      <c r="J774" s="2" t="str">
        <f>_xlfn.XLOOKUP(E774,customers!$A$1:$A$1001,customers!$G$1:$G$1001)</f>
        <v>United States</v>
      </c>
      <c r="K774" t="str">
        <f>INDEX(products!$A$1:$G$49,MATCH($F774,products!$A$1:$A$49,0),MATCH(K$1,products!$A$1:$G$1,0))</f>
        <v>Ara</v>
      </c>
      <c r="L774" t="str">
        <f>INDEX(products!$A$1:$G$49,MATCH($F774,products!$A$1:$A$49,0),MATCH(L$1,products!$A$1:$G$1,0))</f>
        <v>M</v>
      </c>
      <c r="M774" s="5">
        <f>INDEX(products!$A$1:$G$49,MATCH($F774,products!$A$1:$A$49,0),MATCH(M$1,products!$A$1:$G$1,0))</f>
        <v>0.5</v>
      </c>
      <c r="N774" s="7">
        <f>INDEX(products!$A$1:$G$49,MATCH($F774,products!$A$1:$A$49,0),MATCH(N$1,products!$A$1:$G$1,0))</f>
        <v>6.75</v>
      </c>
      <c r="O774" s="7">
        <f t="shared" si="12"/>
        <v>6.75</v>
      </c>
      <c r="P774" t="str" cm="1">
        <f t="array" ref="P774">_xlfn.IFS(K774="Rob","Robusta",K774="Exc","Excelsa",K774="Ara","Arabica",K774="Lib","Liberica")</f>
        <v>Arabica</v>
      </c>
      <c r="Q774" t="str" cm="1">
        <f t="array" ref="Q774">_xlfn.IFS(L774="M","Medium",L774="L","Light",L774="D","Dark")</f>
        <v>Medium</v>
      </c>
      <c r="R774" t="str">
        <f>_xlfn.XLOOKUP(Orders[[#This Row],[Customer ID]],customers!$A$1:$A$1001,customers!$I$1:$I$1001)</f>
        <v>No</v>
      </c>
    </row>
    <row r="775" spans="1:18" x14ac:dyDescent="0.35">
      <c r="A775" s="2" t="s">
        <v>3355</v>
      </c>
      <c r="B775" s="4">
        <v>43516</v>
      </c>
      <c r="C775" s="23">
        <f>Orders[[#This Row],[Order Date]]</f>
        <v>43516</v>
      </c>
      <c r="D775" s="2">
        <f>YEAR(Orders[[#This Row],[Order Date]])</f>
        <v>2019</v>
      </c>
      <c r="E775" s="2" t="s">
        <v>3356</v>
      </c>
      <c r="F775" t="s">
        <v>6182</v>
      </c>
      <c r="G775" s="20">
        <v>3</v>
      </c>
      <c r="H775" s="2" t="str">
        <f>INDEX(customers!$A$1:$I$1001,MATCH($E775,customers!$A$1:$A$1001,),MATCH($H$1,customers!$A$1:$I$1,0))</f>
        <v>Perry Lyfield</v>
      </c>
      <c r="I775" s="2" t="str">
        <f>IF(INDEX(customers!$A$1:$I$1001,MATCH($E775,customers!$A$1:$A$1001,0),3)=0,"",INDEX(customers!$A$1:$I$1001,MATCH($E775,customers!$A$1:$A$1001,0),3))</f>
        <v>plyfielde3@baidu.com</v>
      </c>
      <c r="J775" s="2" t="str">
        <f>_xlfn.XLOOKUP(E775,customers!$A$1:$A$1001,customers!$G$1:$G$1001)</f>
        <v>United States</v>
      </c>
      <c r="K775" t="str">
        <f>INDEX(products!$A$1:$G$49,MATCH($F775,products!$A$1:$A$49,0),MATCH(K$1,products!$A$1:$G$1,0))</f>
        <v>Ara</v>
      </c>
      <c r="L775" t="str">
        <f>INDEX(products!$A$1:$G$49,MATCH($F775,products!$A$1:$A$49,0),MATCH(L$1,products!$A$1:$G$1,0))</f>
        <v>L</v>
      </c>
      <c r="M775" s="5">
        <f>INDEX(products!$A$1:$G$49,MATCH($F775,products!$A$1:$A$49,0),MATCH(M$1,products!$A$1:$G$1,0))</f>
        <v>2.5</v>
      </c>
      <c r="N775" s="7">
        <f>INDEX(products!$A$1:$G$49,MATCH($F775,products!$A$1:$A$49,0),MATCH(N$1,products!$A$1:$G$1,0))</f>
        <v>29.784999999999997</v>
      </c>
      <c r="O775" s="7">
        <f t="shared" si="12"/>
        <v>89.35499999999999</v>
      </c>
      <c r="P775" t="str" cm="1">
        <f t="array" ref="P775">_xlfn.IFS(K775="Rob","Robusta",K775="Exc","Excelsa",K775="Ara","Arabica",K775="Lib","Liberica")</f>
        <v>Arabica</v>
      </c>
      <c r="Q775" t="str" cm="1">
        <f t="array" ref="Q775">_xlfn.IFS(L775="M","Medium",L775="L","Light",L775="D","Dark")</f>
        <v>Light</v>
      </c>
      <c r="R775" t="str">
        <f>_xlfn.XLOOKUP(Orders[[#This Row],[Customer ID]],customers!$A$1:$A$1001,customers!$I$1:$I$1001)</f>
        <v>Yes</v>
      </c>
    </row>
    <row r="776" spans="1:18" x14ac:dyDescent="0.35">
      <c r="A776" s="2" t="s">
        <v>744</v>
      </c>
      <c r="B776" s="4">
        <v>44592</v>
      </c>
      <c r="C776" s="23">
        <f>Orders[[#This Row],[Order Date]]</f>
        <v>44592</v>
      </c>
      <c r="D776" s="2">
        <f>YEAR(Orders[[#This Row],[Order Date]])</f>
        <v>2022</v>
      </c>
      <c r="E776" s="2" t="s">
        <v>745</v>
      </c>
      <c r="F776" t="s">
        <v>6165</v>
      </c>
      <c r="G776" s="20">
        <v>6</v>
      </c>
      <c r="H776" s="2" t="str">
        <f>INDEX(customers!$A$1:$I$1001,MATCH($E776,customers!$A$1:$A$1001,),MATCH($H$1,customers!$A$1:$I$1,0))</f>
        <v>Petey Kingsbury</v>
      </c>
      <c r="I776" s="2" t="str">
        <f>IF(INDEX(customers!$A$1:$I$1001,MATCH($E776,customers!$A$1:$A$1001,0),3)=0,"",INDEX(customers!$A$1:$I$1001,MATCH($E776,customers!$A$1:$A$1001,0),3))</f>
        <v>pkingsbury19@comcast.net</v>
      </c>
      <c r="J776" s="2" t="str">
        <f>_xlfn.XLOOKUP(E776,customers!$A$1:$A$1001,customers!$G$1:$G$1001)</f>
        <v>United States</v>
      </c>
      <c r="K776" t="str">
        <f>INDEX(products!$A$1:$G$49,MATCH($F776,products!$A$1:$A$49,0),MATCH(K$1,products!$A$1:$G$1,0))</f>
        <v>Lib</v>
      </c>
      <c r="L776" t="str">
        <f>INDEX(products!$A$1:$G$49,MATCH($F776,products!$A$1:$A$49,0),MATCH(L$1,products!$A$1:$G$1,0))</f>
        <v>D</v>
      </c>
      <c r="M776" s="5">
        <f>INDEX(products!$A$1:$G$49,MATCH($F776,products!$A$1:$A$49,0),MATCH(M$1,products!$A$1:$G$1,0))</f>
        <v>2.5</v>
      </c>
      <c r="N776" s="7">
        <f>INDEX(products!$A$1:$G$49,MATCH($F776,products!$A$1:$A$49,0),MATCH(N$1,products!$A$1:$G$1,0))</f>
        <v>29.784999999999997</v>
      </c>
      <c r="O776" s="7">
        <f t="shared" si="12"/>
        <v>178.70999999999998</v>
      </c>
      <c r="P776" t="str" cm="1">
        <f t="array" ref="P776">_xlfn.IFS(K776="Rob","Robusta",K776="Exc","Excelsa",K776="Ara","Arabica",K776="Lib","Liberica")</f>
        <v>Liberica</v>
      </c>
      <c r="Q776" t="str" cm="1">
        <f t="array" ref="Q776">_xlfn.IFS(L776="M","Medium",L776="L","Light",L776="D","Dark")</f>
        <v>Dark</v>
      </c>
      <c r="R776" t="str">
        <f>_xlfn.XLOOKUP(Orders[[#This Row],[Customer ID]],customers!$A$1:$A$1001,customers!$I$1:$I$1001)</f>
        <v>No</v>
      </c>
    </row>
    <row r="777" spans="1:18" x14ac:dyDescent="0.35">
      <c r="A777" s="2" t="s">
        <v>3877</v>
      </c>
      <c r="B777" s="4">
        <v>44492</v>
      </c>
      <c r="C777" s="23">
        <f>Orders[[#This Row],[Order Date]]</f>
        <v>44492</v>
      </c>
      <c r="D777" s="2">
        <f>YEAR(Orders[[#This Row],[Order Date]])</f>
        <v>2021</v>
      </c>
      <c r="E777" s="2" t="s">
        <v>3878</v>
      </c>
      <c r="F777" t="s">
        <v>6169</v>
      </c>
      <c r="G777" s="20">
        <v>1</v>
      </c>
      <c r="H777" s="2" t="str">
        <f>INDEX(customers!$A$1:$I$1001,MATCH($E777,customers!$A$1:$A$1001,),MATCH($H$1,customers!$A$1:$I$1,0))</f>
        <v>Peyter Lauritzen</v>
      </c>
      <c r="I777" s="2" t="str">
        <f>IF(INDEX(customers!$A$1:$I$1001,MATCH($E777,customers!$A$1:$A$1001,0),3)=0,"",INDEX(customers!$A$1:$I$1001,MATCH($E777,customers!$A$1:$A$1001,0),3))</f>
        <v>plauritzengo@photobucket.com</v>
      </c>
      <c r="J777" s="2" t="str">
        <f>_xlfn.XLOOKUP(E777,customers!$A$1:$A$1001,customers!$G$1:$G$1001)</f>
        <v>United States</v>
      </c>
      <c r="K777" t="str">
        <f>INDEX(products!$A$1:$G$49,MATCH($F777,products!$A$1:$A$49,0),MATCH(K$1,products!$A$1:$G$1,0))</f>
        <v>Lib</v>
      </c>
      <c r="L777" t="str">
        <f>INDEX(products!$A$1:$G$49,MATCH($F777,products!$A$1:$A$49,0),MATCH(L$1,products!$A$1:$G$1,0))</f>
        <v>D</v>
      </c>
      <c r="M777" s="5">
        <f>INDEX(products!$A$1:$G$49,MATCH($F777,products!$A$1:$A$49,0),MATCH(M$1,products!$A$1:$G$1,0))</f>
        <v>0.5</v>
      </c>
      <c r="N777" s="7">
        <f>INDEX(products!$A$1:$G$49,MATCH($F777,products!$A$1:$A$49,0),MATCH(N$1,products!$A$1:$G$1,0))</f>
        <v>7.77</v>
      </c>
      <c r="O777" s="7">
        <f t="shared" si="12"/>
        <v>7.77</v>
      </c>
      <c r="P777" t="str" cm="1">
        <f t="array" ref="P777">_xlfn.IFS(K777="Rob","Robusta",K777="Exc","Excelsa",K777="Ara","Arabica",K777="Lib","Liberica")</f>
        <v>Liberica</v>
      </c>
      <c r="Q777" t="str" cm="1">
        <f t="array" ref="Q777">_xlfn.IFS(L777="M","Medium",L777="L","Light",L777="D","Dark")</f>
        <v>Dark</v>
      </c>
      <c r="R777" t="str">
        <f>_xlfn.XLOOKUP(Orders[[#This Row],[Customer ID]],customers!$A$1:$A$1001,customers!$I$1:$I$1001)</f>
        <v>No</v>
      </c>
    </row>
    <row r="778" spans="1:18" x14ac:dyDescent="0.35">
      <c r="A778" s="2" t="s">
        <v>5413</v>
      </c>
      <c r="B778" s="4">
        <v>43707</v>
      </c>
      <c r="C778" s="23">
        <f>Orders[[#This Row],[Order Date]]</f>
        <v>43707</v>
      </c>
      <c r="D778" s="2">
        <f>YEAR(Orders[[#This Row],[Order Date]])</f>
        <v>2019</v>
      </c>
      <c r="E778" s="2" t="s">
        <v>5414</v>
      </c>
      <c r="F778" t="s">
        <v>6171</v>
      </c>
      <c r="G778" s="20">
        <v>2</v>
      </c>
      <c r="H778" s="2" t="str">
        <f>INDEX(customers!$A$1:$I$1001,MATCH($E778,customers!$A$1:$A$1001,),MATCH($H$1,customers!$A$1:$I$1,0))</f>
        <v>Peyter Matignon</v>
      </c>
      <c r="I778" s="2" t="str">
        <f>IF(INDEX(customers!$A$1:$I$1001,MATCH($E778,customers!$A$1:$A$1001,0),3)=0,"",INDEX(customers!$A$1:$I$1001,MATCH($E778,customers!$A$1:$A$1001,0),3))</f>
        <v>pmatignono7@harvard.edu</v>
      </c>
      <c r="J778" s="2" t="str">
        <f>_xlfn.XLOOKUP(E778,customers!$A$1:$A$1001,customers!$G$1:$G$1001)</f>
        <v>United Kingdom</v>
      </c>
      <c r="K778" t="str">
        <f>INDEX(products!$A$1:$G$49,MATCH($F778,products!$A$1:$A$49,0),MATCH(K$1,products!$A$1:$G$1,0))</f>
        <v>Exc</v>
      </c>
      <c r="L778" t="str">
        <f>INDEX(products!$A$1:$G$49,MATCH($F778,products!$A$1:$A$49,0),MATCH(L$1,products!$A$1:$G$1,0))</f>
        <v>L</v>
      </c>
      <c r="M778" s="5">
        <f>INDEX(products!$A$1:$G$49,MATCH($F778,products!$A$1:$A$49,0),MATCH(M$1,products!$A$1:$G$1,0))</f>
        <v>1</v>
      </c>
      <c r="N778" s="7">
        <f>INDEX(products!$A$1:$G$49,MATCH($F778,products!$A$1:$A$49,0),MATCH(N$1,products!$A$1:$G$1,0))</f>
        <v>14.85</v>
      </c>
      <c r="O778" s="7">
        <f t="shared" si="12"/>
        <v>29.7</v>
      </c>
      <c r="P778" t="str" cm="1">
        <f t="array" ref="P778">_xlfn.IFS(K778="Rob","Robusta",K778="Exc","Excelsa",K778="Ara","Arabica",K778="Lib","Liberica")</f>
        <v>Excelsa</v>
      </c>
      <c r="Q778" t="str" cm="1">
        <f t="array" ref="Q778">_xlfn.IFS(L778="M","Medium",L778="L","Light",L778="D","Dark")</f>
        <v>Light</v>
      </c>
      <c r="R778" t="str">
        <f>_xlfn.XLOOKUP(Orders[[#This Row],[Customer ID]],customers!$A$1:$A$1001,customers!$I$1:$I$1001)</f>
        <v>Yes</v>
      </c>
    </row>
    <row r="779" spans="1:18" x14ac:dyDescent="0.35">
      <c r="A779" s="2" t="s">
        <v>1573</v>
      </c>
      <c r="B779" s="4">
        <v>43919</v>
      </c>
      <c r="C779" s="23">
        <f>Orders[[#This Row],[Order Date]]</f>
        <v>43919</v>
      </c>
      <c r="D779" s="2">
        <f>YEAR(Orders[[#This Row],[Order Date]])</f>
        <v>2020</v>
      </c>
      <c r="E779" s="2" t="s">
        <v>1574</v>
      </c>
      <c r="F779" t="s">
        <v>6183</v>
      </c>
      <c r="G779" s="20">
        <v>6</v>
      </c>
      <c r="H779" s="2" t="str">
        <f>INDEX(customers!$A$1:$I$1001,MATCH($E779,customers!$A$1:$A$1001,),MATCH($H$1,customers!$A$1:$I$1,0))</f>
        <v>Philipa Petrushanko</v>
      </c>
      <c r="I779" s="2" t="str">
        <f>IF(INDEX(customers!$A$1:$I$1001,MATCH($E779,customers!$A$1:$A$1001,0),3)=0,"",INDEX(customers!$A$1:$I$1001,MATCH($E779,customers!$A$1:$A$1001,0),3))</f>
        <v>ppetrushanko5c@blinklist.com</v>
      </c>
      <c r="J779" s="2" t="str">
        <f>_xlfn.XLOOKUP(E779,customers!$A$1:$A$1001,customers!$G$1:$G$1001)</f>
        <v>Ireland</v>
      </c>
      <c r="K779" t="str">
        <f>INDEX(products!$A$1:$G$49,MATCH($F779,products!$A$1:$A$49,0),MATCH(K$1,products!$A$1:$G$1,0))</f>
        <v>Exc</v>
      </c>
      <c r="L779" t="str">
        <f>INDEX(products!$A$1:$G$49,MATCH($F779,products!$A$1:$A$49,0),MATCH(L$1,products!$A$1:$G$1,0))</f>
        <v>D</v>
      </c>
      <c r="M779" s="5">
        <f>INDEX(products!$A$1:$G$49,MATCH($F779,products!$A$1:$A$49,0),MATCH(M$1,products!$A$1:$G$1,0))</f>
        <v>1</v>
      </c>
      <c r="N779" s="7">
        <f>INDEX(products!$A$1:$G$49,MATCH($F779,products!$A$1:$A$49,0),MATCH(N$1,products!$A$1:$G$1,0))</f>
        <v>12.15</v>
      </c>
      <c r="O779" s="7">
        <f t="shared" si="12"/>
        <v>72.900000000000006</v>
      </c>
      <c r="P779" t="str" cm="1">
        <f t="array" ref="P779">_xlfn.IFS(K779="Rob","Robusta",K779="Exc","Excelsa",K779="Ara","Arabica",K779="Lib","Liberica")</f>
        <v>Excelsa</v>
      </c>
      <c r="Q779" t="str" cm="1">
        <f t="array" ref="Q779">_xlfn.IFS(L779="M","Medium",L779="L","Light",L779="D","Dark")</f>
        <v>Dark</v>
      </c>
      <c r="R779" t="str">
        <f>_xlfn.XLOOKUP(Orders[[#This Row],[Customer ID]],customers!$A$1:$A$1001,customers!$I$1:$I$1001)</f>
        <v>Yes</v>
      </c>
    </row>
    <row r="780" spans="1:18" x14ac:dyDescent="0.35">
      <c r="A780" s="2" t="s">
        <v>3745</v>
      </c>
      <c r="B780" s="4">
        <v>44290</v>
      </c>
      <c r="C780" s="23">
        <f>Orders[[#This Row],[Order Date]]</f>
        <v>44290</v>
      </c>
      <c r="D780" s="2">
        <f>YEAR(Orders[[#This Row],[Order Date]])</f>
        <v>2021</v>
      </c>
      <c r="E780" s="2" t="s">
        <v>3746</v>
      </c>
      <c r="F780" t="s">
        <v>6154</v>
      </c>
      <c r="G780" s="20">
        <v>6</v>
      </c>
      <c r="H780" s="2" t="str">
        <f>INDEX(customers!$A$1:$I$1001,MATCH($E780,customers!$A$1:$A$1001,),MATCH($H$1,customers!$A$1:$I$1,0))</f>
        <v>Phyllys Ormerod</v>
      </c>
      <c r="I780" s="2" t="str">
        <f>IF(INDEX(customers!$A$1:$I$1001,MATCH($E780,customers!$A$1:$A$1001,0),3)=0,"",INDEX(customers!$A$1:$I$1001,MATCH($E780,customers!$A$1:$A$1001,0),3))</f>
        <v>pormerodg0@redcross.org</v>
      </c>
      <c r="J780" s="2" t="str">
        <f>_xlfn.XLOOKUP(E780,customers!$A$1:$A$1001,customers!$G$1:$G$1001)</f>
        <v>United States</v>
      </c>
      <c r="K780" t="str">
        <f>INDEX(products!$A$1:$G$49,MATCH($F780,products!$A$1:$A$49,0),MATCH(K$1,products!$A$1:$G$1,0))</f>
        <v>Ara</v>
      </c>
      <c r="L780" t="str">
        <f>INDEX(products!$A$1:$G$49,MATCH($F780,products!$A$1:$A$49,0),MATCH(L$1,products!$A$1:$G$1,0))</f>
        <v>D</v>
      </c>
      <c r="M780" s="5">
        <f>INDEX(products!$A$1:$G$49,MATCH($F780,products!$A$1:$A$49,0),MATCH(M$1,products!$A$1:$G$1,0))</f>
        <v>0.2</v>
      </c>
      <c r="N780" s="7">
        <f>INDEX(products!$A$1:$G$49,MATCH($F780,products!$A$1:$A$49,0),MATCH(N$1,products!$A$1:$G$1,0))</f>
        <v>2.9849999999999999</v>
      </c>
      <c r="O780" s="7">
        <f t="shared" si="12"/>
        <v>17.91</v>
      </c>
      <c r="P780" t="str" cm="1">
        <f t="array" ref="P780">_xlfn.IFS(K780="Rob","Robusta",K780="Exc","Excelsa",K780="Ara","Arabica",K780="Lib","Liberica")</f>
        <v>Arabica</v>
      </c>
      <c r="Q780" t="str" cm="1">
        <f t="array" ref="Q780">_xlfn.IFS(L780="M","Medium",L780="L","Light",L780="D","Dark")</f>
        <v>Dark</v>
      </c>
      <c r="R780" t="str">
        <f>_xlfn.XLOOKUP(Orders[[#This Row],[Customer ID]],customers!$A$1:$A$1001,customers!$I$1:$I$1001)</f>
        <v>No</v>
      </c>
    </row>
    <row r="781" spans="1:18" x14ac:dyDescent="0.35">
      <c r="A781" s="2" t="s">
        <v>3396</v>
      </c>
      <c r="B781" s="4">
        <v>44555</v>
      </c>
      <c r="C781" s="23">
        <f>Orders[[#This Row],[Order Date]]</f>
        <v>44555</v>
      </c>
      <c r="D781" s="2">
        <f>YEAR(Orders[[#This Row],[Order Date]])</f>
        <v>2021</v>
      </c>
      <c r="E781" s="2" t="s">
        <v>3397</v>
      </c>
      <c r="F781" t="s">
        <v>6159</v>
      </c>
      <c r="G781" s="20">
        <v>6</v>
      </c>
      <c r="H781" s="2" t="str">
        <f>INDEX(customers!$A$1:$I$1001,MATCH($E781,customers!$A$1:$A$1001,),MATCH($H$1,customers!$A$1:$I$1,0))</f>
        <v>Pippo Witherington</v>
      </c>
      <c r="I781" s="2" t="str">
        <f>IF(INDEX(customers!$A$1:$I$1001,MATCH($E781,customers!$A$1:$A$1001,0),3)=0,"",INDEX(customers!$A$1:$I$1001,MATCH($E781,customers!$A$1:$A$1001,0),3))</f>
        <v>pwitheringtonea@networkadvertising.org</v>
      </c>
      <c r="J781" s="2" t="str">
        <f>_xlfn.XLOOKUP(E781,customers!$A$1:$A$1001,customers!$G$1:$G$1001)</f>
        <v>United States</v>
      </c>
      <c r="K781" t="str">
        <f>INDEX(products!$A$1:$G$49,MATCH($F781,products!$A$1:$A$49,0),MATCH(K$1,products!$A$1:$G$1,0))</f>
        <v>Lib</v>
      </c>
      <c r="L781" t="str">
        <f>INDEX(products!$A$1:$G$49,MATCH($F781,products!$A$1:$A$49,0),MATCH(L$1,products!$A$1:$G$1,0))</f>
        <v>M</v>
      </c>
      <c r="M781" s="5">
        <f>INDEX(products!$A$1:$G$49,MATCH($F781,products!$A$1:$A$49,0),MATCH(M$1,products!$A$1:$G$1,0))</f>
        <v>0.2</v>
      </c>
      <c r="N781" s="7">
        <f>INDEX(products!$A$1:$G$49,MATCH($F781,products!$A$1:$A$49,0),MATCH(N$1,products!$A$1:$G$1,0))</f>
        <v>4.3650000000000002</v>
      </c>
      <c r="O781" s="7">
        <f t="shared" si="12"/>
        <v>26.19</v>
      </c>
      <c r="P781" t="str" cm="1">
        <f t="array" ref="P781">_xlfn.IFS(K781="Rob","Robusta",K781="Exc","Excelsa",K781="Ara","Arabica",K781="Lib","Liberica")</f>
        <v>Liberica</v>
      </c>
      <c r="Q781" t="str" cm="1">
        <f t="array" ref="Q781">_xlfn.IFS(L781="M","Medium",L781="L","Light",L781="D","Dark")</f>
        <v>Medium</v>
      </c>
      <c r="R781" t="str">
        <f>_xlfn.XLOOKUP(Orders[[#This Row],[Customer ID]],customers!$A$1:$A$1001,customers!$I$1:$I$1001)</f>
        <v>Yes</v>
      </c>
    </row>
    <row r="782" spans="1:18" x14ac:dyDescent="0.35">
      <c r="A782" s="2" t="s">
        <v>1789</v>
      </c>
      <c r="B782" s="4">
        <v>44496</v>
      </c>
      <c r="C782" s="23">
        <f>Orders[[#This Row],[Order Date]]</f>
        <v>44496</v>
      </c>
      <c r="D782" s="2">
        <f>YEAR(Orders[[#This Row],[Order Date]])</f>
        <v>2021</v>
      </c>
      <c r="E782" s="2" t="s">
        <v>1790</v>
      </c>
      <c r="F782" t="s">
        <v>6175</v>
      </c>
      <c r="G782" s="20">
        <v>2</v>
      </c>
      <c r="H782" s="2" t="str">
        <f>INDEX(customers!$A$1:$I$1001,MATCH($E782,customers!$A$1:$A$1001,),MATCH($H$1,customers!$A$1:$I$1,0))</f>
        <v>Portie Cutchie</v>
      </c>
      <c r="I782" s="2" t="str">
        <f>IF(INDEX(customers!$A$1:$I$1001,MATCH($E782,customers!$A$1:$A$1001,0),3)=0,"",INDEX(customers!$A$1:$I$1001,MATCH($E782,customers!$A$1:$A$1001,0),3))</f>
        <v>pcutchie6e@globo.com</v>
      </c>
      <c r="J782" s="2" t="str">
        <f>_xlfn.XLOOKUP(E782,customers!$A$1:$A$1001,customers!$G$1:$G$1001)</f>
        <v>United States</v>
      </c>
      <c r="K782" t="str">
        <f>INDEX(products!$A$1:$G$49,MATCH($F782,products!$A$1:$A$49,0),MATCH(K$1,products!$A$1:$G$1,0))</f>
        <v>Ara</v>
      </c>
      <c r="L782" t="str">
        <f>INDEX(products!$A$1:$G$49,MATCH($F782,products!$A$1:$A$49,0),MATCH(L$1,products!$A$1:$G$1,0))</f>
        <v>M</v>
      </c>
      <c r="M782" s="5">
        <f>INDEX(products!$A$1:$G$49,MATCH($F782,products!$A$1:$A$49,0),MATCH(M$1,products!$A$1:$G$1,0))</f>
        <v>2.5</v>
      </c>
      <c r="N782" s="7">
        <f>INDEX(products!$A$1:$G$49,MATCH($F782,products!$A$1:$A$49,0),MATCH(N$1,products!$A$1:$G$1,0))</f>
        <v>25.874999999999996</v>
      </c>
      <c r="O782" s="7">
        <f t="shared" si="12"/>
        <v>51.749999999999993</v>
      </c>
      <c r="P782" t="str" cm="1">
        <f t="array" ref="P782">_xlfn.IFS(K782="Rob","Robusta",K782="Exc","Excelsa",K782="Ara","Arabica",K782="Lib","Liberica")</f>
        <v>Arabica</v>
      </c>
      <c r="Q782" t="str" cm="1">
        <f t="array" ref="Q782">_xlfn.IFS(L782="M","Medium",L782="L","Light",L782="D","Dark")</f>
        <v>Medium</v>
      </c>
      <c r="R782" t="str">
        <f>_xlfn.XLOOKUP(Orders[[#This Row],[Customer ID]],customers!$A$1:$A$1001,customers!$I$1:$I$1001)</f>
        <v>No</v>
      </c>
    </row>
    <row r="783" spans="1:18" x14ac:dyDescent="0.35">
      <c r="A783" s="2" t="s">
        <v>2638</v>
      </c>
      <c r="B783" s="4">
        <v>44646</v>
      </c>
      <c r="C783" s="23">
        <f>Orders[[#This Row],[Order Date]]</f>
        <v>44646</v>
      </c>
      <c r="D783" s="2">
        <f>YEAR(Orders[[#This Row],[Order Date]])</f>
        <v>2022</v>
      </c>
      <c r="E783" s="2" t="s">
        <v>2639</v>
      </c>
      <c r="F783" t="s">
        <v>6154</v>
      </c>
      <c r="G783" s="20">
        <v>5</v>
      </c>
      <c r="H783" s="2" t="str">
        <f>INDEX(customers!$A$1:$I$1001,MATCH($E783,customers!$A$1:$A$1001,),MATCH($H$1,customers!$A$1:$I$1,0))</f>
        <v>Pren Bess</v>
      </c>
      <c r="I783" s="2" t="str">
        <f>IF(INDEX(customers!$A$1:$I$1001,MATCH($E783,customers!$A$1:$A$1001,0),3)=0,"",INDEX(customers!$A$1:$I$1001,MATCH($E783,customers!$A$1:$A$1001,0),3))</f>
        <v>pbessal@qq.com</v>
      </c>
      <c r="J783" s="2" t="str">
        <f>_xlfn.XLOOKUP(E783,customers!$A$1:$A$1001,customers!$G$1:$G$1001)</f>
        <v>United States</v>
      </c>
      <c r="K783" t="str">
        <f>INDEX(products!$A$1:$G$49,MATCH($F783,products!$A$1:$A$49,0),MATCH(K$1,products!$A$1:$G$1,0))</f>
        <v>Ara</v>
      </c>
      <c r="L783" t="str">
        <f>INDEX(products!$A$1:$G$49,MATCH($F783,products!$A$1:$A$49,0),MATCH(L$1,products!$A$1:$G$1,0))</f>
        <v>D</v>
      </c>
      <c r="M783" s="5">
        <f>INDEX(products!$A$1:$G$49,MATCH($F783,products!$A$1:$A$49,0),MATCH(M$1,products!$A$1:$G$1,0))</f>
        <v>0.2</v>
      </c>
      <c r="N783" s="7">
        <f>INDEX(products!$A$1:$G$49,MATCH($F783,products!$A$1:$A$49,0),MATCH(N$1,products!$A$1:$G$1,0))</f>
        <v>2.9849999999999999</v>
      </c>
      <c r="O783" s="7">
        <f t="shared" si="12"/>
        <v>14.924999999999999</v>
      </c>
      <c r="P783" t="str" cm="1">
        <f t="array" ref="P783">_xlfn.IFS(K783="Rob","Robusta",K783="Exc","Excelsa",K783="Ara","Arabica",K783="Lib","Liberica")</f>
        <v>Arabica</v>
      </c>
      <c r="Q783" t="str" cm="1">
        <f t="array" ref="Q783">_xlfn.IFS(L783="M","Medium",L783="L","Light",L783="D","Dark")</f>
        <v>Dark</v>
      </c>
      <c r="R783" t="str">
        <f>_xlfn.XLOOKUP(Orders[[#This Row],[Customer ID]],customers!$A$1:$A$1001,customers!$I$1:$I$1001)</f>
        <v>Yes</v>
      </c>
    </row>
    <row r="784" spans="1:18" x14ac:dyDescent="0.35">
      <c r="A784" s="2" t="s">
        <v>3015</v>
      </c>
      <c r="B784" s="4">
        <v>44718</v>
      </c>
      <c r="C784" s="23">
        <f>Orders[[#This Row],[Order Date]]</f>
        <v>44718</v>
      </c>
      <c r="D784" s="2">
        <f>YEAR(Orders[[#This Row],[Order Date]])</f>
        <v>2022</v>
      </c>
      <c r="E784" s="2" t="s">
        <v>3016</v>
      </c>
      <c r="F784" t="s">
        <v>6173</v>
      </c>
      <c r="G784" s="20">
        <v>1</v>
      </c>
      <c r="H784" s="2" t="str">
        <f>INDEX(customers!$A$1:$I$1001,MATCH($E784,customers!$A$1:$A$1001,),MATCH($H$1,customers!$A$1:$I$1,0))</f>
        <v>Pru Durban</v>
      </c>
      <c r="I784" s="2" t="str">
        <f>IF(INDEX(customers!$A$1:$I$1001,MATCH($E784,customers!$A$1:$A$1001,0),3)=0,"",INDEX(customers!$A$1:$I$1001,MATCH($E784,customers!$A$1:$A$1001,0),3))</f>
        <v>pdurbancg@symantec.com</v>
      </c>
      <c r="J784" s="2" t="str">
        <f>_xlfn.XLOOKUP(E784,customers!$A$1:$A$1001,customers!$G$1:$G$1001)</f>
        <v>Ireland</v>
      </c>
      <c r="K784" t="str">
        <f>INDEX(products!$A$1:$G$49,MATCH($F784,products!$A$1:$A$49,0),MATCH(K$1,products!$A$1:$G$1,0))</f>
        <v>Rob</v>
      </c>
      <c r="L784" t="str">
        <f>INDEX(products!$A$1:$G$49,MATCH($F784,products!$A$1:$A$49,0),MATCH(L$1,products!$A$1:$G$1,0))</f>
        <v>L</v>
      </c>
      <c r="M784" s="5">
        <f>INDEX(products!$A$1:$G$49,MATCH($F784,products!$A$1:$A$49,0),MATCH(M$1,products!$A$1:$G$1,0))</f>
        <v>0.5</v>
      </c>
      <c r="N784" s="7">
        <f>INDEX(products!$A$1:$G$49,MATCH($F784,products!$A$1:$A$49,0),MATCH(N$1,products!$A$1:$G$1,0))</f>
        <v>7.169999999999999</v>
      </c>
      <c r="O784" s="7">
        <f t="shared" si="12"/>
        <v>7.169999999999999</v>
      </c>
      <c r="P784" t="str" cm="1">
        <f t="array" ref="P784">_xlfn.IFS(K784="Rob","Robusta",K784="Exc","Excelsa",K784="Ara","Arabica",K784="Lib","Liberica")</f>
        <v>Robusta</v>
      </c>
      <c r="Q784" t="str" cm="1">
        <f t="array" ref="Q784">_xlfn.IFS(L784="M","Medium",L784="L","Light",L784="D","Dark")</f>
        <v>Light</v>
      </c>
      <c r="R784" t="str">
        <f>_xlfn.XLOOKUP(Orders[[#This Row],[Customer ID]],customers!$A$1:$A$1001,customers!$I$1:$I$1001)</f>
        <v>No</v>
      </c>
    </row>
    <row r="785" spans="1:18" x14ac:dyDescent="0.35">
      <c r="A785" s="2" t="s">
        <v>1077</v>
      </c>
      <c r="B785" s="4">
        <v>43982</v>
      </c>
      <c r="C785" s="23">
        <f>Orders[[#This Row],[Order Date]]</f>
        <v>43982</v>
      </c>
      <c r="D785" s="2">
        <f>YEAR(Orders[[#This Row],[Order Date]])</f>
        <v>2020</v>
      </c>
      <c r="E785" s="2" t="s">
        <v>1078</v>
      </c>
      <c r="F785" t="s">
        <v>6157</v>
      </c>
      <c r="G785" s="20">
        <v>6</v>
      </c>
      <c r="H785" s="2" t="str">
        <f>INDEX(customers!$A$1:$I$1001,MATCH($E785,customers!$A$1:$A$1001,),MATCH($H$1,customers!$A$1:$I$1,0))</f>
        <v>Queenie Veel</v>
      </c>
      <c r="I785" s="2" t="str">
        <f>IF(INDEX(customers!$A$1:$I$1001,MATCH($E785,customers!$A$1:$A$1001,0),3)=0,"",INDEX(customers!$A$1:$I$1001,MATCH($E785,customers!$A$1:$A$1001,0),3))</f>
        <v>qveel2x@jugem.jp</v>
      </c>
      <c r="J785" s="2" t="str">
        <f>_xlfn.XLOOKUP(E785,customers!$A$1:$A$1001,customers!$G$1:$G$1001)</f>
        <v>United States</v>
      </c>
      <c r="K785" t="str">
        <f>INDEX(products!$A$1:$G$49,MATCH($F785,products!$A$1:$A$49,0),MATCH(K$1,products!$A$1:$G$1,0))</f>
        <v>Ara</v>
      </c>
      <c r="L785" t="str">
        <f>INDEX(products!$A$1:$G$49,MATCH($F785,products!$A$1:$A$49,0),MATCH(L$1,products!$A$1:$G$1,0))</f>
        <v>M</v>
      </c>
      <c r="M785" s="5">
        <f>INDEX(products!$A$1:$G$49,MATCH($F785,products!$A$1:$A$49,0),MATCH(M$1,products!$A$1:$G$1,0))</f>
        <v>0.5</v>
      </c>
      <c r="N785" s="7">
        <f>INDEX(products!$A$1:$G$49,MATCH($F785,products!$A$1:$A$49,0),MATCH(N$1,products!$A$1:$G$1,0))</f>
        <v>6.75</v>
      </c>
      <c r="O785" s="7">
        <f t="shared" si="12"/>
        <v>40.5</v>
      </c>
      <c r="P785" t="str" cm="1">
        <f t="array" ref="P785">_xlfn.IFS(K785="Rob","Robusta",K785="Exc","Excelsa",K785="Ara","Arabica",K785="Lib","Liberica")</f>
        <v>Arabica</v>
      </c>
      <c r="Q785" t="str" cm="1">
        <f t="array" ref="Q785">_xlfn.IFS(L785="M","Medium",L785="L","Light",L785="D","Dark")</f>
        <v>Medium</v>
      </c>
      <c r="R785" t="str">
        <f>_xlfn.XLOOKUP(Orders[[#This Row],[Customer ID]],customers!$A$1:$A$1001,customers!$I$1:$I$1001)</f>
        <v>Yes</v>
      </c>
    </row>
    <row r="786" spans="1:18" x14ac:dyDescent="0.35">
      <c r="A786" s="2" t="s">
        <v>2363</v>
      </c>
      <c r="B786" s="4">
        <v>43689</v>
      </c>
      <c r="C786" s="23">
        <f>Orders[[#This Row],[Order Date]]</f>
        <v>43689</v>
      </c>
      <c r="D786" s="2">
        <f>YEAR(Orders[[#This Row],[Order Date]])</f>
        <v>2019</v>
      </c>
      <c r="E786" s="2" t="s">
        <v>2364</v>
      </c>
      <c r="F786" t="s">
        <v>6158</v>
      </c>
      <c r="G786" s="20">
        <v>3</v>
      </c>
      <c r="H786" s="2" t="str">
        <f>INDEX(customers!$A$1:$I$1001,MATCH($E786,customers!$A$1:$A$1001,),MATCH($H$1,customers!$A$1:$I$1,0))</f>
        <v>Quinn Parsons</v>
      </c>
      <c r="I786" s="2" t="str">
        <f>IF(INDEX(customers!$A$1:$I$1001,MATCH($E786,customers!$A$1:$A$1001,0),3)=0,"",INDEX(customers!$A$1:$I$1001,MATCH($E786,customers!$A$1:$A$1001,0),3))</f>
        <v>qparsons98@blogtalkradio.com</v>
      </c>
      <c r="J786" s="2" t="str">
        <f>_xlfn.XLOOKUP(E786,customers!$A$1:$A$1001,customers!$G$1:$G$1001)</f>
        <v>United States</v>
      </c>
      <c r="K786" t="str">
        <f>INDEX(products!$A$1:$G$49,MATCH($F786,products!$A$1:$A$49,0),MATCH(K$1,products!$A$1:$G$1,0))</f>
        <v>Ara</v>
      </c>
      <c r="L786" t="str">
        <f>INDEX(products!$A$1:$G$49,MATCH($F786,products!$A$1:$A$49,0),MATCH(L$1,products!$A$1:$G$1,0))</f>
        <v>D</v>
      </c>
      <c r="M786" s="5">
        <f>INDEX(products!$A$1:$G$49,MATCH($F786,products!$A$1:$A$49,0),MATCH(M$1,products!$A$1:$G$1,0))</f>
        <v>0.5</v>
      </c>
      <c r="N786" s="7">
        <f>INDEX(products!$A$1:$G$49,MATCH($F786,products!$A$1:$A$49,0),MATCH(N$1,products!$A$1:$G$1,0))</f>
        <v>5.97</v>
      </c>
      <c r="O786" s="7">
        <f t="shared" si="12"/>
        <v>17.91</v>
      </c>
      <c r="P786" t="str" cm="1">
        <f t="array" ref="P786">_xlfn.IFS(K786="Rob","Robusta",K786="Exc","Excelsa",K786="Ara","Arabica",K786="Lib","Liberica")</f>
        <v>Arabica</v>
      </c>
      <c r="Q786" t="str" cm="1">
        <f t="array" ref="Q786">_xlfn.IFS(L786="M","Medium",L786="L","Light",L786="D","Dark")</f>
        <v>Dark</v>
      </c>
      <c r="R786" t="str">
        <f>_xlfn.XLOOKUP(Orders[[#This Row],[Customer ID]],customers!$A$1:$A$1001,customers!$I$1:$I$1001)</f>
        <v>Yes</v>
      </c>
    </row>
    <row r="787" spans="1:18" x14ac:dyDescent="0.35">
      <c r="A787" s="2" t="s">
        <v>5687</v>
      </c>
      <c r="B787" s="4">
        <v>44181</v>
      </c>
      <c r="C787" s="23">
        <f>Orders[[#This Row],[Order Date]]</f>
        <v>44181</v>
      </c>
      <c r="D787" s="2">
        <f>YEAR(Orders[[#This Row],[Order Date]])</f>
        <v>2020</v>
      </c>
      <c r="E787" s="2" t="s">
        <v>5688</v>
      </c>
      <c r="F787" t="s">
        <v>6163</v>
      </c>
      <c r="G787" s="20">
        <v>5</v>
      </c>
      <c r="H787" s="2" t="str">
        <f>INDEX(customers!$A$1:$I$1001,MATCH($E787,customers!$A$1:$A$1001,),MATCH($H$1,customers!$A$1:$I$1,0))</f>
        <v>Quintina Heavyside</v>
      </c>
      <c r="I787" s="2" t="str">
        <f>IF(INDEX(customers!$A$1:$I$1001,MATCH($E787,customers!$A$1:$A$1001,0),3)=0,"",INDEX(customers!$A$1:$I$1001,MATCH($E787,customers!$A$1:$A$1001,0),3))</f>
        <v>qheavysidepj@unc.edu</v>
      </c>
      <c r="J787" s="2" t="str">
        <f>_xlfn.XLOOKUP(E787,customers!$A$1:$A$1001,customers!$G$1:$G$1001)</f>
        <v>United States</v>
      </c>
      <c r="K787" t="str">
        <f>INDEX(products!$A$1:$G$49,MATCH($F787,products!$A$1:$A$49,0),MATCH(K$1,products!$A$1:$G$1,0))</f>
        <v>Rob</v>
      </c>
      <c r="L787" t="str">
        <f>INDEX(products!$A$1:$G$49,MATCH($F787,products!$A$1:$A$49,0),MATCH(L$1,products!$A$1:$G$1,0))</f>
        <v>D</v>
      </c>
      <c r="M787" s="5">
        <f>INDEX(products!$A$1:$G$49,MATCH($F787,products!$A$1:$A$49,0),MATCH(M$1,products!$A$1:$G$1,0))</f>
        <v>0.2</v>
      </c>
      <c r="N787" s="7">
        <f>INDEX(products!$A$1:$G$49,MATCH($F787,products!$A$1:$A$49,0),MATCH(N$1,products!$A$1:$G$1,0))</f>
        <v>2.6849999999999996</v>
      </c>
      <c r="O787" s="7">
        <f t="shared" si="12"/>
        <v>13.424999999999997</v>
      </c>
      <c r="P787" t="str" cm="1">
        <f t="array" ref="P787">_xlfn.IFS(K787="Rob","Robusta",K787="Exc","Excelsa",K787="Ara","Arabica",K787="Lib","Liberica")</f>
        <v>Robusta</v>
      </c>
      <c r="Q787" t="str" cm="1">
        <f t="array" ref="Q787">_xlfn.IFS(L787="M","Medium",L787="L","Light",L787="D","Dark")</f>
        <v>Dark</v>
      </c>
      <c r="R787" t="str">
        <f>_xlfn.XLOOKUP(Orders[[#This Row],[Customer ID]],customers!$A$1:$A$1001,customers!$I$1:$I$1001)</f>
        <v>Yes</v>
      </c>
    </row>
    <row r="788" spans="1:18" x14ac:dyDescent="0.35">
      <c r="A788" s="2" t="s">
        <v>1339</v>
      </c>
      <c r="B788" s="4">
        <v>44115</v>
      </c>
      <c r="C788" s="23">
        <f>Orders[[#This Row],[Order Date]]</f>
        <v>44115</v>
      </c>
      <c r="D788" s="2">
        <f>YEAR(Orders[[#This Row],[Order Date]])</f>
        <v>2020</v>
      </c>
      <c r="E788" s="2" t="s">
        <v>1340</v>
      </c>
      <c r="F788" t="s">
        <v>6155</v>
      </c>
      <c r="G788" s="20">
        <v>3</v>
      </c>
      <c r="H788" s="2" t="str">
        <f>INDEX(customers!$A$1:$I$1001,MATCH($E788,customers!$A$1:$A$1001,),MATCH($H$1,customers!$A$1:$I$1,0))</f>
        <v>Quinton Fouracres</v>
      </c>
      <c r="I788" s="2" t="str">
        <f>IF(INDEX(customers!$A$1:$I$1001,MATCH($E788,customers!$A$1:$A$1001,0),3)=0,"",INDEX(customers!$A$1:$I$1001,MATCH($E788,customers!$A$1:$A$1001,0),3))</f>
        <v/>
      </c>
      <c r="J788" s="2" t="str">
        <f>_xlfn.XLOOKUP(E788,customers!$A$1:$A$1001,customers!$G$1:$G$1001)</f>
        <v>United States</v>
      </c>
      <c r="K788" t="str">
        <f>INDEX(products!$A$1:$G$49,MATCH($F788,products!$A$1:$A$49,0),MATCH(K$1,products!$A$1:$G$1,0))</f>
        <v>Ara</v>
      </c>
      <c r="L788" t="str">
        <f>INDEX(products!$A$1:$G$49,MATCH($F788,products!$A$1:$A$49,0),MATCH(L$1,products!$A$1:$G$1,0))</f>
        <v>M</v>
      </c>
      <c r="M788" s="5">
        <f>INDEX(products!$A$1:$G$49,MATCH($F788,products!$A$1:$A$49,0),MATCH(M$1,products!$A$1:$G$1,0))</f>
        <v>1</v>
      </c>
      <c r="N788" s="7">
        <f>INDEX(products!$A$1:$G$49,MATCH($F788,products!$A$1:$A$49,0),MATCH(N$1,products!$A$1:$G$1,0))</f>
        <v>11.25</v>
      </c>
      <c r="O788" s="7">
        <f t="shared" si="12"/>
        <v>33.75</v>
      </c>
      <c r="P788" t="str" cm="1">
        <f t="array" ref="P788">_xlfn.IFS(K788="Rob","Robusta",K788="Exc","Excelsa",K788="Ara","Arabica",K788="Lib","Liberica")</f>
        <v>Arabica</v>
      </c>
      <c r="Q788" t="str" cm="1">
        <f t="array" ref="Q788">_xlfn.IFS(L788="M","Medium",L788="L","Light",L788="D","Dark")</f>
        <v>Medium</v>
      </c>
      <c r="R788" t="str">
        <f>_xlfn.XLOOKUP(Orders[[#This Row],[Customer ID]],customers!$A$1:$A$1001,customers!$I$1:$I$1001)</f>
        <v>Yes</v>
      </c>
    </row>
    <row r="789" spans="1:18" x14ac:dyDescent="0.35">
      <c r="A789" s="2" t="s">
        <v>3972</v>
      </c>
      <c r="B789" s="4">
        <v>43928</v>
      </c>
      <c r="C789" s="23">
        <f>Orders[[#This Row],[Order Date]]</f>
        <v>43928</v>
      </c>
      <c r="D789" s="2">
        <f>YEAR(Orders[[#This Row],[Order Date]])</f>
        <v>2020</v>
      </c>
      <c r="E789" s="2" t="s">
        <v>3973</v>
      </c>
      <c r="F789" t="s">
        <v>6181</v>
      </c>
      <c r="G789" s="20">
        <v>1</v>
      </c>
      <c r="H789" s="2" t="str">
        <f>INDEX(customers!$A$1:$I$1001,MATCH($E789,customers!$A$1:$A$1001,),MATCH($H$1,customers!$A$1:$I$1,0))</f>
        <v>Rachelle Elizabeth</v>
      </c>
      <c r="I789" s="2" t="str">
        <f>IF(INDEX(customers!$A$1:$I$1001,MATCH($E789,customers!$A$1:$A$1001,0),3)=0,"",INDEX(customers!$A$1:$I$1001,MATCH($E789,customers!$A$1:$A$1001,0),3))</f>
        <v>relizabethh5@live.com</v>
      </c>
      <c r="J789" s="2" t="str">
        <f>_xlfn.XLOOKUP(E789,customers!$A$1:$A$1001,customers!$G$1:$G$1001)</f>
        <v>United States</v>
      </c>
      <c r="K789" t="str">
        <f>INDEX(products!$A$1:$G$49,MATCH($F789,products!$A$1:$A$49,0),MATCH(K$1,products!$A$1:$G$1,0))</f>
        <v>Lib</v>
      </c>
      <c r="L789" t="str">
        <f>INDEX(products!$A$1:$G$49,MATCH($F789,products!$A$1:$A$49,0),MATCH(L$1,products!$A$1:$G$1,0))</f>
        <v>M</v>
      </c>
      <c r="M789" s="5">
        <f>INDEX(products!$A$1:$G$49,MATCH($F789,products!$A$1:$A$49,0),MATCH(M$1,products!$A$1:$G$1,0))</f>
        <v>2.5</v>
      </c>
      <c r="N789" s="7">
        <f>INDEX(products!$A$1:$G$49,MATCH($F789,products!$A$1:$A$49,0),MATCH(N$1,products!$A$1:$G$1,0))</f>
        <v>33.464999999999996</v>
      </c>
      <c r="O789" s="7">
        <f t="shared" si="12"/>
        <v>33.464999999999996</v>
      </c>
      <c r="P789" t="str" cm="1">
        <f t="array" ref="P789">_xlfn.IFS(K789="Rob","Robusta",K789="Exc","Excelsa",K789="Ara","Arabica",K789="Lib","Liberica")</f>
        <v>Liberica</v>
      </c>
      <c r="Q789" t="str" cm="1">
        <f t="array" ref="Q789">_xlfn.IFS(L789="M","Medium",L789="L","Light",L789="D","Dark")</f>
        <v>Medium</v>
      </c>
      <c r="R789" t="str">
        <f>_xlfn.XLOOKUP(Orders[[#This Row],[Customer ID]],customers!$A$1:$A$1001,customers!$I$1:$I$1001)</f>
        <v>No</v>
      </c>
    </row>
    <row r="790" spans="1:18" x14ac:dyDescent="0.35">
      <c r="A790" s="2" t="s">
        <v>5385</v>
      </c>
      <c r="B790" s="4">
        <v>44209</v>
      </c>
      <c r="C790" s="23">
        <f>Orders[[#This Row],[Order Date]]</f>
        <v>44209</v>
      </c>
      <c r="D790" s="2">
        <f>YEAR(Orders[[#This Row],[Order Date]])</f>
        <v>2021</v>
      </c>
      <c r="E790" s="2" t="s">
        <v>5386</v>
      </c>
      <c r="F790" t="s">
        <v>6158</v>
      </c>
      <c r="G790" s="20">
        <v>3</v>
      </c>
      <c r="H790" s="2" t="str">
        <f>INDEX(customers!$A$1:$I$1001,MATCH($E790,customers!$A$1:$A$1001,),MATCH($H$1,customers!$A$1:$I$1,0))</f>
        <v>Rafaela Treacher</v>
      </c>
      <c r="I790" s="2" t="str">
        <f>IF(INDEX(customers!$A$1:$I$1001,MATCH($E790,customers!$A$1:$A$1001,0),3)=0,"",INDEX(customers!$A$1:$I$1001,MATCH($E790,customers!$A$1:$A$1001,0),3))</f>
        <v>rtreachero2@usa.gov</v>
      </c>
      <c r="J790" s="2" t="str">
        <f>_xlfn.XLOOKUP(E790,customers!$A$1:$A$1001,customers!$G$1:$G$1001)</f>
        <v>Ireland</v>
      </c>
      <c r="K790" t="str">
        <f>INDEX(products!$A$1:$G$49,MATCH($F790,products!$A$1:$A$49,0),MATCH(K$1,products!$A$1:$G$1,0))</f>
        <v>Ara</v>
      </c>
      <c r="L790" t="str">
        <f>INDEX(products!$A$1:$G$49,MATCH($F790,products!$A$1:$A$49,0),MATCH(L$1,products!$A$1:$G$1,0))</f>
        <v>D</v>
      </c>
      <c r="M790" s="5">
        <f>INDEX(products!$A$1:$G$49,MATCH($F790,products!$A$1:$A$49,0),MATCH(M$1,products!$A$1:$G$1,0))</f>
        <v>0.5</v>
      </c>
      <c r="N790" s="7">
        <f>INDEX(products!$A$1:$G$49,MATCH($F790,products!$A$1:$A$49,0),MATCH(N$1,products!$A$1:$G$1,0))</f>
        <v>5.97</v>
      </c>
      <c r="O790" s="7">
        <f t="shared" si="12"/>
        <v>17.91</v>
      </c>
      <c r="P790" t="str" cm="1">
        <f t="array" ref="P790">_xlfn.IFS(K790="Rob","Robusta",K790="Exc","Excelsa",K790="Ara","Arabica",K790="Lib","Liberica")</f>
        <v>Arabica</v>
      </c>
      <c r="Q790" t="str" cm="1">
        <f t="array" ref="Q790">_xlfn.IFS(L790="M","Medium",L790="L","Light",L790="D","Dark")</f>
        <v>Dark</v>
      </c>
      <c r="R790" t="str">
        <f>_xlfn.XLOOKUP(Orders[[#This Row],[Customer ID]],customers!$A$1:$A$1001,customers!$I$1:$I$1001)</f>
        <v>No</v>
      </c>
    </row>
    <row r="791" spans="1:18" x14ac:dyDescent="0.35">
      <c r="A791" s="2" t="s">
        <v>4814</v>
      </c>
      <c r="B791" s="4">
        <v>43667</v>
      </c>
      <c r="C791" s="23">
        <f>Orders[[#This Row],[Order Date]]</f>
        <v>43667</v>
      </c>
      <c r="D791" s="2">
        <f>YEAR(Orders[[#This Row],[Order Date]])</f>
        <v>2019</v>
      </c>
      <c r="E791" s="2" t="s">
        <v>4815</v>
      </c>
      <c r="F791" t="s">
        <v>6138</v>
      </c>
      <c r="G791" s="20">
        <v>6</v>
      </c>
      <c r="H791" s="2" t="str">
        <f>INDEX(customers!$A$1:$I$1001,MATCH($E791,customers!$A$1:$A$1001,),MATCH($H$1,customers!$A$1:$I$1,0))</f>
        <v>Rafferty Pursglove</v>
      </c>
      <c r="I791" s="2" t="str">
        <f>IF(INDEX(customers!$A$1:$I$1001,MATCH($E791,customers!$A$1:$A$1001,0),3)=0,"",INDEX(customers!$A$1:$I$1001,MATCH($E791,customers!$A$1:$A$1001,0),3))</f>
        <v>rpursglovel9@biblegateway.com</v>
      </c>
      <c r="J791" s="2" t="str">
        <f>_xlfn.XLOOKUP(E791,customers!$A$1:$A$1001,customers!$G$1:$G$1001)</f>
        <v>United States</v>
      </c>
      <c r="K791" t="str">
        <f>INDEX(products!$A$1:$G$49,MATCH($F791,products!$A$1:$A$49,0),MATCH(K$1,products!$A$1:$G$1,0))</f>
        <v>Rob</v>
      </c>
      <c r="L791" t="str">
        <f>INDEX(products!$A$1:$G$49,MATCH($F791,products!$A$1:$A$49,0),MATCH(L$1,products!$A$1:$G$1,0))</f>
        <v>M</v>
      </c>
      <c r="M791" s="5">
        <f>INDEX(products!$A$1:$G$49,MATCH($F791,products!$A$1:$A$49,0),MATCH(M$1,products!$A$1:$G$1,0))</f>
        <v>1</v>
      </c>
      <c r="N791" s="7">
        <f>INDEX(products!$A$1:$G$49,MATCH($F791,products!$A$1:$A$49,0),MATCH(N$1,products!$A$1:$G$1,0))</f>
        <v>9.9499999999999993</v>
      </c>
      <c r="O791" s="7">
        <f t="shared" si="12"/>
        <v>59.699999999999996</v>
      </c>
      <c r="P791" t="str" cm="1">
        <f t="array" ref="P791">_xlfn.IFS(K791="Rob","Robusta",K791="Exc","Excelsa",K791="Ara","Arabica",K791="Lib","Liberica")</f>
        <v>Robusta</v>
      </c>
      <c r="Q791" t="str" cm="1">
        <f t="array" ref="Q791">_xlfn.IFS(L791="M","Medium",L791="L","Light",L791="D","Dark")</f>
        <v>Medium</v>
      </c>
      <c r="R791" t="str">
        <f>_xlfn.XLOOKUP(Orders[[#This Row],[Customer ID]],customers!$A$1:$A$1001,customers!$I$1:$I$1001)</f>
        <v>Yes</v>
      </c>
    </row>
    <row r="792" spans="1:18" x14ac:dyDescent="0.35">
      <c r="A792" s="2" t="s">
        <v>4814</v>
      </c>
      <c r="B792" s="4">
        <v>43667</v>
      </c>
      <c r="C792" s="23">
        <f>Orders[[#This Row],[Order Date]]</f>
        <v>43667</v>
      </c>
      <c r="D792" s="2">
        <f>YEAR(Orders[[#This Row],[Order Date]])</f>
        <v>2019</v>
      </c>
      <c r="E792" s="2" t="s">
        <v>4815</v>
      </c>
      <c r="F792" t="s">
        <v>6180</v>
      </c>
      <c r="G792" s="20">
        <v>2</v>
      </c>
      <c r="H792" s="2" t="str">
        <f>INDEX(customers!$A$1:$I$1001,MATCH($E792,customers!$A$1:$A$1001,),MATCH($H$1,customers!$A$1:$I$1,0))</f>
        <v>Rafferty Pursglove</v>
      </c>
      <c r="I792" s="2" t="str">
        <f>IF(INDEX(customers!$A$1:$I$1001,MATCH($E792,customers!$A$1:$A$1001,0),3)=0,"",INDEX(customers!$A$1:$I$1001,MATCH($E792,customers!$A$1:$A$1001,0),3))</f>
        <v>rpursglovel9@biblegateway.com</v>
      </c>
      <c r="J792" s="2" t="str">
        <f>_xlfn.XLOOKUP(E792,customers!$A$1:$A$1001,customers!$G$1:$G$1001)</f>
        <v>United States</v>
      </c>
      <c r="K792" t="str">
        <f>INDEX(products!$A$1:$G$49,MATCH($F792,products!$A$1:$A$49,0),MATCH(K$1,products!$A$1:$G$1,0))</f>
        <v>Ara</v>
      </c>
      <c r="L792" t="str">
        <f>INDEX(products!$A$1:$G$49,MATCH($F792,products!$A$1:$A$49,0),MATCH(L$1,products!$A$1:$G$1,0))</f>
        <v>L</v>
      </c>
      <c r="M792" s="5">
        <f>INDEX(products!$A$1:$G$49,MATCH($F792,products!$A$1:$A$49,0),MATCH(M$1,products!$A$1:$G$1,0))</f>
        <v>0.5</v>
      </c>
      <c r="N792" s="7">
        <f>INDEX(products!$A$1:$G$49,MATCH($F792,products!$A$1:$A$49,0),MATCH(N$1,products!$A$1:$G$1,0))</f>
        <v>7.77</v>
      </c>
      <c r="O792" s="7">
        <f t="shared" si="12"/>
        <v>15.54</v>
      </c>
      <c r="P792" t="str" cm="1">
        <f t="array" ref="P792">_xlfn.IFS(K792="Rob","Robusta",K792="Exc","Excelsa",K792="Ara","Arabica",K792="Lib","Liberica")</f>
        <v>Arabica</v>
      </c>
      <c r="Q792" t="str" cm="1">
        <f t="array" ref="Q792">_xlfn.IFS(L792="M","Medium",L792="L","Light",L792="D","Dark")</f>
        <v>Light</v>
      </c>
      <c r="R792" t="str">
        <f>_xlfn.XLOOKUP(Orders[[#This Row],[Customer ID]],customers!$A$1:$A$1001,customers!$I$1:$I$1001)</f>
        <v>Yes</v>
      </c>
    </row>
    <row r="793" spans="1:18" x14ac:dyDescent="0.35">
      <c r="A793" s="2" t="s">
        <v>1204</v>
      </c>
      <c r="B793" s="4">
        <v>44510</v>
      </c>
      <c r="C793" s="23">
        <f>Orders[[#This Row],[Order Date]]</f>
        <v>44510</v>
      </c>
      <c r="D793" s="2">
        <f>YEAR(Orders[[#This Row],[Order Date]])</f>
        <v>2021</v>
      </c>
      <c r="E793" s="2" t="s">
        <v>1205</v>
      </c>
      <c r="F793" t="s">
        <v>6143</v>
      </c>
      <c r="G793" s="20">
        <v>6</v>
      </c>
      <c r="H793" s="2" t="str">
        <f>INDEX(customers!$A$1:$I$1001,MATCH($E793,customers!$A$1:$A$1001,),MATCH($H$1,customers!$A$1:$I$1,0))</f>
        <v>Raleigh Lepere</v>
      </c>
      <c r="I793" s="2" t="str">
        <f>IF(INDEX(customers!$A$1:$I$1001,MATCH($E793,customers!$A$1:$A$1001,0),3)=0,"",INDEX(customers!$A$1:$I$1001,MATCH($E793,customers!$A$1:$A$1001,0),3))</f>
        <v>rlepere3j@shop-pro.jp</v>
      </c>
      <c r="J793" s="2" t="str">
        <f>_xlfn.XLOOKUP(E793,customers!$A$1:$A$1001,customers!$G$1:$G$1001)</f>
        <v>Ireland</v>
      </c>
      <c r="K793" t="str">
        <f>INDEX(products!$A$1:$G$49,MATCH($F793,products!$A$1:$A$49,0),MATCH(K$1,products!$A$1:$G$1,0))</f>
        <v>Lib</v>
      </c>
      <c r="L793" t="str">
        <f>INDEX(products!$A$1:$G$49,MATCH($F793,products!$A$1:$A$49,0),MATCH(L$1,products!$A$1:$G$1,0))</f>
        <v>D</v>
      </c>
      <c r="M793" s="5">
        <f>INDEX(products!$A$1:$G$49,MATCH($F793,products!$A$1:$A$49,0),MATCH(M$1,products!$A$1:$G$1,0))</f>
        <v>1</v>
      </c>
      <c r="N793" s="7">
        <f>INDEX(products!$A$1:$G$49,MATCH($F793,products!$A$1:$A$49,0),MATCH(N$1,products!$A$1:$G$1,0))</f>
        <v>12.95</v>
      </c>
      <c r="O793" s="7">
        <f t="shared" si="12"/>
        <v>77.699999999999989</v>
      </c>
      <c r="P793" t="str" cm="1">
        <f t="array" ref="P793">_xlfn.IFS(K793="Rob","Robusta",K793="Exc","Excelsa",K793="Ara","Arabica",K793="Lib","Liberica")</f>
        <v>Liberica</v>
      </c>
      <c r="Q793" t="str" cm="1">
        <f t="array" ref="Q793">_xlfn.IFS(L793="M","Medium",L793="L","Light",L793="D","Dark")</f>
        <v>Dark</v>
      </c>
      <c r="R793" t="str">
        <f>_xlfn.XLOOKUP(Orders[[#This Row],[Customer ID]],customers!$A$1:$A$1001,customers!$I$1:$I$1001)</f>
        <v>No</v>
      </c>
    </row>
    <row r="794" spans="1:18" x14ac:dyDescent="0.35">
      <c r="A794" s="2" t="s">
        <v>6053</v>
      </c>
      <c r="B794" s="4">
        <v>44214</v>
      </c>
      <c r="C794" s="23">
        <f>Orders[[#This Row],[Order Date]]</f>
        <v>44214</v>
      </c>
      <c r="D794" s="2">
        <f>YEAR(Orders[[#This Row],[Order Date]])</f>
        <v>2021</v>
      </c>
      <c r="E794" s="2" t="s">
        <v>6054</v>
      </c>
      <c r="F794" t="s">
        <v>6166</v>
      </c>
      <c r="G794" s="20">
        <v>1</v>
      </c>
      <c r="H794" s="2" t="str">
        <f>INDEX(customers!$A$1:$I$1001,MATCH($E794,customers!$A$1:$A$1001,),MATCH($H$1,customers!$A$1:$I$1,0))</f>
        <v>Ramon Cheak</v>
      </c>
      <c r="I794" s="2" t="str">
        <f>IF(INDEX(customers!$A$1:$I$1001,MATCH($E794,customers!$A$1:$A$1001,0),3)=0,"",INDEX(customers!$A$1:$I$1001,MATCH($E794,customers!$A$1:$A$1001,0),3))</f>
        <v>rcheakrc@tripadvisor.com</v>
      </c>
      <c r="J794" s="2" t="str">
        <f>_xlfn.XLOOKUP(E794,customers!$A$1:$A$1001,customers!$G$1:$G$1001)</f>
        <v>Ireland</v>
      </c>
      <c r="K794" t="str">
        <f>INDEX(products!$A$1:$G$49,MATCH($F794,products!$A$1:$A$49,0),MATCH(K$1,products!$A$1:$G$1,0))</f>
        <v>Exc</v>
      </c>
      <c r="L794" t="str">
        <f>INDEX(products!$A$1:$G$49,MATCH($F794,products!$A$1:$A$49,0),MATCH(L$1,products!$A$1:$G$1,0))</f>
        <v>M</v>
      </c>
      <c r="M794" s="5">
        <f>INDEX(products!$A$1:$G$49,MATCH($F794,products!$A$1:$A$49,0),MATCH(M$1,products!$A$1:$G$1,0))</f>
        <v>2.5</v>
      </c>
      <c r="N794" s="7">
        <f>INDEX(products!$A$1:$G$49,MATCH($F794,products!$A$1:$A$49,0),MATCH(N$1,products!$A$1:$G$1,0))</f>
        <v>31.624999999999996</v>
      </c>
      <c r="O794" s="7">
        <f t="shared" si="12"/>
        <v>31.624999999999996</v>
      </c>
      <c r="P794" t="str" cm="1">
        <f t="array" ref="P794">_xlfn.IFS(K794="Rob","Robusta",K794="Exc","Excelsa",K794="Ara","Arabica",K794="Lib","Liberica")</f>
        <v>Excelsa</v>
      </c>
      <c r="Q794" t="str" cm="1">
        <f t="array" ref="Q794">_xlfn.IFS(L794="M","Medium",L794="L","Light",L794="D","Dark")</f>
        <v>Medium</v>
      </c>
      <c r="R794" t="str">
        <f>_xlfn.XLOOKUP(Orders[[#This Row],[Customer ID]],customers!$A$1:$A$1001,customers!$I$1:$I$1001)</f>
        <v>Yes</v>
      </c>
    </row>
    <row r="795" spans="1:18" x14ac:dyDescent="0.35">
      <c r="A795" s="2" t="s">
        <v>3493</v>
      </c>
      <c r="B795" s="4">
        <v>44591</v>
      </c>
      <c r="C795" s="23">
        <f>Orders[[#This Row],[Order Date]]</f>
        <v>44591</v>
      </c>
      <c r="D795" s="2">
        <f>YEAR(Orders[[#This Row],[Order Date]])</f>
        <v>2022</v>
      </c>
      <c r="E795" s="2" t="s">
        <v>3494</v>
      </c>
      <c r="F795" t="s">
        <v>6177</v>
      </c>
      <c r="G795" s="20">
        <v>5</v>
      </c>
      <c r="H795" s="2" t="str">
        <f>INDEX(customers!$A$1:$I$1001,MATCH($E795,customers!$A$1:$A$1001,),MATCH($H$1,customers!$A$1:$I$1,0))</f>
        <v>Rana Sharer</v>
      </c>
      <c r="I795" s="2" t="str">
        <f>IF(INDEX(customers!$A$1:$I$1001,MATCH($E795,customers!$A$1:$A$1001,0),3)=0,"",INDEX(customers!$A$1:$I$1001,MATCH($E795,customers!$A$1:$A$1001,0),3))</f>
        <v>rsharerer@flavors.me</v>
      </c>
      <c r="J795" s="2" t="str">
        <f>_xlfn.XLOOKUP(E795,customers!$A$1:$A$1001,customers!$G$1:$G$1001)</f>
        <v>United States</v>
      </c>
      <c r="K795" t="str">
        <f>INDEX(products!$A$1:$G$49,MATCH($F795,products!$A$1:$A$49,0),MATCH(K$1,products!$A$1:$G$1,0))</f>
        <v>Rob</v>
      </c>
      <c r="L795" t="str">
        <f>INDEX(products!$A$1:$G$49,MATCH($F795,products!$A$1:$A$49,0),MATCH(L$1,products!$A$1:$G$1,0))</f>
        <v>D</v>
      </c>
      <c r="M795" s="5">
        <f>INDEX(products!$A$1:$G$49,MATCH($F795,products!$A$1:$A$49,0),MATCH(M$1,products!$A$1:$G$1,0))</f>
        <v>1</v>
      </c>
      <c r="N795" s="7">
        <f>INDEX(products!$A$1:$G$49,MATCH($F795,products!$A$1:$A$49,0),MATCH(N$1,products!$A$1:$G$1,0))</f>
        <v>8.9499999999999993</v>
      </c>
      <c r="O795" s="7">
        <f t="shared" si="12"/>
        <v>44.75</v>
      </c>
      <c r="P795" t="str" cm="1">
        <f t="array" ref="P795">_xlfn.IFS(K795="Rob","Robusta",K795="Exc","Excelsa",K795="Ara","Arabica",K795="Lib","Liberica")</f>
        <v>Robusta</v>
      </c>
      <c r="Q795" t="str" cm="1">
        <f t="array" ref="Q795">_xlfn.IFS(L795="M","Medium",L795="L","Light",L795="D","Dark")</f>
        <v>Dark</v>
      </c>
      <c r="R795" t="str">
        <f>_xlfn.XLOOKUP(Orders[[#This Row],[Customer ID]],customers!$A$1:$A$1001,customers!$I$1:$I$1001)</f>
        <v>No</v>
      </c>
    </row>
    <row r="796" spans="1:18" x14ac:dyDescent="0.35">
      <c r="A796" s="2" t="s">
        <v>2710</v>
      </c>
      <c r="B796" s="4">
        <v>44083</v>
      </c>
      <c r="C796" s="23">
        <f>Orders[[#This Row],[Order Date]]</f>
        <v>44083</v>
      </c>
      <c r="D796" s="2">
        <f>YEAR(Orders[[#This Row],[Order Date]])</f>
        <v>2020</v>
      </c>
      <c r="E796" s="2" t="s">
        <v>2711</v>
      </c>
      <c r="F796" t="s">
        <v>6142</v>
      </c>
      <c r="G796" s="20">
        <v>4</v>
      </c>
      <c r="H796" s="2" t="str">
        <f>INDEX(customers!$A$1:$I$1001,MATCH($E796,customers!$A$1:$A$1001,),MATCH($H$1,customers!$A$1:$I$1,0))</f>
        <v>Randal Longfield</v>
      </c>
      <c r="I796" s="2" t="str">
        <f>IF(INDEX(customers!$A$1:$I$1001,MATCH($E796,customers!$A$1:$A$1001,0),3)=0,"",INDEX(customers!$A$1:$I$1001,MATCH($E796,customers!$A$1:$A$1001,0),3))</f>
        <v>rlongfielday@bluehost.com</v>
      </c>
      <c r="J796" s="2" t="str">
        <f>_xlfn.XLOOKUP(E796,customers!$A$1:$A$1001,customers!$G$1:$G$1001)</f>
        <v>United States</v>
      </c>
      <c r="K796" t="str">
        <f>INDEX(products!$A$1:$G$49,MATCH($F796,products!$A$1:$A$49,0),MATCH(K$1,products!$A$1:$G$1,0))</f>
        <v>Rob</v>
      </c>
      <c r="L796" t="str">
        <f>INDEX(products!$A$1:$G$49,MATCH($F796,products!$A$1:$A$49,0),MATCH(L$1,products!$A$1:$G$1,0))</f>
        <v>L</v>
      </c>
      <c r="M796" s="5">
        <f>INDEX(products!$A$1:$G$49,MATCH($F796,products!$A$1:$A$49,0),MATCH(M$1,products!$A$1:$G$1,0))</f>
        <v>2.5</v>
      </c>
      <c r="N796" s="7">
        <f>INDEX(products!$A$1:$G$49,MATCH($F796,products!$A$1:$A$49,0),MATCH(N$1,products!$A$1:$G$1,0))</f>
        <v>27.484999999999996</v>
      </c>
      <c r="O796" s="7">
        <f t="shared" si="12"/>
        <v>109.93999999999998</v>
      </c>
      <c r="P796" t="str" cm="1">
        <f t="array" ref="P796">_xlfn.IFS(K796="Rob","Robusta",K796="Exc","Excelsa",K796="Ara","Arabica",K796="Lib","Liberica")</f>
        <v>Robusta</v>
      </c>
      <c r="Q796" t="str" cm="1">
        <f t="array" ref="Q796">_xlfn.IFS(L796="M","Medium",L796="L","Light",L796="D","Dark")</f>
        <v>Light</v>
      </c>
      <c r="R796" t="str">
        <f>_xlfn.XLOOKUP(Orders[[#This Row],[Customer ID]],customers!$A$1:$A$1001,customers!$I$1:$I$1001)</f>
        <v>No</v>
      </c>
    </row>
    <row r="797" spans="1:18" x14ac:dyDescent="0.35">
      <c r="A797" s="2" t="s">
        <v>3094</v>
      </c>
      <c r="B797" s="4">
        <v>44036</v>
      </c>
      <c r="C797" s="23">
        <f>Orders[[#This Row],[Order Date]]</f>
        <v>44036</v>
      </c>
      <c r="D797" s="2">
        <f>YEAR(Orders[[#This Row],[Order Date]])</f>
        <v>2020</v>
      </c>
      <c r="E797" s="2" t="s">
        <v>3095</v>
      </c>
      <c r="F797" t="s">
        <v>6163</v>
      </c>
      <c r="G797" s="20">
        <v>4</v>
      </c>
      <c r="H797" s="2" t="str">
        <f>INDEX(customers!$A$1:$I$1001,MATCH($E797,customers!$A$1:$A$1001,),MATCH($H$1,customers!$A$1:$I$1,0))</f>
        <v>Ransell McKall</v>
      </c>
      <c r="I797" s="2" t="str">
        <f>IF(INDEX(customers!$A$1:$I$1001,MATCH($E797,customers!$A$1:$A$1001,0),3)=0,"",INDEX(customers!$A$1:$I$1001,MATCH($E797,customers!$A$1:$A$1001,0),3))</f>
        <v>rmckallct@sakura.ne.jp</v>
      </c>
      <c r="J797" s="2" t="str">
        <f>_xlfn.XLOOKUP(E797,customers!$A$1:$A$1001,customers!$G$1:$G$1001)</f>
        <v>United Kingdom</v>
      </c>
      <c r="K797" t="str">
        <f>INDEX(products!$A$1:$G$49,MATCH($F797,products!$A$1:$A$49,0),MATCH(K$1,products!$A$1:$G$1,0))</f>
        <v>Rob</v>
      </c>
      <c r="L797" t="str">
        <f>INDEX(products!$A$1:$G$49,MATCH($F797,products!$A$1:$A$49,0),MATCH(L$1,products!$A$1:$G$1,0))</f>
        <v>D</v>
      </c>
      <c r="M797" s="5">
        <f>INDEX(products!$A$1:$G$49,MATCH($F797,products!$A$1:$A$49,0),MATCH(M$1,products!$A$1:$G$1,0))</f>
        <v>0.2</v>
      </c>
      <c r="N797" s="7">
        <f>INDEX(products!$A$1:$G$49,MATCH($F797,products!$A$1:$A$49,0),MATCH(N$1,products!$A$1:$G$1,0))</f>
        <v>2.6849999999999996</v>
      </c>
      <c r="O797" s="7">
        <f t="shared" si="12"/>
        <v>10.739999999999998</v>
      </c>
      <c r="P797" t="str" cm="1">
        <f t="array" ref="P797">_xlfn.IFS(K797="Rob","Robusta",K797="Exc","Excelsa",K797="Ara","Arabica",K797="Lib","Liberica")</f>
        <v>Robusta</v>
      </c>
      <c r="Q797" t="str" cm="1">
        <f t="array" ref="Q797">_xlfn.IFS(L797="M","Medium",L797="L","Light",L797="D","Dark")</f>
        <v>Dark</v>
      </c>
      <c r="R797" t="str">
        <f>_xlfn.XLOOKUP(Orders[[#This Row],[Customer ID]],customers!$A$1:$A$1001,customers!$I$1:$I$1001)</f>
        <v>Yes</v>
      </c>
    </row>
    <row r="798" spans="1:18" x14ac:dyDescent="0.35">
      <c r="A798" s="2" t="s">
        <v>5543</v>
      </c>
      <c r="B798" s="4">
        <v>44651</v>
      </c>
      <c r="C798" s="23">
        <f>Orders[[#This Row],[Order Date]]</f>
        <v>44651</v>
      </c>
      <c r="D798" s="2">
        <f>YEAR(Orders[[#This Row],[Order Date]])</f>
        <v>2022</v>
      </c>
      <c r="E798" s="2" t="s">
        <v>5544</v>
      </c>
      <c r="F798" t="s">
        <v>6161</v>
      </c>
      <c r="G798" s="20">
        <v>6</v>
      </c>
      <c r="H798" s="2" t="str">
        <f>INDEX(customers!$A$1:$I$1001,MATCH($E798,customers!$A$1:$A$1001,),MATCH($H$1,customers!$A$1:$I$1,0))</f>
        <v>Raphaela Schankelborg</v>
      </c>
      <c r="I798" s="2" t="str">
        <f>IF(INDEX(customers!$A$1:$I$1001,MATCH($E798,customers!$A$1:$A$1001,0),3)=0,"",INDEX(customers!$A$1:$I$1001,MATCH($E798,customers!$A$1:$A$1001,0),3))</f>
        <v>rschankelborgot@ameblo.jp</v>
      </c>
      <c r="J798" s="2" t="str">
        <f>_xlfn.XLOOKUP(E798,customers!$A$1:$A$1001,customers!$G$1:$G$1001)</f>
        <v>United States</v>
      </c>
      <c r="K798" t="str">
        <f>INDEX(products!$A$1:$G$49,MATCH($F798,products!$A$1:$A$49,0),MATCH(K$1,products!$A$1:$G$1,0))</f>
        <v>Lib</v>
      </c>
      <c r="L798" t="str">
        <f>INDEX(products!$A$1:$G$49,MATCH($F798,products!$A$1:$A$49,0),MATCH(L$1,products!$A$1:$G$1,0))</f>
        <v>L</v>
      </c>
      <c r="M798" s="5">
        <f>INDEX(products!$A$1:$G$49,MATCH($F798,products!$A$1:$A$49,0),MATCH(M$1,products!$A$1:$G$1,0))</f>
        <v>0.5</v>
      </c>
      <c r="N798" s="7">
        <f>INDEX(products!$A$1:$G$49,MATCH($F798,products!$A$1:$A$49,0),MATCH(N$1,products!$A$1:$G$1,0))</f>
        <v>9.51</v>
      </c>
      <c r="O798" s="7">
        <f t="shared" si="12"/>
        <v>57.06</v>
      </c>
      <c r="P798" t="str" cm="1">
        <f t="array" ref="P798">_xlfn.IFS(K798="Rob","Robusta",K798="Exc","Excelsa",K798="Ara","Arabica",K798="Lib","Liberica")</f>
        <v>Liberica</v>
      </c>
      <c r="Q798" t="str" cm="1">
        <f t="array" ref="Q798">_xlfn.IFS(L798="M","Medium",L798="L","Light",L798="D","Dark")</f>
        <v>Light</v>
      </c>
      <c r="R798" t="str">
        <f>_xlfn.XLOOKUP(Orders[[#This Row],[Customer ID]],customers!$A$1:$A$1001,customers!$I$1:$I$1001)</f>
        <v>Yes</v>
      </c>
    </row>
    <row r="799" spans="1:18" x14ac:dyDescent="0.35">
      <c r="A799" s="2" t="s">
        <v>2992</v>
      </c>
      <c r="B799" s="4">
        <v>44418</v>
      </c>
      <c r="C799" s="23">
        <f>Orders[[#This Row],[Order Date]]</f>
        <v>44418</v>
      </c>
      <c r="D799" s="2">
        <f>YEAR(Orders[[#This Row],[Order Date]])</f>
        <v>2021</v>
      </c>
      <c r="E799" s="2" t="s">
        <v>2993</v>
      </c>
      <c r="F799" t="s">
        <v>6156</v>
      </c>
      <c r="G799" s="20">
        <v>6</v>
      </c>
      <c r="H799" s="2" t="str">
        <f>INDEX(customers!$A$1:$I$1001,MATCH($E799,customers!$A$1:$A$1001,),MATCH($H$1,customers!$A$1:$I$1,0))</f>
        <v>Rasia Jacquemard</v>
      </c>
      <c r="I799" s="2" t="str">
        <f>IF(INDEX(customers!$A$1:$I$1001,MATCH($E799,customers!$A$1:$A$1001,0),3)=0,"",INDEX(customers!$A$1:$I$1001,MATCH($E799,customers!$A$1:$A$1001,0),3))</f>
        <v>rjacquemardcc@acquirethisname.com</v>
      </c>
      <c r="J799" s="2" t="str">
        <f>_xlfn.XLOOKUP(E799,customers!$A$1:$A$1001,customers!$G$1:$G$1001)</f>
        <v>Ireland</v>
      </c>
      <c r="K799" t="str">
        <f>INDEX(products!$A$1:$G$49,MATCH($F799,products!$A$1:$A$49,0),MATCH(K$1,products!$A$1:$G$1,0))</f>
        <v>Exc</v>
      </c>
      <c r="L799" t="str">
        <f>INDEX(products!$A$1:$G$49,MATCH($F799,products!$A$1:$A$49,0),MATCH(L$1,products!$A$1:$G$1,0))</f>
        <v>M</v>
      </c>
      <c r="M799" s="5">
        <f>INDEX(products!$A$1:$G$49,MATCH($F799,products!$A$1:$A$49,0),MATCH(M$1,products!$A$1:$G$1,0))</f>
        <v>0.2</v>
      </c>
      <c r="N799" s="7">
        <f>INDEX(products!$A$1:$G$49,MATCH($F799,products!$A$1:$A$49,0),MATCH(N$1,products!$A$1:$G$1,0))</f>
        <v>4.125</v>
      </c>
      <c r="O799" s="7">
        <f t="shared" si="12"/>
        <v>24.75</v>
      </c>
      <c r="P799" t="str" cm="1">
        <f t="array" ref="P799">_xlfn.IFS(K799="Rob","Robusta",K799="Exc","Excelsa",K799="Ara","Arabica",K799="Lib","Liberica")</f>
        <v>Excelsa</v>
      </c>
      <c r="Q799" t="str" cm="1">
        <f t="array" ref="Q799">_xlfn.IFS(L799="M","Medium",L799="L","Light",L799="D","Dark")</f>
        <v>Medium</v>
      </c>
      <c r="R799" t="str">
        <f>_xlfn.XLOOKUP(Orders[[#This Row],[Customer ID]],customers!$A$1:$A$1001,customers!$I$1:$I$1001)</f>
        <v>No</v>
      </c>
    </row>
    <row r="800" spans="1:18" x14ac:dyDescent="0.35">
      <c r="A800" s="2" t="s">
        <v>761</v>
      </c>
      <c r="B800" s="4">
        <v>44085</v>
      </c>
      <c r="C800" s="23">
        <f>Orders[[#This Row],[Order Date]]</f>
        <v>44085</v>
      </c>
      <c r="D800" s="2">
        <f>YEAR(Orders[[#This Row],[Order Date]])</f>
        <v>2020</v>
      </c>
      <c r="E800" s="2" t="s">
        <v>762</v>
      </c>
      <c r="F800" t="s">
        <v>6168</v>
      </c>
      <c r="G800" s="20">
        <v>4</v>
      </c>
      <c r="H800" s="2" t="str">
        <f>INDEX(customers!$A$1:$I$1001,MATCH($E800,customers!$A$1:$A$1001,),MATCH($H$1,customers!$A$1:$I$1,0))</f>
        <v>Raynor McGilvary</v>
      </c>
      <c r="I800" s="2" t="str">
        <f>IF(INDEX(customers!$A$1:$I$1001,MATCH($E800,customers!$A$1:$A$1001,0),3)=0,"",INDEX(customers!$A$1:$I$1001,MATCH($E800,customers!$A$1:$A$1001,0),3))</f>
        <v>rmcgilvary1c@tamu.edu</v>
      </c>
      <c r="J800" s="2" t="str">
        <f>_xlfn.XLOOKUP(E800,customers!$A$1:$A$1001,customers!$G$1:$G$1001)</f>
        <v>United States</v>
      </c>
      <c r="K800" t="str">
        <f>INDEX(products!$A$1:$G$49,MATCH($F800,products!$A$1:$A$49,0),MATCH(K$1,products!$A$1:$G$1,0))</f>
        <v>Ara</v>
      </c>
      <c r="L800" t="str">
        <f>INDEX(products!$A$1:$G$49,MATCH($F800,products!$A$1:$A$49,0),MATCH(L$1,products!$A$1:$G$1,0))</f>
        <v>D</v>
      </c>
      <c r="M800" s="5">
        <f>INDEX(products!$A$1:$G$49,MATCH($F800,products!$A$1:$A$49,0),MATCH(M$1,products!$A$1:$G$1,0))</f>
        <v>2.5</v>
      </c>
      <c r="N800" s="7">
        <f>INDEX(products!$A$1:$G$49,MATCH($F800,products!$A$1:$A$49,0),MATCH(N$1,products!$A$1:$G$1,0))</f>
        <v>22.884999999999998</v>
      </c>
      <c r="O800" s="7">
        <f t="shared" si="12"/>
        <v>91.539999999999992</v>
      </c>
      <c r="P800" t="str" cm="1">
        <f t="array" ref="P800">_xlfn.IFS(K800="Rob","Robusta",K800="Exc","Excelsa",K800="Ara","Arabica",K800="Lib","Liberica")</f>
        <v>Arabica</v>
      </c>
      <c r="Q800" t="str" cm="1">
        <f t="array" ref="Q800">_xlfn.IFS(L800="M","Medium",L800="L","Light",L800="D","Dark")</f>
        <v>Dark</v>
      </c>
      <c r="R800" t="str">
        <f>_xlfn.XLOOKUP(Orders[[#This Row],[Customer ID]],customers!$A$1:$A$1001,customers!$I$1:$I$1001)</f>
        <v>No</v>
      </c>
    </row>
    <row r="801" spans="1:18" x14ac:dyDescent="0.35">
      <c r="A801" s="2" t="s">
        <v>3505</v>
      </c>
      <c r="B801" s="4">
        <v>44724</v>
      </c>
      <c r="C801" s="23">
        <f>Orders[[#This Row],[Order Date]]</f>
        <v>44724</v>
      </c>
      <c r="D801" s="2">
        <f>YEAR(Orders[[#This Row],[Order Date]])</f>
        <v>2022</v>
      </c>
      <c r="E801" s="2" t="s">
        <v>3506</v>
      </c>
      <c r="F801" t="s">
        <v>6172</v>
      </c>
      <c r="G801" s="20">
        <v>4</v>
      </c>
      <c r="H801" s="2" t="str">
        <f>INDEX(customers!$A$1:$I$1001,MATCH($E801,customers!$A$1:$A$1001,),MATCH($H$1,customers!$A$1:$I$1,0))</f>
        <v>Rea Offell</v>
      </c>
      <c r="I801" s="2" t="str">
        <f>IF(INDEX(customers!$A$1:$I$1001,MATCH($E801,customers!$A$1:$A$1001,0),3)=0,"",INDEX(customers!$A$1:$I$1001,MATCH($E801,customers!$A$1:$A$1001,0),3))</f>
        <v/>
      </c>
      <c r="J801" s="2" t="str">
        <f>_xlfn.XLOOKUP(E801,customers!$A$1:$A$1001,customers!$G$1:$G$1001)</f>
        <v>United States</v>
      </c>
      <c r="K801" t="str">
        <f>INDEX(products!$A$1:$G$49,MATCH($F801,products!$A$1:$A$49,0),MATCH(K$1,products!$A$1:$G$1,0))</f>
        <v>Rob</v>
      </c>
      <c r="L801" t="str">
        <f>INDEX(products!$A$1:$G$49,MATCH($F801,products!$A$1:$A$49,0),MATCH(L$1,products!$A$1:$G$1,0))</f>
        <v>D</v>
      </c>
      <c r="M801" s="5">
        <f>INDEX(products!$A$1:$G$49,MATCH($F801,products!$A$1:$A$49,0),MATCH(M$1,products!$A$1:$G$1,0))</f>
        <v>0.5</v>
      </c>
      <c r="N801" s="7">
        <f>INDEX(products!$A$1:$G$49,MATCH($F801,products!$A$1:$A$49,0),MATCH(N$1,products!$A$1:$G$1,0))</f>
        <v>5.3699999999999992</v>
      </c>
      <c r="O801" s="7">
        <f t="shared" si="12"/>
        <v>21.479999999999997</v>
      </c>
      <c r="P801" t="str" cm="1">
        <f t="array" ref="P801">_xlfn.IFS(K801="Rob","Robusta",K801="Exc","Excelsa",K801="Ara","Arabica",K801="Lib","Liberica")</f>
        <v>Robusta</v>
      </c>
      <c r="Q801" t="str" cm="1">
        <f t="array" ref="Q801">_xlfn.IFS(L801="M","Medium",L801="L","Light",L801="D","Dark")</f>
        <v>Dark</v>
      </c>
      <c r="R801" t="str">
        <f>_xlfn.XLOOKUP(Orders[[#This Row],[Customer ID]],customers!$A$1:$A$1001,customers!$I$1:$I$1001)</f>
        <v>No</v>
      </c>
    </row>
    <row r="802" spans="1:18" x14ac:dyDescent="0.35">
      <c r="A802" s="2" t="s">
        <v>5768</v>
      </c>
      <c r="B802" s="4">
        <v>44409</v>
      </c>
      <c r="C802" s="23">
        <f>Orders[[#This Row],[Order Date]]</f>
        <v>44409</v>
      </c>
      <c r="D802" s="2">
        <f>YEAR(Orders[[#This Row],[Order Date]])</f>
        <v>2021</v>
      </c>
      <c r="E802" s="2" t="s">
        <v>5769</v>
      </c>
      <c r="F802" t="s">
        <v>6151</v>
      </c>
      <c r="G802" s="20">
        <v>5</v>
      </c>
      <c r="H802" s="2" t="str">
        <f>INDEX(customers!$A$1:$I$1001,MATCH($E802,customers!$A$1:$A$1001,),MATCH($H$1,customers!$A$1:$I$1,0))</f>
        <v>Read Cutts</v>
      </c>
      <c r="I802" s="2" t="str">
        <f>IF(INDEX(customers!$A$1:$I$1001,MATCH($E802,customers!$A$1:$A$1001,0),3)=0,"",INDEX(customers!$A$1:$I$1001,MATCH($E802,customers!$A$1:$A$1001,0),3))</f>
        <v>rcuttspy@techcrunch.com</v>
      </c>
      <c r="J802" s="2" t="str">
        <f>_xlfn.XLOOKUP(E802,customers!$A$1:$A$1001,customers!$G$1:$G$1001)</f>
        <v>United States</v>
      </c>
      <c r="K802" t="str">
        <f>INDEX(products!$A$1:$G$49,MATCH($F802,products!$A$1:$A$49,0),MATCH(K$1,products!$A$1:$G$1,0))</f>
        <v>Rob</v>
      </c>
      <c r="L802" t="str">
        <f>INDEX(products!$A$1:$G$49,MATCH($F802,products!$A$1:$A$49,0),MATCH(L$1,products!$A$1:$G$1,0))</f>
        <v>M</v>
      </c>
      <c r="M802" s="5">
        <f>INDEX(products!$A$1:$G$49,MATCH($F802,products!$A$1:$A$49,0),MATCH(M$1,products!$A$1:$G$1,0))</f>
        <v>2.5</v>
      </c>
      <c r="N802" s="7">
        <f>INDEX(products!$A$1:$G$49,MATCH($F802,products!$A$1:$A$49,0),MATCH(N$1,products!$A$1:$G$1,0))</f>
        <v>22.884999999999998</v>
      </c>
      <c r="O802" s="7">
        <f t="shared" si="12"/>
        <v>114.42499999999998</v>
      </c>
      <c r="P802" t="str" cm="1">
        <f t="array" ref="P802">_xlfn.IFS(K802="Rob","Robusta",K802="Exc","Excelsa",K802="Ara","Arabica",K802="Lib","Liberica")</f>
        <v>Robusta</v>
      </c>
      <c r="Q802" t="str" cm="1">
        <f t="array" ref="Q802">_xlfn.IFS(L802="M","Medium",L802="L","Light",L802="D","Dark")</f>
        <v>Medium</v>
      </c>
      <c r="R802" t="str">
        <f>_xlfn.XLOOKUP(Orders[[#This Row],[Customer ID]],customers!$A$1:$A$1001,customers!$I$1:$I$1001)</f>
        <v>No</v>
      </c>
    </row>
    <row r="803" spans="1:18" x14ac:dyDescent="0.35">
      <c r="A803" s="2" t="s">
        <v>3648</v>
      </c>
      <c r="B803" s="4">
        <v>44667</v>
      </c>
      <c r="C803" s="23">
        <f>Orders[[#This Row],[Order Date]]</f>
        <v>44667</v>
      </c>
      <c r="D803" s="2">
        <f>YEAR(Orders[[#This Row],[Order Date]])</f>
        <v>2022</v>
      </c>
      <c r="E803" s="2" t="s">
        <v>3649</v>
      </c>
      <c r="F803" t="s">
        <v>6140</v>
      </c>
      <c r="G803" s="20">
        <v>3</v>
      </c>
      <c r="H803" s="2" t="str">
        <f>INDEX(customers!$A$1:$I$1001,MATCH($E803,customers!$A$1:$A$1001,),MATCH($H$1,customers!$A$1:$I$1,0))</f>
        <v>Reamonn Aynold</v>
      </c>
      <c r="I803" s="2" t="str">
        <f>IF(INDEX(customers!$A$1:$I$1001,MATCH($E803,customers!$A$1:$A$1001,0),3)=0,"",INDEX(customers!$A$1:$I$1001,MATCH($E803,customers!$A$1:$A$1001,0),3))</f>
        <v>raynoldfj@ustream.tv</v>
      </c>
      <c r="J803" s="2" t="str">
        <f>_xlfn.XLOOKUP(E803,customers!$A$1:$A$1001,customers!$G$1:$G$1001)</f>
        <v>United States</v>
      </c>
      <c r="K803" t="str">
        <f>INDEX(products!$A$1:$G$49,MATCH($F803,products!$A$1:$A$49,0),MATCH(K$1,products!$A$1:$G$1,0))</f>
        <v>Ara</v>
      </c>
      <c r="L803" t="str">
        <f>INDEX(products!$A$1:$G$49,MATCH($F803,products!$A$1:$A$49,0),MATCH(L$1,products!$A$1:$G$1,0))</f>
        <v>L</v>
      </c>
      <c r="M803" s="5">
        <f>INDEX(products!$A$1:$G$49,MATCH($F803,products!$A$1:$A$49,0),MATCH(M$1,products!$A$1:$G$1,0))</f>
        <v>1</v>
      </c>
      <c r="N803" s="7">
        <f>INDEX(products!$A$1:$G$49,MATCH($F803,products!$A$1:$A$49,0),MATCH(N$1,products!$A$1:$G$1,0))</f>
        <v>12.95</v>
      </c>
      <c r="O803" s="7">
        <f t="shared" si="12"/>
        <v>38.849999999999994</v>
      </c>
      <c r="P803" t="str" cm="1">
        <f t="array" ref="P803">_xlfn.IFS(K803="Rob","Robusta",K803="Exc","Excelsa",K803="Ara","Arabica",K803="Lib","Liberica")</f>
        <v>Arabica</v>
      </c>
      <c r="Q803" t="str" cm="1">
        <f t="array" ref="Q803">_xlfn.IFS(L803="M","Medium",L803="L","Light",L803="D","Dark")</f>
        <v>Light</v>
      </c>
      <c r="R803" t="str">
        <f>_xlfn.XLOOKUP(Orders[[#This Row],[Customer ID]],customers!$A$1:$A$1001,customers!$I$1:$I$1001)</f>
        <v>Yes</v>
      </c>
    </row>
    <row r="804" spans="1:18" x14ac:dyDescent="0.35">
      <c r="A804" s="2" t="s">
        <v>2440</v>
      </c>
      <c r="B804" s="4">
        <v>44344</v>
      </c>
      <c r="C804" s="23">
        <f>Orders[[#This Row],[Order Date]]</f>
        <v>44344</v>
      </c>
      <c r="D804" s="2">
        <f>YEAR(Orders[[#This Row],[Order Date]])</f>
        <v>2021</v>
      </c>
      <c r="E804" s="2" t="s">
        <v>2441</v>
      </c>
      <c r="F804" t="s">
        <v>6180</v>
      </c>
      <c r="G804" s="20">
        <v>3</v>
      </c>
      <c r="H804" s="2" t="str">
        <f>INDEX(customers!$A$1:$I$1001,MATCH($E804,customers!$A$1:$A$1001,),MATCH($H$1,customers!$A$1:$I$1,0))</f>
        <v>Rebeka Worg</v>
      </c>
      <c r="I804" s="2" t="str">
        <f>IF(INDEX(customers!$A$1:$I$1001,MATCH($E804,customers!$A$1:$A$1001,0),3)=0,"",INDEX(customers!$A$1:$I$1001,MATCH($E804,customers!$A$1:$A$1001,0),3))</f>
        <v>rworg9m@arstechnica.com</v>
      </c>
      <c r="J804" s="2" t="str">
        <f>_xlfn.XLOOKUP(E804,customers!$A$1:$A$1001,customers!$G$1:$G$1001)</f>
        <v>United States</v>
      </c>
      <c r="K804" t="str">
        <f>INDEX(products!$A$1:$G$49,MATCH($F804,products!$A$1:$A$49,0),MATCH(K$1,products!$A$1:$G$1,0))</f>
        <v>Ara</v>
      </c>
      <c r="L804" t="str">
        <f>INDEX(products!$A$1:$G$49,MATCH($F804,products!$A$1:$A$49,0),MATCH(L$1,products!$A$1:$G$1,0))</f>
        <v>L</v>
      </c>
      <c r="M804" s="5">
        <f>INDEX(products!$A$1:$G$49,MATCH($F804,products!$A$1:$A$49,0),MATCH(M$1,products!$A$1:$G$1,0))</f>
        <v>0.5</v>
      </c>
      <c r="N804" s="7">
        <f>INDEX(products!$A$1:$G$49,MATCH($F804,products!$A$1:$A$49,0),MATCH(N$1,products!$A$1:$G$1,0))</f>
        <v>7.77</v>
      </c>
      <c r="O804" s="7">
        <f t="shared" si="12"/>
        <v>23.31</v>
      </c>
      <c r="P804" t="str" cm="1">
        <f t="array" ref="P804">_xlfn.IFS(K804="Rob","Robusta",K804="Exc","Excelsa",K804="Ara","Arabica",K804="Lib","Liberica")</f>
        <v>Arabica</v>
      </c>
      <c r="Q804" t="str" cm="1">
        <f t="array" ref="Q804">_xlfn.IFS(L804="M","Medium",L804="L","Light",L804="D","Dark")</f>
        <v>Light</v>
      </c>
      <c r="R804" t="str">
        <f>_xlfn.XLOOKUP(Orders[[#This Row],[Customer ID]],customers!$A$1:$A$1001,customers!$I$1:$I$1001)</f>
        <v>Yes</v>
      </c>
    </row>
    <row r="805" spans="1:18" x14ac:dyDescent="0.35">
      <c r="A805" s="2" t="s">
        <v>5345</v>
      </c>
      <c r="B805" s="4">
        <v>43716</v>
      </c>
      <c r="C805" s="23">
        <f>Orders[[#This Row],[Order Date]]</f>
        <v>43716</v>
      </c>
      <c r="D805" s="2">
        <f>YEAR(Orders[[#This Row],[Order Date]])</f>
        <v>2019</v>
      </c>
      <c r="E805" s="2" t="s">
        <v>5346</v>
      </c>
      <c r="F805" t="s">
        <v>6182</v>
      </c>
      <c r="G805" s="20">
        <v>6</v>
      </c>
      <c r="H805" s="2" t="str">
        <f>INDEX(customers!$A$1:$I$1001,MATCH($E805,customers!$A$1:$A$1001,),MATCH($H$1,customers!$A$1:$I$1,0))</f>
        <v>Redd Simao</v>
      </c>
      <c r="I805" s="2" t="str">
        <f>IF(INDEX(customers!$A$1:$I$1001,MATCH($E805,customers!$A$1:$A$1001,0),3)=0,"",INDEX(customers!$A$1:$I$1001,MATCH($E805,customers!$A$1:$A$1001,0),3))</f>
        <v>rsimaonv@simplemachines.org</v>
      </c>
      <c r="J805" s="2" t="str">
        <f>_xlfn.XLOOKUP(E805,customers!$A$1:$A$1001,customers!$G$1:$G$1001)</f>
        <v>United States</v>
      </c>
      <c r="K805" t="str">
        <f>INDEX(products!$A$1:$G$49,MATCH($F805,products!$A$1:$A$49,0),MATCH(K$1,products!$A$1:$G$1,0))</f>
        <v>Ara</v>
      </c>
      <c r="L805" t="str">
        <f>INDEX(products!$A$1:$G$49,MATCH($F805,products!$A$1:$A$49,0),MATCH(L$1,products!$A$1:$G$1,0))</f>
        <v>L</v>
      </c>
      <c r="M805" s="5">
        <f>INDEX(products!$A$1:$G$49,MATCH($F805,products!$A$1:$A$49,0),MATCH(M$1,products!$A$1:$G$1,0))</f>
        <v>2.5</v>
      </c>
      <c r="N805" s="7">
        <f>INDEX(products!$A$1:$G$49,MATCH($F805,products!$A$1:$A$49,0),MATCH(N$1,products!$A$1:$G$1,0))</f>
        <v>29.784999999999997</v>
      </c>
      <c r="O805" s="7">
        <f t="shared" si="12"/>
        <v>178.70999999999998</v>
      </c>
      <c r="P805" t="str" cm="1">
        <f t="array" ref="P805">_xlfn.IFS(K805="Rob","Robusta",K805="Exc","Excelsa",K805="Ara","Arabica",K805="Lib","Liberica")</f>
        <v>Arabica</v>
      </c>
      <c r="Q805" t="str" cm="1">
        <f t="array" ref="Q805">_xlfn.IFS(L805="M","Medium",L805="L","Light",L805="D","Dark")</f>
        <v>Light</v>
      </c>
      <c r="R805" t="str">
        <f>_xlfn.XLOOKUP(Orders[[#This Row],[Customer ID]],customers!$A$1:$A$1001,customers!$I$1:$I$1001)</f>
        <v>No</v>
      </c>
    </row>
    <row r="806" spans="1:18" x14ac:dyDescent="0.35">
      <c r="A806" s="2" t="s">
        <v>4682</v>
      </c>
      <c r="B806" s="4">
        <v>44133</v>
      </c>
      <c r="C806" s="23">
        <f>Orders[[#This Row],[Order Date]]</f>
        <v>44133</v>
      </c>
      <c r="D806" s="2">
        <f>YEAR(Orders[[#This Row],[Order Date]])</f>
        <v>2020</v>
      </c>
      <c r="E806" s="2" t="s">
        <v>4683</v>
      </c>
      <c r="F806" t="s">
        <v>6162</v>
      </c>
      <c r="G806" s="20">
        <v>4</v>
      </c>
      <c r="H806" s="2" t="str">
        <f>INDEX(customers!$A$1:$I$1001,MATCH($E806,customers!$A$1:$A$1001,),MATCH($H$1,customers!$A$1:$I$1,0))</f>
        <v>Reese Lidgey</v>
      </c>
      <c r="I806" s="2" t="str">
        <f>IF(INDEX(customers!$A$1:$I$1001,MATCH($E806,customers!$A$1:$A$1001,0),3)=0,"",INDEX(customers!$A$1:$I$1001,MATCH($E806,customers!$A$1:$A$1001,0),3))</f>
        <v>rlidgeykm@vimeo.com</v>
      </c>
      <c r="J806" s="2" t="str">
        <f>_xlfn.XLOOKUP(E806,customers!$A$1:$A$1001,customers!$G$1:$G$1001)</f>
        <v>United States</v>
      </c>
      <c r="K806" t="str">
        <f>INDEX(products!$A$1:$G$49,MATCH($F806,products!$A$1:$A$49,0),MATCH(K$1,products!$A$1:$G$1,0))</f>
        <v>Lib</v>
      </c>
      <c r="L806" t="str">
        <f>INDEX(products!$A$1:$G$49,MATCH($F806,products!$A$1:$A$49,0),MATCH(L$1,products!$A$1:$G$1,0))</f>
        <v>M</v>
      </c>
      <c r="M806" s="5">
        <f>INDEX(products!$A$1:$G$49,MATCH($F806,products!$A$1:$A$49,0),MATCH(M$1,products!$A$1:$G$1,0))</f>
        <v>1</v>
      </c>
      <c r="N806" s="7">
        <f>INDEX(products!$A$1:$G$49,MATCH($F806,products!$A$1:$A$49,0),MATCH(N$1,products!$A$1:$G$1,0))</f>
        <v>14.55</v>
      </c>
      <c r="O806" s="7">
        <f t="shared" si="12"/>
        <v>58.2</v>
      </c>
      <c r="P806" t="str" cm="1">
        <f t="array" ref="P806">_xlfn.IFS(K806="Rob","Robusta",K806="Exc","Excelsa",K806="Ara","Arabica",K806="Lib","Liberica")</f>
        <v>Liberica</v>
      </c>
      <c r="Q806" t="str" cm="1">
        <f t="array" ref="Q806">_xlfn.IFS(L806="M","Medium",L806="L","Light",L806="D","Dark")</f>
        <v>Medium</v>
      </c>
      <c r="R806" t="str">
        <f>_xlfn.XLOOKUP(Orders[[#This Row],[Customer ID]],customers!$A$1:$A$1001,customers!$I$1:$I$1001)</f>
        <v>No</v>
      </c>
    </row>
    <row r="807" spans="1:18" x14ac:dyDescent="0.35">
      <c r="A807" s="2" t="s">
        <v>3739</v>
      </c>
      <c r="B807" s="4">
        <v>44239</v>
      </c>
      <c r="C807" s="23">
        <f>Orders[[#This Row],[Order Date]]</f>
        <v>44239</v>
      </c>
      <c r="D807" s="2">
        <f>YEAR(Orders[[#This Row],[Order Date]])</f>
        <v>2021</v>
      </c>
      <c r="E807" s="2" t="s">
        <v>3740</v>
      </c>
      <c r="F807" t="s">
        <v>6181</v>
      </c>
      <c r="G807" s="20">
        <v>2</v>
      </c>
      <c r="H807" s="2" t="str">
        <f>INDEX(customers!$A$1:$I$1001,MATCH($E807,customers!$A$1:$A$1001,),MATCH($H$1,customers!$A$1:$I$1,0))</f>
        <v>Reggie Thickpenny</v>
      </c>
      <c r="I807" s="2" t="str">
        <f>IF(INDEX(customers!$A$1:$I$1001,MATCH($E807,customers!$A$1:$A$1001,0),3)=0,"",INDEX(customers!$A$1:$I$1001,MATCH($E807,customers!$A$1:$A$1001,0),3))</f>
        <v>rthickpennyfz@cafepress.com</v>
      </c>
      <c r="J807" s="2" t="str">
        <f>_xlfn.XLOOKUP(E807,customers!$A$1:$A$1001,customers!$G$1:$G$1001)</f>
        <v>United States</v>
      </c>
      <c r="K807" t="str">
        <f>INDEX(products!$A$1:$G$49,MATCH($F807,products!$A$1:$A$49,0),MATCH(K$1,products!$A$1:$G$1,0))</f>
        <v>Lib</v>
      </c>
      <c r="L807" t="str">
        <f>INDEX(products!$A$1:$G$49,MATCH($F807,products!$A$1:$A$49,0),MATCH(L$1,products!$A$1:$G$1,0))</f>
        <v>M</v>
      </c>
      <c r="M807" s="5">
        <f>INDEX(products!$A$1:$G$49,MATCH($F807,products!$A$1:$A$49,0),MATCH(M$1,products!$A$1:$G$1,0))</f>
        <v>2.5</v>
      </c>
      <c r="N807" s="7">
        <f>INDEX(products!$A$1:$G$49,MATCH($F807,products!$A$1:$A$49,0),MATCH(N$1,products!$A$1:$G$1,0))</f>
        <v>33.464999999999996</v>
      </c>
      <c r="O807" s="7">
        <f t="shared" si="12"/>
        <v>66.929999999999993</v>
      </c>
      <c r="P807" t="str" cm="1">
        <f t="array" ref="P807">_xlfn.IFS(K807="Rob","Robusta",K807="Exc","Excelsa",K807="Ara","Arabica",K807="Lib","Liberica")</f>
        <v>Liberica</v>
      </c>
      <c r="Q807" t="str" cm="1">
        <f t="array" ref="Q807">_xlfn.IFS(L807="M","Medium",L807="L","Light",L807="D","Dark")</f>
        <v>Medium</v>
      </c>
      <c r="R807" t="str">
        <f>_xlfn.XLOOKUP(Orders[[#This Row],[Customer ID]],customers!$A$1:$A$1001,customers!$I$1:$I$1001)</f>
        <v>No</v>
      </c>
    </row>
    <row r="808" spans="1:18" x14ac:dyDescent="0.35">
      <c r="A808" s="2" t="s">
        <v>2834</v>
      </c>
      <c r="B808" s="4">
        <v>43901</v>
      </c>
      <c r="C808" s="23">
        <f>Orders[[#This Row],[Order Date]]</f>
        <v>43901</v>
      </c>
      <c r="D808" s="2">
        <f>YEAR(Orders[[#This Row],[Order Date]])</f>
        <v>2020</v>
      </c>
      <c r="E808" s="2" t="s">
        <v>2835</v>
      </c>
      <c r="F808" t="s">
        <v>6180</v>
      </c>
      <c r="G808" s="20">
        <v>3</v>
      </c>
      <c r="H808" s="2" t="str">
        <f>INDEX(customers!$A$1:$I$1001,MATCH($E808,customers!$A$1:$A$1001,),MATCH($H$1,customers!$A$1:$I$1,0))</f>
        <v>Reggis Pracy</v>
      </c>
      <c r="I808" s="2" t="str">
        <f>IF(INDEX(customers!$A$1:$I$1001,MATCH($E808,customers!$A$1:$A$1001,0),3)=0,"",INDEX(customers!$A$1:$I$1001,MATCH($E808,customers!$A$1:$A$1001,0),3))</f>
        <v/>
      </c>
      <c r="J808" s="2" t="str">
        <f>_xlfn.XLOOKUP(E808,customers!$A$1:$A$1001,customers!$G$1:$G$1001)</f>
        <v>United States</v>
      </c>
      <c r="K808" t="str">
        <f>INDEX(products!$A$1:$G$49,MATCH($F808,products!$A$1:$A$49,0),MATCH(K$1,products!$A$1:$G$1,0))</f>
        <v>Ara</v>
      </c>
      <c r="L808" t="str">
        <f>INDEX(products!$A$1:$G$49,MATCH($F808,products!$A$1:$A$49,0),MATCH(L$1,products!$A$1:$G$1,0))</f>
        <v>L</v>
      </c>
      <c r="M808" s="5">
        <f>INDEX(products!$A$1:$G$49,MATCH($F808,products!$A$1:$A$49,0),MATCH(M$1,products!$A$1:$G$1,0))</f>
        <v>0.5</v>
      </c>
      <c r="N808" s="7">
        <f>INDEX(products!$A$1:$G$49,MATCH($F808,products!$A$1:$A$49,0),MATCH(N$1,products!$A$1:$G$1,0))</f>
        <v>7.77</v>
      </c>
      <c r="O808" s="7">
        <f t="shared" si="12"/>
        <v>23.31</v>
      </c>
      <c r="P808" t="str" cm="1">
        <f t="array" ref="P808">_xlfn.IFS(K808="Rob","Robusta",K808="Exc","Excelsa",K808="Ara","Arabica",K808="Lib","Liberica")</f>
        <v>Arabica</v>
      </c>
      <c r="Q808" t="str" cm="1">
        <f t="array" ref="Q808">_xlfn.IFS(L808="M","Medium",L808="L","Light",L808="D","Dark")</f>
        <v>Light</v>
      </c>
      <c r="R808" t="str">
        <f>_xlfn.XLOOKUP(Orders[[#This Row],[Customer ID]],customers!$A$1:$A$1001,customers!$I$1:$I$1001)</f>
        <v>Yes</v>
      </c>
    </row>
    <row r="809" spans="1:18" x14ac:dyDescent="0.35">
      <c r="A809" s="2" t="s">
        <v>3767</v>
      </c>
      <c r="B809" s="4">
        <v>43965</v>
      </c>
      <c r="C809" s="23">
        <f>Orders[[#This Row],[Order Date]]</f>
        <v>43965</v>
      </c>
      <c r="D809" s="2">
        <f>YEAR(Orders[[#This Row],[Order Date]])</f>
        <v>2020</v>
      </c>
      <c r="E809" s="2" t="s">
        <v>3768</v>
      </c>
      <c r="F809" t="s">
        <v>6171</v>
      </c>
      <c r="G809" s="20">
        <v>3</v>
      </c>
      <c r="H809" s="2" t="str">
        <f>INDEX(customers!$A$1:$I$1001,MATCH($E809,customers!$A$1:$A$1001,),MATCH($H$1,customers!$A$1:$I$1,0))</f>
        <v>Reinaldos Kirtley</v>
      </c>
      <c r="I809" s="2" t="str">
        <f>IF(INDEX(customers!$A$1:$I$1001,MATCH($E809,customers!$A$1:$A$1001,0),3)=0,"",INDEX(customers!$A$1:$I$1001,MATCH($E809,customers!$A$1:$A$1001,0),3))</f>
        <v>rkirtleyg4@hatena.ne.jp</v>
      </c>
      <c r="J809" s="2" t="str">
        <f>_xlfn.XLOOKUP(E809,customers!$A$1:$A$1001,customers!$G$1:$G$1001)</f>
        <v>United States</v>
      </c>
      <c r="K809" t="str">
        <f>INDEX(products!$A$1:$G$49,MATCH($F809,products!$A$1:$A$49,0),MATCH(K$1,products!$A$1:$G$1,0))</f>
        <v>Exc</v>
      </c>
      <c r="L809" t="str">
        <f>INDEX(products!$A$1:$G$49,MATCH($F809,products!$A$1:$A$49,0),MATCH(L$1,products!$A$1:$G$1,0))</f>
        <v>L</v>
      </c>
      <c r="M809" s="5">
        <f>INDEX(products!$A$1:$G$49,MATCH($F809,products!$A$1:$A$49,0),MATCH(M$1,products!$A$1:$G$1,0))</f>
        <v>1</v>
      </c>
      <c r="N809" s="7">
        <f>INDEX(products!$A$1:$G$49,MATCH($F809,products!$A$1:$A$49,0),MATCH(N$1,products!$A$1:$G$1,0))</f>
        <v>14.85</v>
      </c>
      <c r="O809" s="7">
        <f t="shared" si="12"/>
        <v>44.55</v>
      </c>
      <c r="P809" t="str" cm="1">
        <f t="array" ref="P809">_xlfn.IFS(K809="Rob","Robusta",K809="Exc","Excelsa",K809="Ara","Arabica",K809="Lib","Liberica")</f>
        <v>Excelsa</v>
      </c>
      <c r="Q809" t="str" cm="1">
        <f t="array" ref="Q809">_xlfn.IFS(L809="M","Medium",L809="L","Light",L809="D","Dark")</f>
        <v>Light</v>
      </c>
      <c r="R809" t="str">
        <f>_xlfn.XLOOKUP(Orders[[#This Row],[Customer ID]],customers!$A$1:$A$1001,customers!$I$1:$I$1001)</f>
        <v>Yes</v>
      </c>
    </row>
    <row r="810" spans="1:18" x14ac:dyDescent="0.35">
      <c r="A810" s="2" t="s">
        <v>1719</v>
      </c>
      <c r="B810" s="4">
        <v>44317</v>
      </c>
      <c r="C810" s="23">
        <f>Orders[[#This Row],[Order Date]]</f>
        <v>44317</v>
      </c>
      <c r="D810" s="2">
        <f>YEAR(Orders[[#This Row],[Order Date]])</f>
        <v>2021</v>
      </c>
      <c r="E810" s="2" t="s">
        <v>1720</v>
      </c>
      <c r="F810" t="s">
        <v>6155</v>
      </c>
      <c r="G810" s="20">
        <v>5</v>
      </c>
      <c r="H810" s="2" t="str">
        <f>INDEX(customers!$A$1:$I$1001,MATCH($E810,customers!$A$1:$A$1001,),MATCH($H$1,customers!$A$1:$I$1,0))</f>
        <v>Rem Furman</v>
      </c>
      <c r="I810" s="2" t="str">
        <f>IF(INDEX(customers!$A$1:$I$1001,MATCH($E810,customers!$A$1:$A$1001,0),3)=0,"",INDEX(customers!$A$1:$I$1001,MATCH($E810,customers!$A$1:$A$1001,0),3))</f>
        <v>rfurman62@t.co</v>
      </c>
      <c r="J810" s="2" t="str">
        <f>_xlfn.XLOOKUP(E810,customers!$A$1:$A$1001,customers!$G$1:$G$1001)</f>
        <v>Ireland</v>
      </c>
      <c r="K810" t="str">
        <f>INDEX(products!$A$1:$G$49,MATCH($F810,products!$A$1:$A$49,0),MATCH(K$1,products!$A$1:$G$1,0))</f>
        <v>Ara</v>
      </c>
      <c r="L810" t="str">
        <f>INDEX(products!$A$1:$G$49,MATCH($F810,products!$A$1:$A$49,0),MATCH(L$1,products!$A$1:$G$1,0))</f>
        <v>M</v>
      </c>
      <c r="M810" s="5">
        <f>INDEX(products!$A$1:$G$49,MATCH($F810,products!$A$1:$A$49,0),MATCH(M$1,products!$A$1:$G$1,0))</f>
        <v>1</v>
      </c>
      <c r="N810" s="7">
        <f>INDEX(products!$A$1:$G$49,MATCH($F810,products!$A$1:$A$49,0),MATCH(N$1,products!$A$1:$G$1,0))</f>
        <v>11.25</v>
      </c>
      <c r="O810" s="7">
        <f t="shared" si="12"/>
        <v>56.25</v>
      </c>
      <c r="P810" t="str" cm="1">
        <f t="array" ref="P810">_xlfn.IFS(K810="Rob","Robusta",K810="Exc","Excelsa",K810="Ara","Arabica",K810="Lib","Liberica")</f>
        <v>Arabica</v>
      </c>
      <c r="Q810" t="str" cm="1">
        <f t="array" ref="Q810">_xlfn.IFS(L810="M","Medium",L810="L","Light",L810="D","Dark")</f>
        <v>Medium</v>
      </c>
      <c r="R810" t="str">
        <f>_xlfn.XLOOKUP(Orders[[#This Row],[Customer ID]],customers!$A$1:$A$1001,customers!$I$1:$I$1001)</f>
        <v>Yes</v>
      </c>
    </row>
    <row r="811" spans="1:18" x14ac:dyDescent="0.35">
      <c r="A811" s="2" t="s">
        <v>3053</v>
      </c>
      <c r="B811" s="4">
        <v>44421</v>
      </c>
      <c r="C811" s="23">
        <f>Orders[[#This Row],[Order Date]]</f>
        <v>44421</v>
      </c>
      <c r="D811" s="2">
        <f>YEAR(Orders[[#This Row],[Order Date]])</f>
        <v>2021</v>
      </c>
      <c r="E811" s="2" t="s">
        <v>3054</v>
      </c>
      <c r="F811" t="s">
        <v>6149</v>
      </c>
      <c r="G811" s="20">
        <v>4</v>
      </c>
      <c r="H811" s="2" t="str">
        <f>INDEX(customers!$A$1:$I$1001,MATCH($E811,customers!$A$1:$A$1001,),MATCH($H$1,customers!$A$1:$I$1,0))</f>
        <v>Reube Cawley</v>
      </c>
      <c r="I811" s="2" t="str">
        <f>IF(INDEX(customers!$A$1:$I$1001,MATCH($E811,customers!$A$1:$A$1001,0),3)=0,"",INDEX(customers!$A$1:$I$1001,MATCH($E811,customers!$A$1:$A$1001,0),3))</f>
        <v>rcawleycm@yellowbook.com</v>
      </c>
      <c r="J811" s="2" t="str">
        <f>_xlfn.XLOOKUP(E811,customers!$A$1:$A$1001,customers!$G$1:$G$1001)</f>
        <v>Ireland</v>
      </c>
      <c r="K811" t="str">
        <f>INDEX(products!$A$1:$G$49,MATCH($F811,products!$A$1:$A$49,0),MATCH(K$1,products!$A$1:$G$1,0))</f>
        <v>Rob</v>
      </c>
      <c r="L811" t="str">
        <f>INDEX(products!$A$1:$G$49,MATCH($F811,products!$A$1:$A$49,0),MATCH(L$1,products!$A$1:$G$1,0))</f>
        <v>D</v>
      </c>
      <c r="M811" s="5">
        <f>INDEX(products!$A$1:$G$49,MATCH($F811,products!$A$1:$A$49,0),MATCH(M$1,products!$A$1:$G$1,0))</f>
        <v>2.5</v>
      </c>
      <c r="N811" s="7">
        <f>INDEX(products!$A$1:$G$49,MATCH($F811,products!$A$1:$A$49,0),MATCH(N$1,products!$A$1:$G$1,0))</f>
        <v>20.584999999999997</v>
      </c>
      <c r="O811" s="7">
        <f t="shared" si="12"/>
        <v>82.339999999999989</v>
      </c>
      <c r="P811" t="str" cm="1">
        <f t="array" ref="P811">_xlfn.IFS(K811="Rob","Robusta",K811="Exc","Excelsa",K811="Ara","Arabica",K811="Lib","Liberica")</f>
        <v>Robusta</v>
      </c>
      <c r="Q811" t="str" cm="1">
        <f t="array" ref="Q811">_xlfn.IFS(L811="M","Medium",L811="L","Light",L811="D","Dark")</f>
        <v>Dark</v>
      </c>
      <c r="R811" t="str">
        <f>_xlfn.XLOOKUP(Orders[[#This Row],[Customer ID]],customers!$A$1:$A$1001,customers!$I$1:$I$1001)</f>
        <v>Yes</v>
      </c>
    </row>
    <row r="812" spans="1:18" x14ac:dyDescent="0.35">
      <c r="A812" s="2" t="s">
        <v>4557</v>
      </c>
      <c r="B812" s="4">
        <v>44215</v>
      </c>
      <c r="C812" s="23">
        <f>Orders[[#This Row],[Order Date]]</f>
        <v>44215</v>
      </c>
      <c r="D812" s="2">
        <f>YEAR(Orders[[#This Row],[Order Date]])</f>
        <v>2021</v>
      </c>
      <c r="E812" s="2" t="s">
        <v>4558</v>
      </c>
      <c r="F812" t="s">
        <v>6144</v>
      </c>
      <c r="G812" s="20">
        <v>5</v>
      </c>
      <c r="H812" s="2" t="str">
        <f>INDEX(customers!$A$1:$I$1001,MATCH($E812,customers!$A$1:$A$1001,),MATCH($H$1,customers!$A$1:$I$1,0))</f>
        <v>Reynolds Crookshanks</v>
      </c>
      <c r="I812" s="2" t="str">
        <f>IF(INDEX(customers!$A$1:$I$1001,MATCH($E812,customers!$A$1:$A$1001,0),3)=0,"",INDEX(customers!$A$1:$I$1001,MATCH($E812,customers!$A$1:$A$1001,0),3))</f>
        <v>rcrookshanksk0@unc.edu</v>
      </c>
      <c r="J812" s="2" t="str">
        <f>_xlfn.XLOOKUP(E812,customers!$A$1:$A$1001,customers!$G$1:$G$1001)</f>
        <v>United States</v>
      </c>
      <c r="K812" t="str">
        <f>INDEX(products!$A$1:$G$49,MATCH($F812,products!$A$1:$A$49,0),MATCH(K$1,products!$A$1:$G$1,0))</f>
        <v>Exc</v>
      </c>
      <c r="L812" t="str">
        <f>INDEX(products!$A$1:$G$49,MATCH($F812,products!$A$1:$A$49,0),MATCH(L$1,products!$A$1:$G$1,0))</f>
        <v>D</v>
      </c>
      <c r="M812" s="5">
        <f>INDEX(products!$A$1:$G$49,MATCH($F812,products!$A$1:$A$49,0),MATCH(M$1,products!$A$1:$G$1,0))</f>
        <v>0.5</v>
      </c>
      <c r="N812" s="7">
        <f>INDEX(products!$A$1:$G$49,MATCH($F812,products!$A$1:$A$49,0),MATCH(N$1,products!$A$1:$G$1,0))</f>
        <v>7.29</v>
      </c>
      <c r="O812" s="7">
        <f t="shared" si="12"/>
        <v>36.450000000000003</v>
      </c>
      <c r="P812" t="str" cm="1">
        <f t="array" ref="P812">_xlfn.IFS(K812="Rob","Robusta",K812="Exc","Excelsa",K812="Ara","Arabica",K812="Lib","Liberica")</f>
        <v>Excelsa</v>
      </c>
      <c r="Q812" t="str" cm="1">
        <f t="array" ref="Q812">_xlfn.IFS(L812="M","Medium",L812="L","Light",L812="D","Dark")</f>
        <v>Dark</v>
      </c>
      <c r="R812" t="str">
        <f>_xlfn.XLOOKUP(Orders[[#This Row],[Customer ID]],customers!$A$1:$A$1001,customers!$I$1:$I$1001)</f>
        <v>Yes</v>
      </c>
    </row>
    <row r="813" spans="1:18" x14ac:dyDescent="0.35">
      <c r="A813" s="2" t="s">
        <v>4869</v>
      </c>
      <c r="B813" s="4">
        <v>44396</v>
      </c>
      <c r="C813" s="23">
        <f>Orders[[#This Row],[Order Date]]</f>
        <v>44396</v>
      </c>
      <c r="D813" s="2">
        <f>YEAR(Orders[[#This Row],[Order Date]])</f>
        <v>2021</v>
      </c>
      <c r="E813" s="2" t="s">
        <v>4870</v>
      </c>
      <c r="F813" t="s">
        <v>6176</v>
      </c>
      <c r="G813" s="20">
        <v>2</v>
      </c>
      <c r="H813" s="2" t="str">
        <f>INDEX(customers!$A$1:$I$1001,MATCH($E813,customers!$A$1:$A$1001,),MATCH($H$1,customers!$A$1:$I$1,0))</f>
        <v>Rhetta Elnaugh</v>
      </c>
      <c r="I813" s="2" t="str">
        <f>IF(INDEX(customers!$A$1:$I$1001,MATCH($E813,customers!$A$1:$A$1001,0),3)=0,"",INDEX(customers!$A$1:$I$1001,MATCH($E813,customers!$A$1:$A$1001,0),3))</f>
        <v>relnaughlj@comsenz.com</v>
      </c>
      <c r="J813" s="2" t="str">
        <f>_xlfn.XLOOKUP(E813,customers!$A$1:$A$1001,customers!$G$1:$G$1001)</f>
        <v>United States</v>
      </c>
      <c r="K813" t="str">
        <f>INDEX(products!$A$1:$G$49,MATCH($F813,products!$A$1:$A$49,0),MATCH(K$1,products!$A$1:$G$1,0))</f>
        <v>Exc</v>
      </c>
      <c r="L813" t="str">
        <f>INDEX(products!$A$1:$G$49,MATCH($F813,products!$A$1:$A$49,0),MATCH(L$1,products!$A$1:$G$1,0))</f>
        <v>L</v>
      </c>
      <c r="M813" s="5">
        <f>INDEX(products!$A$1:$G$49,MATCH($F813,products!$A$1:$A$49,0),MATCH(M$1,products!$A$1:$G$1,0))</f>
        <v>0.5</v>
      </c>
      <c r="N813" s="7">
        <f>INDEX(products!$A$1:$G$49,MATCH($F813,products!$A$1:$A$49,0),MATCH(N$1,products!$A$1:$G$1,0))</f>
        <v>8.91</v>
      </c>
      <c r="O813" s="7">
        <f t="shared" si="12"/>
        <v>17.82</v>
      </c>
      <c r="P813" t="str" cm="1">
        <f t="array" ref="P813">_xlfn.IFS(K813="Rob","Robusta",K813="Exc","Excelsa",K813="Ara","Arabica",K813="Lib","Liberica")</f>
        <v>Excelsa</v>
      </c>
      <c r="Q813" t="str" cm="1">
        <f t="array" ref="Q813">_xlfn.IFS(L813="M","Medium",L813="L","Light",L813="D","Dark")</f>
        <v>Light</v>
      </c>
      <c r="R813" t="str">
        <f>_xlfn.XLOOKUP(Orders[[#This Row],[Customer ID]],customers!$A$1:$A$1001,customers!$I$1:$I$1001)</f>
        <v>Yes</v>
      </c>
    </row>
    <row r="814" spans="1:18" x14ac:dyDescent="0.35">
      <c r="A814" s="2" t="s">
        <v>4174</v>
      </c>
      <c r="B814" s="4">
        <v>43892</v>
      </c>
      <c r="C814" s="23">
        <f>Orders[[#This Row],[Order Date]]</f>
        <v>43892</v>
      </c>
      <c r="D814" s="2">
        <f>YEAR(Orders[[#This Row],[Order Date]])</f>
        <v>2020</v>
      </c>
      <c r="E814" s="2" t="s">
        <v>4175</v>
      </c>
      <c r="F814" t="s">
        <v>6170</v>
      </c>
      <c r="G814" s="20">
        <v>4</v>
      </c>
      <c r="H814" s="2" t="str">
        <f>INDEX(customers!$A$1:$I$1001,MATCH($E814,customers!$A$1:$A$1001,),MATCH($H$1,customers!$A$1:$I$1,0))</f>
        <v>Rhetta Zywicki</v>
      </c>
      <c r="I814" s="2" t="str">
        <f>IF(INDEX(customers!$A$1:$I$1001,MATCH($E814,customers!$A$1:$A$1001,0),3)=0,"",INDEX(customers!$A$1:$I$1001,MATCH($E814,customers!$A$1:$A$1001,0),3))</f>
        <v>rzywickii4@ifeng.com</v>
      </c>
      <c r="J814" s="2" t="str">
        <f>_xlfn.XLOOKUP(E814,customers!$A$1:$A$1001,customers!$G$1:$G$1001)</f>
        <v>Ireland</v>
      </c>
      <c r="K814" t="str">
        <f>INDEX(products!$A$1:$G$49,MATCH($F814,products!$A$1:$A$49,0),MATCH(K$1,products!$A$1:$G$1,0))</f>
        <v>Lib</v>
      </c>
      <c r="L814" t="str">
        <f>INDEX(products!$A$1:$G$49,MATCH($F814,products!$A$1:$A$49,0),MATCH(L$1,products!$A$1:$G$1,0))</f>
        <v>L</v>
      </c>
      <c r="M814" s="5">
        <f>INDEX(products!$A$1:$G$49,MATCH($F814,products!$A$1:$A$49,0),MATCH(M$1,products!$A$1:$G$1,0))</f>
        <v>1</v>
      </c>
      <c r="N814" s="7">
        <f>INDEX(products!$A$1:$G$49,MATCH($F814,products!$A$1:$A$49,0),MATCH(N$1,products!$A$1:$G$1,0))</f>
        <v>15.85</v>
      </c>
      <c r="O814" s="7">
        <f t="shared" si="12"/>
        <v>63.4</v>
      </c>
      <c r="P814" t="str" cm="1">
        <f t="array" ref="P814">_xlfn.IFS(K814="Rob","Robusta",K814="Exc","Excelsa",K814="Ara","Arabica",K814="Lib","Liberica")</f>
        <v>Liberica</v>
      </c>
      <c r="Q814" t="str" cm="1">
        <f t="array" ref="Q814">_xlfn.IFS(L814="M","Medium",L814="L","Light",L814="D","Dark")</f>
        <v>Light</v>
      </c>
      <c r="R814" t="str">
        <f>_xlfn.XLOOKUP(Orders[[#This Row],[Customer ID]],customers!$A$1:$A$1001,customers!$I$1:$I$1001)</f>
        <v>No</v>
      </c>
    </row>
    <row r="815" spans="1:18" x14ac:dyDescent="0.35">
      <c r="A815" s="2" t="s">
        <v>587</v>
      </c>
      <c r="B815" s="4">
        <v>43757</v>
      </c>
      <c r="C815" s="23">
        <f>Orders[[#This Row],[Order Date]]</f>
        <v>43757</v>
      </c>
      <c r="D815" s="2">
        <f>YEAR(Orders[[#This Row],[Order Date]])</f>
        <v>2019</v>
      </c>
      <c r="E815" s="2" t="s">
        <v>588</v>
      </c>
      <c r="F815" t="s">
        <v>6140</v>
      </c>
      <c r="G815" s="20">
        <v>6</v>
      </c>
      <c r="H815" s="2" t="str">
        <f>INDEX(customers!$A$1:$I$1001,MATCH($E815,customers!$A$1:$A$1001,),MATCH($H$1,customers!$A$1:$I$1,0))</f>
        <v>Rhianon Broxup</v>
      </c>
      <c r="I815" s="2" t="str">
        <f>IF(INDEX(customers!$A$1:$I$1001,MATCH($E815,customers!$A$1:$A$1001,0),3)=0,"",INDEX(customers!$A$1:$I$1001,MATCH($E815,customers!$A$1:$A$1001,0),3))</f>
        <v>rbroxuph@jimdo.com</v>
      </c>
      <c r="J815" s="2" t="str">
        <f>_xlfn.XLOOKUP(E815,customers!$A$1:$A$1001,customers!$G$1:$G$1001)</f>
        <v>United States</v>
      </c>
      <c r="K815" t="str">
        <f>INDEX(products!$A$1:$G$49,MATCH($F815,products!$A$1:$A$49,0),MATCH(K$1,products!$A$1:$G$1,0))</f>
        <v>Ara</v>
      </c>
      <c r="L815" t="str">
        <f>INDEX(products!$A$1:$G$49,MATCH($F815,products!$A$1:$A$49,0),MATCH(L$1,products!$A$1:$G$1,0))</f>
        <v>L</v>
      </c>
      <c r="M815" s="5">
        <f>INDEX(products!$A$1:$G$49,MATCH($F815,products!$A$1:$A$49,0),MATCH(M$1,products!$A$1:$G$1,0))</f>
        <v>1</v>
      </c>
      <c r="N815" s="7">
        <f>INDEX(products!$A$1:$G$49,MATCH($F815,products!$A$1:$A$49,0),MATCH(N$1,products!$A$1:$G$1,0))</f>
        <v>12.95</v>
      </c>
      <c r="O815" s="7">
        <f t="shared" si="12"/>
        <v>77.699999999999989</v>
      </c>
      <c r="P815" t="str" cm="1">
        <f t="array" ref="P815">_xlfn.IFS(K815="Rob","Robusta",K815="Exc","Excelsa",K815="Ara","Arabica",K815="Lib","Liberica")</f>
        <v>Arabica</v>
      </c>
      <c r="Q815" t="str" cm="1">
        <f t="array" ref="Q815">_xlfn.IFS(L815="M","Medium",L815="L","Light",L815="D","Dark")</f>
        <v>Light</v>
      </c>
      <c r="R815" t="str">
        <f>_xlfn.XLOOKUP(Orders[[#This Row],[Customer ID]],customers!$A$1:$A$1001,customers!$I$1:$I$1001)</f>
        <v>No</v>
      </c>
    </row>
    <row r="816" spans="1:18" x14ac:dyDescent="0.35">
      <c r="A816" s="2" t="s">
        <v>5910</v>
      </c>
      <c r="B816" s="4">
        <v>44598</v>
      </c>
      <c r="C816" s="23">
        <f>Orders[[#This Row],[Order Date]]</f>
        <v>44598</v>
      </c>
      <c r="D816" s="2">
        <f>YEAR(Orders[[#This Row],[Order Date]])</f>
        <v>2022</v>
      </c>
      <c r="E816" s="2" t="s">
        <v>5911</v>
      </c>
      <c r="F816" t="s">
        <v>6145</v>
      </c>
      <c r="G816" s="20">
        <v>5</v>
      </c>
      <c r="H816" s="2" t="str">
        <f>INDEX(customers!$A$1:$I$1001,MATCH($E816,customers!$A$1:$A$1001,),MATCH($H$1,customers!$A$1:$I$1,0))</f>
        <v>Rhodie Strathern</v>
      </c>
      <c r="I816" s="2" t="str">
        <f>IF(INDEX(customers!$A$1:$I$1001,MATCH($E816,customers!$A$1:$A$1001,0),3)=0,"",INDEX(customers!$A$1:$I$1001,MATCH($E816,customers!$A$1:$A$1001,0),3))</f>
        <v>rstrathernqn@devhub.com</v>
      </c>
      <c r="J816" s="2" t="str">
        <f>_xlfn.XLOOKUP(E816,customers!$A$1:$A$1001,customers!$G$1:$G$1001)</f>
        <v>United States</v>
      </c>
      <c r="K816" t="str">
        <f>INDEX(products!$A$1:$G$49,MATCH($F816,products!$A$1:$A$49,0),MATCH(K$1,products!$A$1:$G$1,0))</f>
        <v>Lib</v>
      </c>
      <c r="L816" t="str">
        <f>INDEX(products!$A$1:$G$49,MATCH($F816,products!$A$1:$A$49,0),MATCH(L$1,products!$A$1:$G$1,0))</f>
        <v>L</v>
      </c>
      <c r="M816" s="5">
        <f>INDEX(products!$A$1:$G$49,MATCH($F816,products!$A$1:$A$49,0),MATCH(M$1,products!$A$1:$G$1,0))</f>
        <v>0.2</v>
      </c>
      <c r="N816" s="7">
        <f>INDEX(products!$A$1:$G$49,MATCH($F816,products!$A$1:$A$49,0),MATCH(N$1,products!$A$1:$G$1,0))</f>
        <v>4.7549999999999999</v>
      </c>
      <c r="O816" s="7">
        <f t="shared" si="12"/>
        <v>23.774999999999999</v>
      </c>
      <c r="P816" t="str" cm="1">
        <f t="array" ref="P816">_xlfn.IFS(K816="Rob","Robusta",K816="Exc","Excelsa",K816="Ara","Arabica",K816="Lib","Liberica")</f>
        <v>Liberica</v>
      </c>
      <c r="Q816" t="str" cm="1">
        <f t="array" ref="Q816">_xlfn.IFS(L816="M","Medium",L816="L","Light",L816="D","Dark")</f>
        <v>Light</v>
      </c>
      <c r="R816" t="str">
        <f>_xlfn.XLOOKUP(Orders[[#This Row],[Customer ID]],customers!$A$1:$A$1001,customers!$I$1:$I$1001)</f>
        <v>Yes</v>
      </c>
    </row>
    <row r="817" spans="1:18" x14ac:dyDescent="0.35">
      <c r="A817" s="2" t="s">
        <v>3130</v>
      </c>
      <c r="B817" s="4">
        <v>44536</v>
      </c>
      <c r="C817" s="23">
        <f>Orders[[#This Row],[Order Date]]</f>
        <v>44536</v>
      </c>
      <c r="D817" s="2">
        <f>YEAR(Orders[[#This Row],[Order Date]])</f>
        <v>2021</v>
      </c>
      <c r="E817" s="2" t="s">
        <v>3131</v>
      </c>
      <c r="F817" t="s">
        <v>6158</v>
      </c>
      <c r="G817" s="20">
        <v>1</v>
      </c>
      <c r="H817" s="2" t="str">
        <f>INDEX(customers!$A$1:$I$1001,MATCH($E817,customers!$A$1:$A$1001,),MATCH($H$1,customers!$A$1:$I$1,0))</f>
        <v>Rhona Lequeux</v>
      </c>
      <c r="I817" s="2" t="str">
        <f>IF(INDEX(customers!$A$1:$I$1001,MATCH($E817,customers!$A$1:$A$1001,0),3)=0,"",INDEX(customers!$A$1:$I$1001,MATCH($E817,customers!$A$1:$A$1001,0),3))</f>
        <v>rlequeuxcz@newyorker.com</v>
      </c>
      <c r="J817" s="2" t="str">
        <f>_xlfn.XLOOKUP(E817,customers!$A$1:$A$1001,customers!$G$1:$G$1001)</f>
        <v>United States</v>
      </c>
      <c r="K817" t="str">
        <f>INDEX(products!$A$1:$G$49,MATCH($F817,products!$A$1:$A$49,0),MATCH(K$1,products!$A$1:$G$1,0))</f>
        <v>Ara</v>
      </c>
      <c r="L817" t="str">
        <f>INDEX(products!$A$1:$G$49,MATCH($F817,products!$A$1:$A$49,0),MATCH(L$1,products!$A$1:$G$1,0))</f>
        <v>D</v>
      </c>
      <c r="M817" s="5">
        <f>INDEX(products!$A$1:$G$49,MATCH($F817,products!$A$1:$A$49,0),MATCH(M$1,products!$A$1:$G$1,0))</f>
        <v>0.5</v>
      </c>
      <c r="N817" s="7">
        <f>INDEX(products!$A$1:$G$49,MATCH($F817,products!$A$1:$A$49,0),MATCH(N$1,products!$A$1:$G$1,0))</f>
        <v>5.97</v>
      </c>
      <c r="O817" s="7">
        <f t="shared" si="12"/>
        <v>5.97</v>
      </c>
      <c r="P817" t="str" cm="1">
        <f t="array" ref="P817">_xlfn.IFS(K817="Rob","Robusta",K817="Exc","Excelsa",K817="Ara","Arabica",K817="Lib","Liberica")</f>
        <v>Arabica</v>
      </c>
      <c r="Q817" t="str" cm="1">
        <f t="array" ref="Q817">_xlfn.IFS(L817="M","Medium",L817="L","Light",L817="D","Dark")</f>
        <v>Dark</v>
      </c>
      <c r="R817" t="str">
        <f>_xlfn.XLOOKUP(Orders[[#This Row],[Customer ID]],customers!$A$1:$A$1001,customers!$I$1:$I$1001)</f>
        <v>No</v>
      </c>
    </row>
    <row r="818" spans="1:18" x14ac:dyDescent="0.35">
      <c r="A818" s="2" t="s">
        <v>3790</v>
      </c>
      <c r="B818" s="4">
        <v>44262</v>
      </c>
      <c r="C818" s="23">
        <f>Orders[[#This Row],[Order Date]]</f>
        <v>44262</v>
      </c>
      <c r="D818" s="2">
        <f>YEAR(Orders[[#This Row],[Order Date]])</f>
        <v>2021</v>
      </c>
      <c r="E818" s="2" t="s">
        <v>3791</v>
      </c>
      <c r="F818" t="s">
        <v>6178</v>
      </c>
      <c r="G818" s="20">
        <v>6</v>
      </c>
      <c r="H818" s="2" t="str">
        <f>INDEX(customers!$A$1:$I$1001,MATCH($E818,customers!$A$1:$A$1001,),MATCH($H$1,customers!$A$1:$I$1,0))</f>
        <v>Rickey Readie</v>
      </c>
      <c r="I818" s="2" t="str">
        <f>IF(INDEX(customers!$A$1:$I$1001,MATCH($E818,customers!$A$1:$A$1001,0),3)=0,"",INDEX(customers!$A$1:$I$1001,MATCH($E818,customers!$A$1:$A$1001,0),3))</f>
        <v>rreadieg8@guardian.co.uk</v>
      </c>
      <c r="J818" s="2" t="str">
        <f>_xlfn.XLOOKUP(E818,customers!$A$1:$A$1001,customers!$G$1:$G$1001)</f>
        <v>United States</v>
      </c>
      <c r="K818" t="str">
        <f>INDEX(products!$A$1:$G$49,MATCH($F818,products!$A$1:$A$49,0),MATCH(K$1,products!$A$1:$G$1,0))</f>
        <v>Rob</v>
      </c>
      <c r="L818" t="str">
        <f>INDEX(products!$A$1:$G$49,MATCH($F818,products!$A$1:$A$49,0),MATCH(L$1,products!$A$1:$G$1,0))</f>
        <v>L</v>
      </c>
      <c r="M818" s="5">
        <f>INDEX(products!$A$1:$G$49,MATCH($F818,products!$A$1:$A$49,0),MATCH(M$1,products!$A$1:$G$1,0))</f>
        <v>0.2</v>
      </c>
      <c r="N818" s="7">
        <f>INDEX(products!$A$1:$G$49,MATCH($F818,products!$A$1:$A$49,0),MATCH(N$1,products!$A$1:$G$1,0))</f>
        <v>3.5849999999999995</v>
      </c>
      <c r="O818" s="7">
        <f t="shared" si="12"/>
        <v>21.509999999999998</v>
      </c>
      <c r="P818" t="str" cm="1">
        <f t="array" ref="P818">_xlfn.IFS(K818="Rob","Robusta",K818="Exc","Excelsa",K818="Ara","Arabica",K818="Lib","Liberica")</f>
        <v>Robusta</v>
      </c>
      <c r="Q818" t="str" cm="1">
        <f t="array" ref="Q818">_xlfn.IFS(L818="M","Medium",L818="L","Light",L818="D","Dark")</f>
        <v>Light</v>
      </c>
      <c r="R818" t="str">
        <f>_xlfn.XLOOKUP(Orders[[#This Row],[Customer ID]],customers!$A$1:$A$1001,customers!$I$1:$I$1001)</f>
        <v>No</v>
      </c>
    </row>
    <row r="819" spans="1:18" x14ac:dyDescent="0.35">
      <c r="A819" s="2" t="s">
        <v>5844</v>
      </c>
      <c r="B819" s="4">
        <v>44294</v>
      </c>
      <c r="C819" s="23">
        <f>Orders[[#This Row],[Order Date]]</f>
        <v>44294</v>
      </c>
      <c r="D819" s="2">
        <f>YEAR(Orders[[#This Row],[Order Date]])</f>
        <v>2021</v>
      </c>
      <c r="E819" s="2" t="s">
        <v>5845</v>
      </c>
      <c r="F819" t="s">
        <v>6155</v>
      </c>
      <c r="G819" s="20">
        <v>1</v>
      </c>
      <c r="H819" s="2" t="str">
        <f>INDEX(customers!$A$1:$I$1001,MATCH($E819,customers!$A$1:$A$1001,),MATCH($H$1,customers!$A$1:$I$1,0))</f>
        <v>Rickie Faltin</v>
      </c>
      <c r="I819" s="2" t="str">
        <f>IF(INDEX(customers!$A$1:$I$1001,MATCH($E819,customers!$A$1:$A$1001,0),3)=0,"",INDEX(customers!$A$1:$I$1001,MATCH($E819,customers!$A$1:$A$1001,0),3))</f>
        <v>rfaltinqb@topsy.com</v>
      </c>
      <c r="J819" s="2" t="str">
        <f>_xlfn.XLOOKUP(E819,customers!$A$1:$A$1001,customers!$G$1:$G$1001)</f>
        <v>Ireland</v>
      </c>
      <c r="K819" t="str">
        <f>INDEX(products!$A$1:$G$49,MATCH($F819,products!$A$1:$A$49,0),MATCH(K$1,products!$A$1:$G$1,0))</f>
        <v>Ara</v>
      </c>
      <c r="L819" t="str">
        <f>INDEX(products!$A$1:$G$49,MATCH($F819,products!$A$1:$A$49,0),MATCH(L$1,products!$A$1:$G$1,0))</f>
        <v>M</v>
      </c>
      <c r="M819" s="5">
        <f>INDEX(products!$A$1:$G$49,MATCH($F819,products!$A$1:$A$49,0),MATCH(M$1,products!$A$1:$G$1,0))</f>
        <v>1</v>
      </c>
      <c r="N819" s="7">
        <f>INDEX(products!$A$1:$G$49,MATCH($F819,products!$A$1:$A$49,0),MATCH(N$1,products!$A$1:$G$1,0))</f>
        <v>11.25</v>
      </c>
      <c r="O819" s="7">
        <f t="shared" si="12"/>
        <v>11.25</v>
      </c>
      <c r="P819" t="str" cm="1">
        <f t="array" ref="P819">_xlfn.IFS(K819="Rob","Robusta",K819="Exc","Excelsa",K819="Ara","Arabica",K819="Lib","Liberica")</f>
        <v>Arabica</v>
      </c>
      <c r="Q819" t="str" cm="1">
        <f t="array" ref="Q819">_xlfn.IFS(L819="M","Medium",L819="L","Light",L819="D","Dark")</f>
        <v>Medium</v>
      </c>
      <c r="R819" t="str">
        <f>_xlfn.XLOOKUP(Orders[[#This Row],[Customer ID]],customers!$A$1:$A$1001,customers!$I$1:$I$1001)</f>
        <v>No</v>
      </c>
    </row>
    <row r="820" spans="1:18" x14ac:dyDescent="0.35">
      <c r="A820" s="2" t="s">
        <v>4596</v>
      </c>
      <c r="B820" s="4">
        <v>44264</v>
      </c>
      <c r="C820" s="23">
        <f>Orders[[#This Row],[Order Date]]</f>
        <v>44264</v>
      </c>
      <c r="D820" s="2">
        <f>YEAR(Orders[[#This Row],[Order Date]])</f>
        <v>2021</v>
      </c>
      <c r="E820" s="2" t="s">
        <v>4597</v>
      </c>
      <c r="F820" t="s">
        <v>6146</v>
      </c>
      <c r="G820" s="20">
        <v>5</v>
      </c>
      <c r="H820" s="2" t="str">
        <f>INDEX(customers!$A$1:$I$1001,MATCH($E820,customers!$A$1:$A$1001,),MATCH($H$1,customers!$A$1:$I$1,0))</f>
        <v>Rikki Tomkowicz</v>
      </c>
      <c r="I820" s="2" t="str">
        <f>IF(INDEX(customers!$A$1:$I$1001,MATCH($E820,customers!$A$1:$A$1001,0),3)=0,"",INDEX(customers!$A$1:$I$1001,MATCH($E820,customers!$A$1:$A$1001,0),3))</f>
        <v>rtomkowiczk7@bravesites.com</v>
      </c>
      <c r="J820" s="2" t="str">
        <f>_xlfn.XLOOKUP(E820,customers!$A$1:$A$1001,customers!$G$1:$G$1001)</f>
        <v>Ireland</v>
      </c>
      <c r="K820" t="str">
        <f>INDEX(products!$A$1:$G$49,MATCH($F820,products!$A$1:$A$49,0),MATCH(K$1,products!$A$1:$G$1,0))</f>
        <v>Rob</v>
      </c>
      <c r="L820" t="str">
        <f>INDEX(products!$A$1:$G$49,MATCH($F820,products!$A$1:$A$49,0),MATCH(L$1,products!$A$1:$G$1,0))</f>
        <v>M</v>
      </c>
      <c r="M820" s="5">
        <f>INDEX(products!$A$1:$G$49,MATCH($F820,products!$A$1:$A$49,0),MATCH(M$1,products!$A$1:$G$1,0))</f>
        <v>0.5</v>
      </c>
      <c r="N820" s="7">
        <f>INDEX(products!$A$1:$G$49,MATCH($F820,products!$A$1:$A$49,0),MATCH(N$1,products!$A$1:$G$1,0))</f>
        <v>5.97</v>
      </c>
      <c r="O820" s="7">
        <f t="shared" si="12"/>
        <v>29.849999999999998</v>
      </c>
      <c r="P820" t="str" cm="1">
        <f t="array" ref="P820">_xlfn.IFS(K820="Rob","Robusta",K820="Exc","Excelsa",K820="Ara","Arabica",K820="Lib","Liberica")</f>
        <v>Robusta</v>
      </c>
      <c r="Q820" t="str" cm="1">
        <f t="array" ref="Q820">_xlfn.IFS(L820="M","Medium",L820="L","Light",L820="D","Dark")</f>
        <v>Medium</v>
      </c>
      <c r="R820" t="str">
        <f>_xlfn.XLOOKUP(Orders[[#This Row],[Customer ID]],customers!$A$1:$A$1001,customers!$I$1:$I$1001)</f>
        <v>Yes</v>
      </c>
    </row>
    <row r="821" spans="1:18" x14ac:dyDescent="0.35">
      <c r="A821" s="2" t="s">
        <v>1271</v>
      </c>
      <c r="B821" s="4">
        <v>43509</v>
      </c>
      <c r="C821" s="23">
        <f>Orders[[#This Row],[Order Date]]</f>
        <v>43509</v>
      </c>
      <c r="D821" s="2">
        <f>YEAR(Orders[[#This Row],[Order Date]])</f>
        <v>2019</v>
      </c>
      <c r="E821" s="2" t="s">
        <v>1272</v>
      </c>
      <c r="F821" t="s">
        <v>6143</v>
      </c>
      <c r="G821" s="20">
        <v>6</v>
      </c>
      <c r="H821" s="2" t="str">
        <f>INDEX(customers!$A$1:$I$1001,MATCH($E821,customers!$A$1:$A$1001,),MATCH($H$1,customers!$A$1:$I$1,0))</f>
        <v>Rivy Farington</v>
      </c>
      <c r="I821" s="2" t="str">
        <f>IF(INDEX(customers!$A$1:$I$1001,MATCH($E821,customers!$A$1:$A$1001,0),3)=0,"",INDEX(customers!$A$1:$I$1001,MATCH($E821,customers!$A$1:$A$1001,0),3))</f>
        <v/>
      </c>
      <c r="J821" s="2" t="str">
        <f>_xlfn.XLOOKUP(E821,customers!$A$1:$A$1001,customers!$G$1:$G$1001)</f>
        <v>United States</v>
      </c>
      <c r="K821" t="str">
        <f>INDEX(products!$A$1:$G$49,MATCH($F821,products!$A$1:$A$49,0),MATCH(K$1,products!$A$1:$G$1,0))</f>
        <v>Lib</v>
      </c>
      <c r="L821" t="str">
        <f>INDEX(products!$A$1:$G$49,MATCH($F821,products!$A$1:$A$49,0),MATCH(L$1,products!$A$1:$G$1,0))</f>
        <v>D</v>
      </c>
      <c r="M821" s="5">
        <f>INDEX(products!$A$1:$G$49,MATCH($F821,products!$A$1:$A$49,0),MATCH(M$1,products!$A$1:$G$1,0))</f>
        <v>1</v>
      </c>
      <c r="N821" s="7">
        <f>INDEX(products!$A$1:$G$49,MATCH($F821,products!$A$1:$A$49,0),MATCH(N$1,products!$A$1:$G$1,0))</f>
        <v>12.95</v>
      </c>
      <c r="O821" s="7">
        <f t="shared" si="12"/>
        <v>77.699999999999989</v>
      </c>
      <c r="P821" t="str" cm="1">
        <f t="array" ref="P821">_xlfn.IFS(K821="Rob","Robusta",K821="Exc","Excelsa",K821="Ara","Arabica",K821="Lib","Liberica")</f>
        <v>Liberica</v>
      </c>
      <c r="Q821" t="str" cm="1">
        <f t="array" ref="Q821">_xlfn.IFS(L821="M","Medium",L821="L","Light",L821="D","Dark")</f>
        <v>Dark</v>
      </c>
      <c r="R821" t="str">
        <f>_xlfn.XLOOKUP(Orders[[#This Row],[Customer ID]],customers!$A$1:$A$1001,customers!$I$1:$I$1001)</f>
        <v>Yes</v>
      </c>
    </row>
    <row r="822" spans="1:18" x14ac:dyDescent="0.35">
      <c r="A822" s="2" t="s">
        <v>4602</v>
      </c>
      <c r="B822" s="4">
        <v>44155</v>
      </c>
      <c r="C822" s="23">
        <f>Orders[[#This Row],[Order Date]]</f>
        <v>44155</v>
      </c>
      <c r="D822" s="2">
        <f>YEAR(Orders[[#This Row],[Order Date]])</f>
        <v>2020</v>
      </c>
      <c r="E822" s="2" t="s">
        <v>4603</v>
      </c>
      <c r="F822" t="s">
        <v>6144</v>
      </c>
      <c r="G822" s="20">
        <v>3</v>
      </c>
      <c r="H822" s="2" t="str">
        <f>INDEX(customers!$A$1:$I$1001,MATCH($E822,customers!$A$1:$A$1001,),MATCH($H$1,customers!$A$1:$I$1,0))</f>
        <v>Rochette Huscroft</v>
      </c>
      <c r="I822" s="2" t="str">
        <f>IF(INDEX(customers!$A$1:$I$1001,MATCH($E822,customers!$A$1:$A$1001,0),3)=0,"",INDEX(customers!$A$1:$I$1001,MATCH($E822,customers!$A$1:$A$1001,0),3))</f>
        <v>rhuscroftk8@jimdo.com</v>
      </c>
      <c r="J822" s="2" t="str">
        <f>_xlfn.XLOOKUP(E822,customers!$A$1:$A$1001,customers!$G$1:$G$1001)</f>
        <v>United States</v>
      </c>
      <c r="K822" t="str">
        <f>INDEX(products!$A$1:$G$49,MATCH($F822,products!$A$1:$A$49,0),MATCH(K$1,products!$A$1:$G$1,0))</f>
        <v>Exc</v>
      </c>
      <c r="L822" t="str">
        <f>INDEX(products!$A$1:$G$49,MATCH($F822,products!$A$1:$A$49,0),MATCH(L$1,products!$A$1:$G$1,0))</f>
        <v>D</v>
      </c>
      <c r="M822" s="5">
        <f>INDEX(products!$A$1:$G$49,MATCH($F822,products!$A$1:$A$49,0),MATCH(M$1,products!$A$1:$G$1,0))</f>
        <v>0.5</v>
      </c>
      <c r="N822" s="7">
        <f>INDEX(products!$A$1:$G$49,MATCH($F822,products!$A$1:$A$49,0),MATCH(N$1,products!$A$1:$G$1,0))</f>
        <v>7.29</v>
      </c>
      <c r="O822" s="7">
        <f t="shared" si="12"/>
        <v>21.87</v>
      </c>
      <c r="P822" t="str" cm="1">
        <f t="array" ref="P822">_xlfn.IFS(K822="Rob","Robusta",K822="Exc","Excelsa",K822="Ara","Arabica",K822="Lib","Liberica")</f>
        <v>Excelsa</v>
      </c>
      <c r="Q822" t="str" cm="1">
        <f t="array" ref="Q822">_xlfn.IFS(L822="M","Medium",L822="L","Light",L822="D","Dark")</f>
        <v>Dark</v>
      </c>
      <c r="R822" t="str">
        <f>_xlfn.XLOOKUP(Orders[[#This Row],[Customer ID]],customers!$A$1:$A$1001,customers!$I$1:$I$1001)</f>
        <v>Yes</v>
      </c>
    </row>
    <row r="823" spans="1:18" x14ac:dyDescent="0.35">
      <c r="A823" s="2" t="s">
        <v>2923</v>
      </c>
      <c r="B823" s="4">
        <v>43808</v>
      </c>
      <c r="C823" s="23">
        <f>Orders[[#This Row],[Order Date]]</f>
        <v>43808</v>
      </c>
      <c r="D823" s="2">
        <f>YEAR(Orders[[#This Row],[Order Date]])</f>
        <v>2019</v>
      </c>
      <c r="E823" s="2" t="s">
        <v>2924</v>
      </c>
      <c r="F823" t="s">
        <v>6155</v>
      </c>
      <c r="G823" s="20">
        <v>2</v>
      </c>
      <c r="H823" s="2" t="str">
        <f>INDEX(customers!$A$1:$I$1001,MATCH($E823,customers!$A$1:$A$1001,),MATCH($H$1,customers!$A$1:$I$1,0))</f>
        <v>Rod Gowdie</v>
      </c>
      <c r="I823" s="2" t="str">
        <f>IF(INDEX(customers!$A$1:$I$1001,MATCH($E823,customers!$A$1:$A$1001,0),3)=0,"",INDEX(customers!$A$1:$I$1001,MATCH($E823,customers!$A$1:$A$1001,0),3))</f>
        <v/>
      </c>
      <c r="J823" s="2" t="str">
        <f>_xlfn.XLOOKUP(E823,customers!$A$1:$A$1001,customers!$G$1:$G$1001)</f>
        <v>United States</v>
      </c>
      <c r="K823" t="str">
        <f>INDEX(products!$A$1:$G$49,MATCH($F823,products!$A$1:$A$49,0),MATCH(K$1,products!$A$1:$G$1,0))</f>
        <v>Ara</v>
      </c>
      <c r="L823" t="str">
        <f>INDEX(products!$A$1:$G$49,MATCH($F823,products!$A$1:$A$49,0),MATCH(L$1,products!$A$1:$G$1,0))</f>
        <v>M</v>
      </c>
      <c r="M823" s="5">
        <f>INDEX(products!$A$1:$G$49,MATCH($F823,products!$A$1:$A$49,0),MATCH(M$1,products!$A$1:$G$1,0))</f>
        <v>1</v>
      </c>
      <c r="N823" s="7">
        <f>INDEX(products!$A$1:$G$49,MATCH($F823,products!$A$1:$A$49,0),MATCH(N$1,products!$A$1:$G$1,0))</f>
        <v>11.25</v>
      </c>
      <c r="O823" s="7">
        <f t="shared" si="12"/>
        <v>22.5</v>
      </c>
      <c r="P823" t="str" cm="1">
        <f t="array" ref="P823">_xlfn.IFS(K823="Rob","Robusta",K823="Exc","Excelsa",K823="Ara","Arabica",K823="Lib","Liberica")</f>
        <v>Arabica</v>
      </c>
      <c r="Q823" t="str" cm="1">
        <f t="array" ref="Q823">_xlfn.IFS(L823="M","Medium",L823="L","Light",L823="D","Dark")</f>
        <v>Medium</v>
      </c>
      <c r="R823" t="str">
        <f>_xlfn.XLOOKUP(Orders[[#This Row],[Customer ID]],customers!$A$1:$A$1001,customers!$I$1:$I$1001)</f>
        <v>No</v>
      </c>
    </row>
    <row r="824" spans="1:18" x14ac:dyDescent="0.35">
      <c r="A824" s="2" t="s">
        <v>541</v>
      </c>
      <c r="B824" s="4">
        <v>43713</v>
      </c>
      <c r="C824" s="23">
        <f>Orders[[#This Row],[Order Date]]</f>
        <v>43713</v>
      </c>
      <c r="D824" s="2">
        <f>YEAR(Orders[[#This Row],[Order Date]])</f>
        <v>2019</v>
      </c>
      <c r="E824" s="2" t="s">
        <v>542</v>
      </c>
      <c r="F824" t="s">
        <v>6146</v>
      </c>
      <c r="G824" s="20">
        <v>1</v>
      </c>
      <c r="H824" s="2" t="str">
        <f>INDEX(customers!$A$1:$I$1001,MATCH($E824,customers!$A$1:$A$1001,),MATCH($H$1,customers!$A$1:$I$1,0))</f>
        <v>Rodger Raven</v>
      </c>
      <c r="I824" s="2" t="str">
        <f>IF(INDEX(customers!$A$1:$I$1001,MATCH($E824,customers!$A$1:$A$1001,0),3)=0,"",INDEX(customers!$A$1:$I$1001,MATCH($E824,customers!$A$1:$A$1001,0),3))</f>
        <v>rraven9@ed.gov</v>
      </c>
      <c r="J824" s="2" t="str">
        <f>_xlfn.XLOOKUP(E824,customers!$A$1:$A$1001,customers!$G$1:$G$1001)</f>
        <v>United States</v>
      </c>
      <c r="K824" t="str">
        <f>INDEX(products!$A$1:$G$49,MATCH($F824,products!$A$1:$A$49,0),MATCH(K$1,products!$A$1:$G$1,0))</f>
        <v>Rob</v>
      </c>
      <c r="L824" t="str">
        <f>INDEX(products!$A$1:$G$49,MATCH($F824,products!$A$1:$A$49,0),MATCH(L$1,products!$A$1:$G$1,0))</f>
        <v>M</v>
      </c>
      <c r="M824" s="5">
        <f>INDEX(products!$A$1:$G$49,MATCH($F824,products!$A$1:$A$49,0),MATCH(M$1,products!$A$1:$G$1,0))</f>
        <v>0.5</v>
      </c>
      <c r="N824" s="7">
        <f>INDEX(products!$A$1:$G$49,MATCH($F824,products!$A$1:$A$49,0),MATCH(N$1,products!$A$1:$G$1,0))</f>
        <v>5.97</v>
      </c>
      <c r="O824" s="7">
        <f t="shared" si="12"/>
        <v>5.97</v>
      </c>
      <c r="P824" t="str" cm="1">
        <f t="array" ref="P824">_xlfn.IFS(K824="Rob","Robusta",K824="Exc","Excelsa",K824="Ara","Arabica",K824="Lib","Liberica")</f>
        <v>Robusta</v>
      </c>
      <c r="Q824" t="str" cm="1">
        <f t="array" ref="Q824">_xlfn.IFS(L824="M","Medium",L824="L","Light",L824="D","Dark")</f>
        <v>Medium</v>
      </c>
      <c r="R824" t="str">
        <f>_xlfn.XLOOKUP(Orders[[#This Row],[Customer ID]],customers!$A$1:$A$1001,customers!$I$1:$I$1001)</f>
        <v>No</v>
      </c>
    </row>
    <row r="825" spans="1:18" x14ac:dyDescent="0.35">
      <c r="A825" s="2" t="s">
        <v>3076</v>
      </c>
      <c r="B825" s="4">
        <v>44707</v>
      </c>
      <c r="C825" s="23">
        <f>Orders[[#This Row],[Order Date]]</f>
        <v>44707</v>
      </c>
      <c r="D825" s="2">
        <f>YEAR(Orders[[#This Row],[Order Date]])</f>
        <v>2022</v>
      </c>
      <c r="E825" s="2" t="s">
        <v>3077</v>
      </c>
      <c r="F825" t="s">
        <v>6155</v>
      </c>
      <c r="G825" s="20">
        <v>4</v>
      </c>
      <c r="H825" s="2" t="str">
        <f>INDEX(customers!$A$1:$I$1001,MATCH($E825,customers!$A$1:$A$1001,),MATCH($H$1,customers!$A$1:$I$1,0))</f>
        <v>Rodolfo Willoway</v>
      </c>
      <c r="I825" s="2" t="str">
        <f>IF(INDEX(customers!$A$1:$I$1001,MATCH($E825,customers!$A$1:$A$1001,0),3)=0,"",INDEX(customers!$A$1:$I$1001,MATCH($E825,customers!$A$1:$A$1001,0),3))</f>
        <v>rwillowaycq@admin.ch</v>
      </c>
      <c r="J825" s="2" t="str">
        <f>_xlfn.XLOOKUP(E825,customers!$A$1:$A$1001,customers!$G$1:$G$1001)</f>
        <v>United States</v>
      </c>
      <c r="K825" t="str">
        <f>INDEX(products!$A$1:$G$49,MATCH($F825,products!$A$1:$A$49,0),MATCH(K$1,products!$A$1:$G$1,0))</f>
        <v>Ara</v>
      </c>
      <c r="L825" t="str">
        <f>INDEX(products!$A$1:$G$49,MATCH($F825,products!$A$1:$A$49,0),MATCH(L$1,products!$A$1:$G$1,0))</f>
        <v>M</v>
      </c>
      <c r="M825" s="5">
        <f>INDEX(products!$A$1:$G$49,MATCH($F825,products!$A$1:$A$49,0),MATCH(M$1,products!$A$1:$G$1,0))</f>
        <v>1</v>
      </c>
      <c r="N825" s="7">
        <f>INDEX(products!$A$1:$G$49,MATCH($F825,products!$A$1:$A$49,0),MATCH(N$1,products!$A$1:$G$1,0))</f>
        <v>11.25</v>
      </c>
      <c r="O825" s="7">
        <f t="shared" si="12"/>
        <v>45</v>
      </c>
      <c r="P825" t="str" cm="1">
        <f t="array" ref="P825">_xlfn.IFS(K825="Rob","Robusta",K825="Exc","Excelsa",K825="Ara","Arabica",K825="Lib","Liberica")</f>
        <v>Arabica</v>
      </c>
      <c r="Q825" t="str" cm="1">
        <f t="array" ref="Q825">_xlfn.IFS(L825="M","Medium",L825="L","Light",L825="D","Dark")</f>
        <v>Medium</v>
      </c>
      <c r="R825" t="str">
        <f>_xlfn.XLOOKUP(Orders[[#This Row],[Customer ID]],customers!$A$1:$A$1001,customers!$I$1:$I$1001)</f>
        <v>No</v>
      </c>
    </row>
    <row r="826" spans="1:18" x14ac:dyDescent="0.35">
      <c r="A826" s="2" t="s">
        <v>5228</v>
      </c>
      <c r="B826" s="4">
        <v>44755</v>
      </c>
      <c r="C826" s="23">
        <f>Orders[[#This Row],[Order Date]]</f>
        <v>44755</v>
      </c>
      <c r="D826" s="2">
        <f>YEAR(Orders[[#This Row],[Order Date]])</f>
        <v>2022</v>
      </c>
      <c r="E826" s="2" t="s">
        <v>5229</v>
      </c>
      <c r="F826" t="s">
        <v>6168</v>
      </c>
      <c r="G826" s="20">
        <v>5</v>
      </c>
      <c r="H826" s="2" t="str">
        <f>INDEX(customers!$A$1:$I$1001,MATCH($E826,customers!$A$1:$A$1001,),MATCH($H$1,customers!$A$1:$I$1,0))</f>
        <v>Romain Avrashin</v>
      </c>
      <c r="I826" s="2" t="str">
        <f>IF(INDEX(customers!$A$1:$I$1001,MATCH($E826,customers!$A$1:$A$1001,0),3)=0,"",INDEX(customers!$A$1:$I$1001,MATCH($E826,customers!$A$1:$A$1001,0),3))</f>
        <v>ravrashinna@tamu.edu</v>
      </c>
      <c r="J826" s="2" t="str">
        <f>_xlfn.XLOOKUP(E826,customers!$A$1:$A$1001,customers!$G$1:$G$1001)</f>
        <v>United States</v>
      </c>
      <c r="K826" t="str">
        <f>INDEX(products!$A$1:$G$49,MATCH($F826,products!$A$1:$A$49,0),MATCH(K$1,products!$A$1:$G$1,0))</f>
        <v>Ara</v>
      </c>
      <c r="L826" t="str">
        <f>INDEX(products!$A$1:$G$49,MATCH($F826,products!$A$1:$A$49,0),MATCH(L$1,products!$A$1:$G$1,0))</f>
        <v>D</v>
      </c>
      <c r="M826" s="5">
        <f>INDEX(products!$A$1:$G$49,MATCH($F826,products!$A$1:$A$49,0),MATCH(M$1,products!$A$1:$G$1,0))</f>
        <v>2.5</v>
      </c>
      <c r="N826" s="7">
        <f>INDEX(products!$A$1:$G$49,MATCH($F826,products!$A$1:$A$49,0),MATCH(N$1,products!$A$1:$G$1,0))</f>
        <v>22.884999999999998</v>
      </c>
      <c r="O826" s="7">
        <f t="shared" si="12"/>
        <v>114.42499999999998</v>
      </c>
      <c r="P826" t="str" cm="1">
        <f t="array" ref="P826">_xlfn.IFS(K826="Rob","Robusta",K826="Exc","Excelsa",K826="Ara","Arabica",K826="Lib","Liberica")</f>
        <v>Arabica</v>
      </c>
      <c r="Q826" t="str" cm="1">
        <f t="array" ref="Q826">_xlfn.IFS(L826="M","Medium",L826="L","Light",L826="D","Dark")</f>
        <v>Dark</v>
      </c>
      <c r="R826" t="str">
        <f>_xlfn.XLOOKUP(Orders[[#This Row],[Customer ID]],customers!$A$1:$A$1001,customers!$I$1:$I$1001)</f>
        <v>No</v>
      </c>
    </row>
    <row r="827" spans="1:18" x14ac:dyDescent="0.35">
      <c r="A827" s="2" t="s">
        <v>5374</v>
      </c>
      <c r="B827" s="4">
        <v>43759</v>
      </c>
      <c r="C827" s="23">
        <f>Orders[[#This Row],[Order Date]]</f>
        <v>43759</v>
      </c>
      <c r="D827" s="2">
        <f>YEAR(Orders[[#This Row],[Order Date]])</f>
        <v>2019</v>
      </c>
      <c r="E827" s="2" t="s">
        <v>5375</v>
      </c>
      <c r="F827" t="s">
        <v>6178</v>
      </c>
      <c r="G827" s="20">
        <v>6</v>
      </c>
      <c r="H827" s="2" t="str">
        <f>INDEX(customers!$A$1:$I$1001,MATCH($E827,customers!$A$1:$A$1001,),MATCH($H$1,customers!$A$1:$I$1,0))</f>
        <v>Ronda Pyson</v>
      </c>
      <c r="I827" s="2" t="str">
        <f>IF(INDEX(customers!$A$1:$I$1001,MATCH($E827,customers!$A$1:$A$1001,0),3)=0,"",INDEX(customers!$A$1:$I$1001,MATCH($E827,customers!$A$1:$A$1001,0),3))</f>
        <v>rpysono0@constantcontact.com</v>
      </c>
      <c r="J827" s="2" t="str">
        <f>_xlfn.XLOOKUP(E827,customers!$A$1:$A$1001,customers!$G$1:$G$1001)</f>
        <v>Ireland</v>
      </c>
      <c r="K827" t="str">
        <f>INDEX(products!$A$1:$G$49,MATCH($F827,products!$A$1:$A$49,0),MATCH(K$1,products!$A$1:$G$1,0))</f>
        <v>Rob</v>
      </c>
      <c r="L827" t="str">
        <f>INDEX(products!$A$1:$G$49,MATCH($F827,products!$A$1:$A$49,0),MATCH(L$1,products!$A$1:$G$1,0))</f>
        <v>L</v>
      </c>
      <c r="M827" s="5">
        <f>INDEX(products!$A$1:$G$49,MATCH($F827,products!$A$1:$A$49,0),MATCH(M$1,products!$A$1:$G$1,0))</f>
        <v>0.2</v>
      </c>
      <c r="N827" s="7">
        <f>INDEX(products!$A$1:$G$49,MATCH($F827,products!$A$1:$A$49,0),MATCH(N$1,products!$A$1:$G$1,0))</f>
        <v>3.5849999999999995</v>
      </c>
      <c r="O827" s="7">
        <f t="shared" si="12"/>
        <v>21.509999999999998</v>
      </c>
      <c r="P827" t="str" cm="1">
        <f t="array" ref="P827">_xlfn.IFS(K827="Rob","Robusta",K827="Exc","Excelsa",K827="Ara","Arabica",K827="Lib","Liberica")</f>
        <v>Robusta</v>
      </c>
      <c r="Q827" t="str" cm="1">
        <f t="array" ref="Q827">_xlfn.IFS(L827="M","Medium",L827="L","Light",L827="D","Dark")</f>
        <v>Light</v>
      </c>
      <c r="R827" t="str">
        <f>_xlfn.XLOOKUP(Orders[[#This Row],[Customer ID]],customers!$A$1:$A$1001,customers!$I$1:$I$1001)</f>
        <v>No</v>
      </c>
    </row>
    <row r="828" spans="1:18" x14ac:dyDescent="0.35">
      <c r="A828" s="2" t="s">
        <v>559</v>
      </c>
      <c r="B828" s="4">
        <v>44744</v>
      </c>
      <c r="C828" s="23">
        <f>Orders[[#This Row],[Order Date]]</f>
        <v>44744</v>
      </c>
      <c r="D828" s="2">
        <f>YEAR(Orders[[#This Row],[Order Date]])</f>
        <v>2022</v>
      </c>
      <c r="E828" s="2" t="s">
        <v>560</v>
      </c>
      <c r="F828" t="s">
        <v>6138</v>
      </c>
      <c r="G828" s="20">
        <v>5</v>
      </c>
      <c r="H828" s="2" t="str">
        <f>INDEX(customers!$A$1:$I$1001,MATCH($E828,customers!$A$1:$A$1001,),MATCH($H$1,customers!$A$1:$I$1,0))</f>
        <v>Rosaleen Scholar</v>
      </c>
      <c r="I828" s="2" t="str">
        <f>IF(INDEX(customers!$A$1:$I$1001,MATCH($E828,customers!$A$1:$A$1001,0),3)=0,"",INDEX(customers!$A$1:$I$1001,MATCH($E828,customers!$A$1:$A$1001,0),3))</f>
        <v>rscholarc@nyu.edu</v>
      </c>
      <c r="J828" s="2" t="str">
        <f>_xlfn.XLOOKUP(E828,customers!$A$1:$A$1001,customers!$G$1:$G$1001)</f>
        <v>United States</v>
      </c>
      <c r="K828" t="str">
        <f>INDEX(products!$A$1:$G$49,MATCH($F828,products!$A$1:$A$49,0),MATCH(K$1,products!$A$1:$G$1,0))</f>
        <v>Rob</v>
      </c>
      <c r="L828" t="str">
        <f>INDEX(products!$A$1:$G$49,MATCH($F828,products!$A$1:$A$49,0),MATCH(L$1,products!$A$1:$G$1,0))</f>
        <v>M</v>
      </c>
      <c r="M828" s="5">
        <f>INDEX(products!$A$1:$G$49,MATCH($F828,products!$A$1:$A$49,0),MATCH(M$1,products!$A$1:$G$1,0))</f>
        <v>1</v>
      </c>
      <c r="N828" s="7">
        <f>INDEX(products!$A$1:$G$49,MATCH($F828,products!$A$1:$A$49,0),MATCH(N$1,products!$A$1:$G$1,0))</f>
        <v>9.9499999999999993</v>
      </c>
      <c r="O828" s="7">
        <f t="shared" si="12"/>
        <v>49.75</v>
      </c>
      <c r="P828" t="str" cm="1">
        <f t="array" ref="P828">_xlfn.IFS(K828="Rob","Robusta",K828="Exc","Excelsa",K828="Ara","Arabica",K828="Lib","Liberica")</f>
        <v>Robusta</v>
      </c>
      <c r="Q828" t="str" cm="1">
        <f t="array" ref="Q828">_xlfn.IFS(L828="M","Medium",L828="L","Light",L828="D","Dark")</f>
        <v>Medium</v>
      </c>
      <c r="R828" t="str">
        <f>_xlfn.XLOOKUP(Orders[[#This Row],[Customer ID]],customers!$A$1:$A$1001,customers!$I$1:$I$1001)</f>
        <v>No</v>
      </c>
    </row>
    <row r="829" spans="1:18" x14ac:dyDescent="0.35">
      <c r="A829" s="2" t="s">
        <v>1923</v>
      </c>
      <c r="B829" s="4">
        <v>44482</v>
      </c>
      <c r="C829" s="23">
        <f>Orders[[#This Row],[Order Date]]</f>
        <v>44482</v>
      </c>
      <c r="D829" s="2">
        <f>YEAR(Orders[[#This Row],[Order Date]])</f>
        <v>2021</v>
      </c>
      <c r="E829" s="2" t="s">
        <v>1924</v>
      </c>
      <c r="F829" t="s">
        <v>6173</v>
      </c>
      <c r="G829" s="20">
        <v>4</v>
      </c>
      <c r="H829" s="2" t="str">
        <f>INDEX(customers!$A$1:$I$1001,MATCH($E829,customers!$A$1:$A$1001,),MATCH($H$1,customers!$A$1:$I$1,0))</f>
        <v>Rosaline McLae</v>
      </c>
      <c r="I829" s="2" t="str">
        <f>IF(INDEX(customers!$A$1:$I$1001,MATCH($E829,customers!$A$1:$A$1001,0),3)=0,"",INDEX(customers!$A$1:$I$1001,MATCH($E829,customers!$A$1:$A$1001,0),3))</f>
        <v>rmclae72@dailymotion.com</v>
      </c>
      <c r="J829" s="2" t="str">
        <f>_xlfn.XLOOKUP(E829,customers!$A$1:$A$1001,customers!$G$1:$G$1001)</f>
        <v>United Kingdom</v>
      </c>
      <c r="K829" t="str">
        <f>INDEX(products!$A$1:$G$49,MATCH($F829,products!$A$1:$A$49,0),MATCH(K$1,products!$A$1:$G$1,0))</f>
        <v>Rob</v>
      </c>
      <c r="L829" t="str">
        <f>INDEX(products!$A$1:$G$49,MATCH($F829,products!$A$1:$A$49,0),MATCH(L$1,products!$A$1:$G$1,0))</f>
        <v>L</v>
      </c>
      <c r="M829" s="5">
        <f>INDEX(products!$A$1:$G$49,MATCH($F829,products!$A$1:$A$49,0),MATCH(M$1,products!$A$1:$G$1,0))</f>
        <v>0.5</v>
      </c>
      <c r="N829" s="7">
        <f>INDEX(products!$A$1:$G$49,MATCH($F829,products!$A$1:$A$49,0),MATCH(N$1,products!$A$1:$G$1,0))</f>
        <v>7.169999999999999</v>
      </c>
      <c r="O829" s="7">
        <f t="shared" si="12"/>
        <v>28.679999999999996</v>
      </c>
      <c r="P829" t="str" cm="1">
        <f t="array" ref="P829">_xlfn.IFS(K829="Rob","Robusta",K829="Exc","Excelsa",K829="Ara","Arabica",K829="Lib","Liberica")</f>
        <v>Robusta</v>
      </c>
      <c r="Q829" t="str" cm="1">
        <f t="array" ref="Q829">_xlfn.IFS(L829="M","Medium",L829="L","Light",L829="D","Dark")</f>
        <v>Light</v>
      </c>
      <c r="R829" t="str">
        <f>_xlfn.XLOOKUP(Orders[[#This Row],[Customer ID]],customers!$A$1:$A$1001,customers!$I$1:$I$1001)</f>
        <v>No</v>
      </c>
    </row>
    <row r="830" spans="1:18" x14ac:dyDescent="0.35">
      <c r="A830" s="2" t="s">
        <v>4411</v>
      </c>
      <c r="B830" s="4">
        <v>43915</v>
      </c>
      <c r="C830" s="23">
        <f>Orders[[#This Row],[Order Date]]</f>
        <v>43915</v>
      </c>
      <c r="D830" s="2">
        <f>YEAR(Orders[[#This Row],[Order Date]])</f>
        <v>2020</v>
      </c>
      <c r="E830" s="2" t="s">
        <v>4412</v>
      </c>
      <c r="F830" t="s">
        <v>6144</v>
      </c>
      <c r="G830" s="20">
        <v>5</v>
      </c>
      <c r="H830" s="2" t="str">
        <f>INDEX(customers!$A$1:$I$1001,MATCH($E830,customers!$A$1:$A$1001,),MATCH($H$1,customers!$A$1:$I$1,0))</f>
        <v>Roxie Deaconson</v>
      </c>
      <c r="I830" s="2" t="str">
        <f>IF(INDEX(customers!$A$1:$I$1001,MATCH($E830,customers!$A$1:$A$1001,0),3)=0,"",INDEX(customers!$A$1:$I$1001,MATCH($E830,customers!$A$1:$A$1001,0),3))</f>
        <v>rdeaconsonja@archive.org</v>
      </c>
      <c r="J830" s="2" t="str">
        <f>_xlfn.XLOOKUP(E830,customers!$A$1:$A$1001,customers!$G$1:$G$1001)</f>
        <v>United States</v>
      </c>
      <c r="K830" t="str">
        <f>INDEX(products!$A$1:$G$49,MATCH($F830,products!$A$1:$A$49,0),MATCH(K$1,products!$A$1:$G$1,0))</f>
        <v>Exc</v>
      </c>
      <c r="L830" t="str">
        <f>INDEX(products!$A$1:$G$49,MATCH($F830,products!$A$1:$A$49,0),MATCH(L$1,products!$A$1:$G$1,0))</f>
        <v>D</v>
      </c>
      <c r="M830" s="5">
        <f>INDEX(products!$A$1:$G$49,MATCH($F830,products!$A$1:$A$49,0),MATCH(M$1,products!$A$1:$G$1,0))</f>
        <v>0.5</v>
      </c>
      <c r="N830" s="7">
        <f>INDEX(products!$A$1:$G$49,MATCH($F830,products!$A$1:$A$49,0),MATCH(N$1,products!$A$1:$G$1,0))</f>
        <v>7.29</v>
      </c>
      <c r="O830" s="7">
        <f t="shared" si="12"/>
        <v>36.450000000000003</v>
      </c>
      <c r="P830" t="str" cm="1">
        <f t="array" ref="P830">_xlfn.IFS(K830="Rob","Robusta",K830="Exc","Excelsa",K830="Ara","Arabica",K830="Lib","Liberica")</f>
        <v>Excelsa</v>
      </c>
      <c r="Q830" t="str" cm="1">
        <f t="array" ref="Q830">_xlfn.IFS(L830="M","Medium",L830="L","Light",L830="D","Dark")</f>
        <v>Dark</v>
      </c>
      <c r="R830" t="str">
        <f>_xlfn.XLOOKUP(Orders[[#This Row],[Customer ID]],customers!$A$1:$A$1001,customers!$I$1:$I$1001)</f>
        <v>No</v>
      </c>
    </row>
    <row r="831" spans="1:18" x14ac:dyDescent="0.35">
      <c r="A831" s="2" t="s">
        <v>3158</v>
      </c>
      <c r="B831" s="4">
        <v>43869</v>
      </c>
      <c r="C831" s="23">
        <f>Orders[[#This Row],[Order Date]]</f>
        <v>43869</v>
      </c>
      <c r="D831" s="2">
        <f>YEAR(Orders[[#This Row],[Order Date]])</f>
        <v>2020</v>
      </c>
      <c r="E831" s="2" t="s">
        <v>3159</v>
      </c>
      <c r="F831" t="s">
        <v>6154</v>
      </c>
      <c r="G831" s="20">
        <v>2</v>
      </c>
      <c r="H831" s="2" t="str">
        <f>INDEX(customers!$A$1:$I$1001,MATCH($E831,customers!$A$1:$A$1001,),MATCH($H$1,customers!$A$1:$I$1,0))</f>
        <v>Roxine Drivers</v>
      </c>
      <c r="I831" s="2" t="str">
        <f>IF(INDEX(customers!$A$1:$I$1001,MATCH($E831,customers!$A$1:$A$1001,0),3)=0,"",INDEX(customers!$A$1:$I$1001,MATCH($E831,customers!$A$1:$A$1001,0),3))</f>
        <v>rdriversd4@hexun.com</v>
      </c>
      <c r="J831" s="2" t="str">
        <f>_xlfn.XLOOKUP(E831,customers!$A$1:$A$1001,customers!$G$1:$G$1001)</f>
        <v>United States</v>
      </c>
      <c r="K831" t="str">
        <f>INDEX(products!$A$1:$G$49,MATCH($F831,products!$A$1:$A$49,0),MATCH(K$1,products!$A$1:$G$1,0))</f>
        <v>Ara</v>
      </c>
      <c r="L831" t="str">
        <f>INDEX(products!$A$1:$G$49,MATCH($F831,products!$A$1:$A$49,0),MATCH(L$1,products!$A$1:$G$1,0))</f>
        <v>D</v>
      </c>
      <c r="M831" s="5">
        <f>INDEX(products!$A$1:$G$49,MATCH($F831,products!$A$1:$A$49,0),MATCH(M$1,products!$A$1:$G$1,0))</f>
        <v>0.2</v>
      </c>
      <c r="N831" s="7">
        <f>INDEX(products!$A$1:$G$49,MATCH($F831,products!$A$1:$A$49,0),MATCH(N$1,products!$A$1:$G$1,0))</f>
        <v>2.9849999999999999</v>
      </c>
      <c r="O831" s="7">
        <f t="shared" si="12"/>
        <v>5.97</v>
      </c>
      <c r="P831" t="str" cm="1">
        <f t="array" ref="P831">_xlfn.IFS(K831="Rob","Robusta",K831="Exc","Excelsa",K831="Ara","Arabica",K831="Lib","Liberica")</f>
        <v>Arabica</v>
      </c>
      <c r="Q831" t="str" cm="1">
        <f t="array" ref="Q831">_xlfn.IFS(L831="M","Medium",L831="L","Light",L831="D","Dark")</f>
        <v>Dark</v>
      </c>
      <c r="R831" t="str">
        <f>_xlfn.XLOOKUP(Orders[[#This Row],[Customer ID]],customers!$A$1:$A$1001,customers!$I$1:$I$1001)</f>
        <v>No</v>
      </c>
    </row>
    <row r="832" spans="1:18" x14ac:dyDescent="0.35">
      <c r="A832" s="2" t="s">
        <v>811</v>
      </c>
      <c r="B832" s="4">
        <v>44759</v>
      </c>
      <c r="C832" s="23">
        <f>Orders[[#This Row],[Order Date]]</f>
        <v>44759</v>
      </c>
      <c r="D832" s="2">
        <f>YEAR(Orders[[#This Row],[Order Date]])</f>
        <v>2022</v>
      </c>
      <c r="E832" s="2" t="s">
        <v>812</v>
      </c>
      <c r="F832" t="s">
        <v>6171</v>
      </c>
      <c r="G832" s="20">
        <v>4</v>
      </c>
      <c r="H832" s="2" t="str">
        <f>INDEX(customers!$A$1:$I$1001,MATCH($E832,customers!$A$1:$A$1001,),MATCH($H$1,customers!$A$1:$I$1,0))</f>
        <v>Rozele Relton</v>
      </c>
      <c r="I832" s="2" t="str">
        <f>IF(INDEX(customers!$A$1:$I$1001,MATCH($E832,customers!$A$1:$A$1001,0),3)=0,"",INDEX(customers!$A$1:$I$1001,MATCH($E832,customers!$A$1:$A$1001,0),3))</f>
        <v>rrelton1l@stanford.edu</v>
      </c>
      <c r="J832" s="2" t="str">
        <f>_xlfn.XLOOKUP(E832,customers!$A$1:$A$1001,customers!$G$1:$G$1001)</f>
        <v>United States</v>
      </c>
      <c r="K832" t="str">
        <f>INDEX(products!$A$1:$G$49,MATCH($F832,products!$A$1:$A$49,0),MATCH(K$1,products!$A$1:$G$1,0))</f>
        <v>Exc</v>
      </c>
      <c r="L832" t="str">
        <f>INDEX(products!$A$1:$G$49,MATCH($F832,products!$A$1:$A$49,0),MATCH(L$1,products!$A$1:$G$1,0))</f>
        <v>L</v>
      </c>
      <c r="M832" s="5">
        <f>INDEX(products!$A$1:$G$49,MATCH($F832,products!$A$1:$A$49,0),MATCH(M$1,products!$A$1:$G$1,0))</f>
        <v>1</v>
      </c>
      <c r="N832" s="7">
        <f>INDEX(products!$A$1:$G$49,MATCH($F832,products!$A$1:$A$49,0),MATCH(N$1,products!$A$1:$G$1,0))</f>
        <v>14.85</v>
      </c>
      <c r="O832" s="7">
        <f t="shared" si="12"/>
        <v>59.4</v>
      </c>
      <c r="P832" t="str" cm="1">
        <f t="array" ref="P832">_xlfn.IFS(K832="Rob","Robusta",K832="Exc","Excelsa",K832="Ara","Arabica",K832="Lib","Liberica")</f>
        <v>Excelsa</v>
      </c>
      <c r="Q832" t="str" cm="1">
        <f t="array" ref="Q832">_xlfn.IFS(L832="M","Medium",L832="L","Light",L832="D","Dark")</f>
        <v>Light</v>
      </c>
      <c r="R832" t="str">
        <f>_xlfn.XLOOKUP(Orders[[#This Row],[Customer ID]],customers!$A$1:$A$1001,customers!$I$1:$I$1001)</f>
        <v>No</v>
      </c>
    </row>
    <row r="833" spans="1:18" x14ac:dyDescent="0.35">
      <c r="A833" s="2" t="s">
        <v>1048</v>
      </c>
      <c r="B833" s="4">
        <v>44291</v>
      </c>
      <c r="C833" s="23">
        <f>Orders[[#This Row],[Order Date]]</f>
        <v>44291</v>
      </c>
      <c r="D833" s="2">
        <f>YEAR(Orders[[#This Row],[Order Date]])</f>
        <v>2021</v>
      </c>
      <c r="E833" s="2" t="s">
        <v>1049</v>
      </c>
      <c r="F833" t="s">
        <v>6167</v>
      </c>
      <c r="G833" s="20">
        <v>2</v>
      </c>
      <c r="H833" s="2" t="str">
        <f>INDEX(customers!$A$1:$I$1001,MATCH($E833,customers!$A$1:$A$1001,),MATCH($H$1,customers!$A$1:$I$1,0))</f>
        <v>Rudiger Di Bartolomeo</v>
      </c>
      <c r="I833" s="2" t="str">
        <f>IF(INDEX(customers!$A$1:$I$1001,MATCH($E833,customers!$A$1:$A$1001,0),3)=0,"",INDEX(customers!$A$1:$I$1001,MATCH($E833,customers!$A$1:$A$1001,0),3))</f>
        <v/>
      </c>
      <c r="J833" s="2" t="str">
        <f>_xlfn.XLOOKUP(E833,customers!$A$1:$A$1001,customers!$G$1:$G$1001)</f>
        <v>United States</v>
      </c>
      <c r="K833" t="str">
        <f>INDEX(products!$A$1:$G$49,MATCH($F833,products!$A$1:$A$49,0),MATCH(K$1,products!$A$1:$G$1,0))</f>
        <v>Ara</v>
      </c>
      <c r="L833" t="str">
        <f>INDEX(products!$A$1:$G$49,MATCH($F833,products!$A$1:$A$49,0),MATCH(L$1,products!$A$1:$G$1,0))</f>
        <v>L</v>
      </c>
      <c r="M833" s="5">
        <f>INDEX(products!$A$1:$G$49,MATCH($F833,products!$A$1:$A$49,0),MATCH(M$1,products!$A$1:$G$1,0))</f>
        <v>0.2</v>
      </c>
      <c r="N833" s="7">
        <f>INDEX(products!$A$1:$G$49,MATCH($F833,products!$A$1:$A$49,0),MATCH(N$1,products!$A$1:$G$1,0))</f>
        <v>3.8849999999999998</v>
      </c>
      <c r="O833" s="7">
        <f t="shared" si="12"/>
        <v>7.77</v>
      </c>
      <c r="P833" t="str" cm="1">
        <f t="array" ref="P833">_xlfn.IFS(K833="Rob","Robusta",K833="Exc","Excelsa",K833="Ara","Arabica",K833="Lib","Liberica")</f>
        <v>Arabica</v>
      </c>
      <c r="Q833" t="str" cm="1">
        <f t="array" ref="Q833">_xlfn.IFS(L833="M","Medium",L833="L","Light",L833="D","Dark")</f>
        <v>Light</v>
      </c>
      <c r="R833" t="str">
        <f>_xlfn.XLOOKUP(Orders[[#This Row],[Customer ID]],customers!$A$1:$A$1001,customers!$I$1:$I$1001)</f>
        <v>Yes</v>
      </c>
    </row>
    <row r="834" spans="1:18" x14ac:dyDescent="0.35">
      <c r="A834" s="2" t="s">
        <v>1018</v>
      </c>
      <c r="B834" s="4">
        <v>44014</v>
      </c>
      <c r="C834" s="23">
        <f>Orders[[#This Row],[Order Date]]</f>
        <v>44014</v>
      </c>
      <c r="D834" s="2">
        <f>YEAR(Orders[[#This Row],[Order Date]])</f>
        <v>2020</v>
      </c>
      <c r="E834" s="2" t="s">
        <v>1019</v>
      </c>
      <c r="F834" t="s">
        <v>6154</v>
      </c>
      <c r="G834" s="20">
        <v>6</v>
      </c>
      <c r="H834" s="2" t="str">
        <f>INDEX(customers!$A$1:$I$1001,MATCH($E834,customers!$A$1:$A$1001,),MATCH($H$1,customers!$A$1:$I$1,0))</f>
        <v>Rudy Farquharson</v>
      </c>
      <c r="I834" s="2" t="str">
        <f>IF(INDEX(customers!$A$1:$I$1001,MATCH($E834,customers!$A$1:$A$1001,0),3)=0,"",INDEX(customers!$A$1:$I$1001,MATCH($E834,customers!$A$1:$A$1001,0),3))</f>
        <v/>
      </c>
      <c r="J834" s="2" t="str">
        <f>_xlfn.XLOOKUP(E834,customers!$A$1:$A$1001,customers!$G$1:$G$1001)</f>
        <v>Ireland</v>
      </c>
      <c r="K834" t="str">
        <f>INDEX(products!$A$1:$G$49,MATCH($F834,products!$A$1:$A$49,0),MATCH(K$1,products!$A$1:$G$1,0))</f>
        <v>Ara</v>
      </c>
      <c r="L834" t="str">
        <f>INDEX(products!$A$1:$G$49,MATCH($F834,products!$A$1:$A$49,0),MATCH(L$1,products!$A$1:$G$1,0))</f>
        <v>D</v>
      </c>
      <c r="M834" s="5">
        <f>INDEX(products!$A$1:$G$49,MATCH($F834,products!$A$1:$A$49,0),MATCH(M$1,products!$A$1:$G$1,0))</f>
        <v>0.2</v>
      </c>
      <c r="N834" s="7">
        <f>INDEX(products!$A$1:$G$49,MATCH($F834,products!$A$1:$A$49,0),MATCH(N$1,products!$A$1:$G$1,0))</f>
        <v>2.9849999999999999</v>
      </c>
      <c r="O834" s="7">
        <f t="shared" ref="O834:O897" si="13">N834*G834</f>
        <v>17.91</v>
      </c>
      <c r="P834" t="str" cm="1">
        <f t="array" ref="P834">_xlfn.IFS(K834="Rob","Robusta",K834="Exc","Excelsa",K834="Ara","Arabica",K834="Lib","Liberica")</f>
        <v>Arabica</v>
      </c>
      <c r="Q834" t="str" cm="1">
        <f t="array" ref="Q834">_xlfn.IFS(L834="M","Medium",L834="L","Light",L834="D","Dark")</f>
        <v>Dark</v>
      </c>
      <c r="R834" t="str">
        <f>_xlfn.XLOOKUP(Orders[[#This Row],[Customer ID]],customers!$A$1:$A$1001,customers!$I$1:$I$1001)</f>
        <v>Yes</v>
      </c>
    </row>
    <row r="835" spans="1:18" x14ac:dyDescent="0.35">
      <c r="A835" s="2" t="s">
        <v>3571</v>
      </c>
      <c r="B835" s="4">
        <v>44120</v>
      </c>
      <c r="C835" s="23">
        <f>Orders[[#This Row],[Order Date]]</f>
        <v>44120</v>
      </c>
      <c r="D835" s="2">
        <f>YEAR(Orders[[#This Row],[Order Date]])</f>
        <v>2020</v>
      </c>
      <c r="E835" s="2" t="s">
        <v>3572</v>
      </c>
      <c r="F835" t="s">
        <v>6150</v>
      </c>
      <c r="G835" s="20">
        <v>4</v>
      </c>
      <c r="H835" s="2" t="str">
        <f>INDEX(customers!$A$1:$I$1001,MATCH($E835,customers!$A$1:$A$1001,),MATCH($H$1,customers!$A$1:$I$1,0))</f>
        <v>Rufus Flear</v>
      </c>
      <c r="I835" s="2" t="str">
        <f>IF(INDEX(customers!$A$1:$I$1001,MATCH($E835,customers!$A$1:$A$1001,0),3)=0,"",INDEX(customers!$A$1:$I$1001,MATCH($E835,customers!$A$1:$A$1001,0),3))</f>
        <v>rflearf5@artisteer.com</v>
      </c>
      <c r="J835" s="2" t="str">
        <f>_xlfn.XLOOKUP(E835,customers!$A$1:$A$1001,customers!$G$1:$G$1001)</f>
        <v>United Kingdom</v>
      </c>
      <c r="K835" t="str">
        <f>INDEX(products!$A$1:$G$49,MATCH($F835,products!$A$1:$A$49,0),MATCH(K$1,products!$A$1:$G$1,0))</f>
        <v>Lib</v>
      </c>
      <c r="L835" t="str">
        <f>INDEX(products!$A$1:$G$49,MATCH($F835,products!$A$1:$A$49,0),MATCH(L$1,products!$A$1:$G$1,0))</f>
        <v>D</v>
      </c>
      <c r="M835" s="5">
        <f>INDEX(products!$A$1:$G$49,MATCH($F835,products!$A$1:$A$49,0),MATCH(M$1,products!$A$1:$G$1,0))</f>
        <v>0.2</v>
      </c>
      <c r="N835" s="7">
        <f>INDEX(products!$A$1:$G$49,MATCH($F835,products!$A$1:$A$49,0),MATCH(N$1,products!$A$1:$G$1,0))</f>
        <v>3.8849999999999998</v>
      </c>
      <c r="O835" s="7">
        <f t="shared" si="13"/>
        <v>15.54</v>
      </c>
      <c r="P835" t="str" cm="1">
        <f t="array" ref="P835">_xlfn.IFS(K835="Rob","Robusta",K835="Exc","Excelsa",K835="Ara","Arabica",K835="Lib","Liberica")</f>
        <v>Liberica</v>
      </c>
      <c r="Q835" t="str" cm="1">
        <f t="array" ref="Q835">_xlfn.IFS(L835="M","Medium",L835="L","Light",L835="D","Dark")</f>
        <v>Dark</v>
      </c>
      <c r="R835" t="str">
        <f>_xlfn.XLOOKUP(Orders[[#This Row],[Customer ID]],customers!$A$1:$A$1001,customers!$I$1:$I$1001)</f>
        <v>No</v>
      </c>
    </row>
    <row r="836" spans="1:18" x14ac:dyDescent="0.35">
      <c r="A836" s="2" t="s">
        <v>3778</v>
      </c>
      <c r="B836" s="4">
        <v>44382</v>
      </c>
      <c r="C836" s="23">
        <f>Orders[[#This Row],[Order Date]]</f>
        <v>44382</v>
      </c>
      <c r="D836" s="2">
        <f>YEAR(Orders[[#This Row],[Order Date]])</f>
        <v>2021</v>
      </c>
      <c r="E836" s="2" t="s">
        <v>3779</v>
      </c>
      <c r="F836" t="s">
        <v>6183</v>
      </c>
      <c r="G836" s="20">
        <v>5</v>
      </c>
      <c r="H836" s="2" t="str">
        <f>INDEX(customers!$A$1:$I$1001,MATCH($E836,customers!$A$1:$A$1001,),MATCH($H$1,customers!$A$1:$I$1,0))</f>
        <v>Russell Donet</v>
      </c>
      <c r="I836" s="2" t="str">
        <f>IF(INDEX(customers!$A$1:$I$1001,MATCH($E836,customers!$A$1:$A$1001,0),3)=0,"",INDEX(customers!$A$1:$I$1001,MATCH($E836,customers!$A$1:$A$1001,0),3))</f>
        <v>rdonetg6@oakley.com</v>
      </c>
      <c r="J836" s="2" t="str">
        <f>_xlfn.XLOOKUP(E836,customers!$A$1:$A$1001,customers!$G$1:$G$1001)</f>
        <v>United States</v>
      </c>
      <c r="K836" t="str">
        <f>INDEX(products!$A$1:$G$49,MATCH($F836,products!$A$1:$A$49,0),MATCH(K$1,products!$A$1:$G$1,0))</f>
        <v>Exc</v>
      </c>
      <c r="L836" t="str">
        <f>INDEX(products!$A$1:$G$49,MATCH($F836,products!$A$1:$A$49,0),MATCH(L$1,products!$A$1:$G$1,0))</f>
        <v>D</v>
      </c>
      <c r="M836" s="5">
        <f>INDEX(products!$A$1:$G$49,MATCH($F836,products!$A$1:$A$49,0),MATCH(M$1,products!$A$1:$G$1,0))</f>
        <v>1</v>
      </c>
      <c r="N836" s="7">
        <f>INDEX(products!$A$1:$G$49,MATCH($F836,products!$A$1:$A$49,0),MATCH(N$1,products!$A$1:$G$1,0))</f>
        <v>12.15</v>
      </c>
      <c r="O836" s="7">
        <f t="shared" si="13"/>
        <v>60.75</v>
      </c>
      <c r="P836" t="str" cm="1">
        <f t="array" ref="P836">_xlfn.IFS(K836="Rob","Robusta",K836="Exc","Excelsa",K836="Ara","Arabica",K836="Lib","Liberica")</f>
        <v>Excelsa</v>
      </c>
      <c r="Q836" t="str" cm="1">
        <f t="array" ref="Q836">_xlfn.IFS(L836="M","Medium",L836="L","Light",L836="D","Dark")</f>
        <v>Dark</v>
      </c>
      <c r="R836" t="str">
        <f>_xlfn.XLOOKUP(Orders[[#This Row],[Customer ID]],customers!$A$1:$A$1001,customers!$I$1:$I$1001)</f>
        <v>No</v>
      </c>
    </row>
    <row r="837" spans="1:18" x14ac:dyDescent="0.35">
      <c r="A837" s="2" t="s">
        <v>2751</v>
      </c>
      <c r="B837" s="4">
        <v>43591</v>
      </c>
      <c r="C837" s="23">
        <f>Orders[[#This Row],[Order Date]]</f>
        <v>43591</v>
      </c>
      <c r="D837" s="2">
        <f>YEAR(Orders[[#This Row],[Order Date]])</f>
        <v>2019</v>
      </c>
      <c r="E837" s="2" t="s">
        <v>2752</v>
      </c>
      <c r="F837" t="s">
        <v>6159</v>
      </c>
      <c r="G837" s="20">
        <v>2</v>
      </c>
      <c r="H837" s="2" t="str">
        <f>INDEX(customers!$A$1:$I$1001,MATCH($E837,customers!$A$1:$A$1001,),MATCH($H$1,customers!$A$1:$I$1,0))</f>
        <v>Rutger Pithcock</v>
      </c>
      <c r="I837" s="2" t="str">
        <f>IF(INDEX(customers!$A$1:$I$1001,MATCH($E837,customers!$A$1:$A$1001,0),3)=0,"",INDEX(customers!$A$1:$I$1001,MATCH($E837,customers!$A$1:$A$1001,0),3))</f>
        <v>rpithcockb5@yellowbook.com</v>
      </c>
      <c r="J837" s="2" t="str">
        <f>_xlfn.XLOOKUP(E837,customers!$A$1:$A$1001,customers!$G$1:$G$1001)</f>
        <v>United States</v>
      </c>
      <c r="K837" t="str">
        <f>INDEX(products!$A$1:$G$49,MATCH($F837,products!$A$1:$A$49,0),MATCH(K$1,products!$A$1:$G$1,0))</f>
        <v>Lib</v>
      </c>
      <c r="L837" t="str">
        <f>INDEX(products!$A$1:$G$49,MATCH($F837,products!$A$1:$A$49,0),MATCH(L$1,products!$A$1:$G$1,0))</f>
        <v>M</v>
      </c>
      <c r="M837" s="5">
        <f>INDEX(products!$A$1:$G$49,MATCH($F837,products!$A$1:$A$49,0),MATCH(M$1,products!$A$1:$G$1,0))</f>
        <v>0.2</v>
      </c>
      <c r="N837" s="7">
        <f>INDEX(products!$A$1:$G$49,MATCH($F837,products!$A$1:$A$49,0),MATCH(N$1,products!$A$1:$G$1,0))</f>
        <v>4.3650000000000002</v>
      </c>
      <c r="O837" s="7">
        <f t="shared" si="13"/>
        <v>8.73</v>
      </c>
      <c r="P837" t="str" cm="1">
        <f t="array" ref="P837">_xlfn.IFS(K837="Rob","Robusta",K837="Exc","Excelsa",K837="Ara","Arabica",K837="Lib","Liberica")</f>
        <v>Liberica</v>
      </c>
      <c r="Q837" t="str" cm="1">
        <f t="array" ref="Q837">_xlfn.IFS(L837="M","Medium",L837="L","Light",L837="D","Dark")</f>
        <v>Medium</v>
      </c>
      <c r="R837" t="str">
        <f>_xlfn.XLOOKUP(Orders[[#This Row],[Customer ID]],customers!$A$1:$A$1001,customers!$I$1:$I$1001)</f>
        <v>Yes</v>
      </c>
    </row>
    <row r="838" spans="1:18" x14ac:dyDescent="0.35">
      <c r="A838" s="2" t="s">
        <v>1038</v>
      </c>
      <c r="B838" s="4">
        <v>44394</v>
      </c>
      <c r="C838" s="23">
        <f>Orders[[#This Row],[Order Date]]</f>
        <v>44394</v>
      </c>
      <c r="D838" s="2">
        <f>YEAR(Orders[[#This Row],[Order Date]])</f>
        <v>2021</v>
      </c>
      <c r="E838" s="2" t="s">
        <v>1039</v>
      </c>
      <c r="F838" t="s">
        <v>6154</v>
      </c>
      <c r="G838" s="20">
        <v>1</v>
      </c>
      <c r="H838" s="2" t="str">
        <f>INDEX(customers!$A$1:$I$1001,MATCH($E838,customers!$A$1:$A$1001,),MATCH($H$1,customers!$A$1:$I$1,0))</f>
        <v>Ruy Cancellieri</v>
      </c>
      <c r="I838" s="2" t="str">
        <f>IF(INDEX(customers!$A$1:$I$1001,MATCH($E838,customers!$A$1:$A$1001,0),3)=0,"",INDEX(customers!$A$1:$I$1001,MATCH($E838,customers!$A$1:$A$1001,0),3))</f>
        <v/>
      </c>
      <c r="J838" s="2" t="str">
        <f>_xlfn.XLOOKUP(E838,customers!$A$1:$A$1001,customers!$G$1:$G$1001)</f>
        <v>Ireland</v>
      </c>
      <c r="K838" t="str">
        <f>INDEX(products!$A$1:$G$49,MATCH($F838,products!$A$1:$A$49,0),MATCH(K$1,products!$A$1:$G$1,0))</f>
        <v>Ara</v>
      </c>
      <c r="L838" t="str">
        <f>INDEX(products!$A$1:$G$49,MATCH($F838,products!$A$1:$A$49,0),MATCH(L$1,products!$A$1:$G$1,0))</f>
        <v>D</v>
      </c>
      <c r="M838" s="5">
        <f>INDEX(products!$A$1:$G$49,MATCH($F838,products!$A$1:$A$49,0),MATCH(M$1,products!$A$1:$G$1,0))</f>
        <v>0.2</v>
      </c>
      <c r="N838" s="7">
        <f>INDEX(products!$A$1:$G$49,MATCH($F838,products!$A$1:$A$49,0),MATCH(N$1,products!$A$1:$G$1,0))</f>
        <v>2.9849999999999999</v>
      </c>
      <c r="O838" s="7">
        <f t="shared" si="13"/>
        <v>2.9849999999999999</v>
      </c>
      <c r="P838" t="str" cm="1">
        <f t="array" ref="P838">_xlfn.IFS(K838="Rob","Robusta",K838="Exc","Excelsa",K838="Ara","Arabica",K838="Lib","Liberica")</f>
        <v>Arabica</v>
      </c>
      <c r="Q838" t="str" cm="1">
        <f t="array" ref="Q838">_xlfn.IFS(L838="M","Medium",L838="L","Light",L838="D","Dark")</f>
        <v>Dark</v>
      </c>
      <c r="R838" t="str">
        <f>_xlfn.XLOOKUP(Orders[[#This Row],[Customer ID]],customers!$A$1:$A$1001,customers!$I$1:$I$1001)</f>
        <v>No</v>
      </c>
    </row>
    <row r="839" spans="1:18" x14ac:dyDescent="0.35">
      <c r="A839" s="2" t="s">
        <v>5564</v>
      </c>
      <c r="B839" s="4">
        <v>43932</v>
      </c>
      <c r="C839" s="23">
        <f>Orders[[#This Row],[Order Date]]</f>
        <v>43932</v>
      </c>
      <c r="D839" s="2">
        <f>YEAR(Orders[[#This Row],[Order Date]])</f>
        <v>2020</v>
      </c>
      <c r="E839" s="2" t="s">
        <v>5565</v>
      </c>
      <c r="F839" t="s">
        <v>6183</v>
      </c>
      <c r="G839" s="20">
        <v>2</v>
      </c>
      <c r="H839" s="2" t="str">
        <f>INDEX(customers!$A$1:$I$1001,MATCH($E839,customers!$A$1:$A$1001,),MATCH($H$1,customers!$A$1:$I$1,0))</f>
        <v>Ryann Stickler</v>
      </c>
      <c r="I839" s="2" t="str">
        <f>IF(INDEX(customers!$A$1:$I$1001,MATCH($E839,customers!$A$1:$A$1001,0),3)=0,"",INDEX(customers!$A$1:$I$1001,MATCH($E839,customers!$A$1:$A$1001,0),3))</f>
        <v>rsticklerox@printfriendly.com</v>
      </c>
      <c r="J839" s="2" t="str">
        <f>_xlfn.XLOOKUP(E839,customers!$A$1:$A$1001,customers!$G$1:$G$1001)</f>
        <v>United Kingdom</v>
      </c>
      <c r="K839" t="str">
        <f>INDEX(products!$A$1:$G$49,MATCH($F839,products!$A$1:$A$49,0),MATCH(K$1,products!$A$1:$G$1,0))</f>
        <v>Exc</v>
      </c>
      <c r="L839" t="str">
        <f>INDEX(products!$A$1:$G$49,MATCH($F839,products!$A$1:$A$49,0),MATCH(L$1,products!$A$1:$G$1,0))</f>
        <v>D</v>
      </c>
      <c r="M839" s="5">
        <f>INDEX(products!$A$1:$G$49,MATCH($F839,products!$A$1:$A$49,0),MATCH(M$1,products!$A$1:$G$1,0))</f>
        <v>1</v>
      </c>
      <c r="N839" s="7">
        <f>INDEX(products!$A$1:$G$49,MATCH($F839,products!$A$1:$A$49,0),MATCH(N$1,products!$A$1:$G$1,0))</f>
        <v>12.15</v>
      </c>
      <c r="O839" s="7">
        <f t="shared" si="13"/>
        <v>24.3</v>
      </c>
      <c r="P839" t="str" cm="1">
        <f t="array" ref="P839">_xlfn.IFS(K839="Rob","Robusta",K839="Exc","Excelsa",K839="Ara","Arabica",K839="Lib","Liberica")</f>
        <v>Excelsa</v>
      </c>
      <c r="Q839" t="str" cm="1">
        <f t="array" ref="Q839">_xlfn.IFS(L839="M","Medium",L839="L","Light",L839="D","Dark")</f>
        <v>Dark</v>
      </c>
      <c r="R839" t="str">
        <f>_xlfn.XLOOKUP(Orders[[#This Row],[Customer ID]],customers!$A$1:$A$1001,customers!$I$1:$I$1001)</f>
        <v>No</v>
      </c>
    </row>
    <row r="840" spans="1:18" x14ac:dyDescent="0.35">
      <c r="A840" s="2" t="s">
        <v>4516</v>
      </c>
      <c r="B840" s="4">
        <v>43960</v>
      </c>
      <c r="C840" s="23">
        <f>Orders[[#This Row],[Order Date]]</f>
        <v>43960</v>
      </c>
      <c r="D840" s="2">
        <f>YEAR(Orders[[#This Row],[Order Date]])</f>
        <v>2020</v>
      </c>
      <c r="E840" s="2" t="s">
        <v>4517</v>
      </c>
      <c r="F840" t="s">
        <v>6174</v>
      </c>
      <c r="G840" s="20">
        <v>1</v>
      </c>
      <c r="H840" s="2" t="str">
        <f>INDEX(customers!$A$1:$I$1001,MATCH($E840,customers!$A$1:$A$1001,),MATCH($H$1,customers!$A$1:$I$1,0))</f>
        <v>Sacha Bruun</v>
      </c>
      <c r="I840" s="2" t="str">
        <f>IF(INDEX(customers!$A$1:$I$1001,MATCH($E840,customers!$A$1:$A$1001,0),3)=0,"",INDEX(customers!$A$1:$I$1001,MATCH($E840,customers!$A$1:$A$1001,0),3))</f>
        <v>sbruunjt@blogtalkradio.com</v>
      </c>
      <c r="J840" s="2" t="str">
        <f>_xlfn.XLOOKUP(E840,customers!$A$1:$A$1001,customers!$G$1:$G$1001)</f>
        <v>United States</v>
      </c>
      <c r="K840" t="str">
        <f>INDEX(products!$A$1:$G$49,MATCH($F840,products!$A$1:$A$49,0),MATCH(K$1,products!$A$1:$G$1,0))</f>
        <v>Rob</v>
      </c>
      <c r="L840" t="str">
        <f>INDEX(products!$A$1:$G$49,MATCH($F840,products!$A$1:$A$49,0),MATCH(L$1,products!$A$1:$G$1,0))</f>
        <v>M</v>
      </c>
      <c r="M840" s="5">
        <f>INDEX(products!$A$1:$G$49,MATCH($F840,products!$A$1:$A$49,0),MATCH(M$1,products!$A$1:$G$1,0))</f>
        <v>0.2</v>
      </c>
      <c r="N840" s="7">
        <f>INDEX(products!$A$1:$G$49,MATCH($F840,products!$A$1:$A$49,0),MATCH(N$1,products!$A$1:$G$1,0))</f>
        <v>2.9849999999999999</v>
      </c>
      <c r="O840" s="7">
        <f t="shared" si="13"/>
        <v>2.9849999999999999</v>
      </c>
      <c r="P840" t="str" cm="1">
        <f t="array" ref="P840">_xlfn.IFS(K840="Rob","Robusta",K840="Exc","Excelsa",K840="Ara","Arabica",K840="Lib","Liberica")</f>
        <v>Robusta</v>
      </c>
      <c r="Q840" t="str" cm="1">
        <f t="array" ref="Q840">_xlfn.IFS(L840="M","Medium",L840="L","Light",L840="D","Dark")</f>
        <v>Medium</v>
      </c>
      <c r="R840" t="str">
        <f>_xlfn.XLOOKUP(Orders[[#This Row],[Customer ID]],customers!$A$1:$A$1001,customers!$I$1:$I$1001)</f>
        <v>No</v>
      </c>
    </row>
    <row r="841" spans="1:18" x14ac:dyDescent="0.35">
      <c r="A841" s="2" t="s">
        <v>5995</v>
      </c>
      <c r="B841" s="4">
        <v>43556</v>
      </c>
      <c r="C841" s="23">
        <f>Orders[[#This Row],[Order Date]]</f>
        <v>43556</v>
      </c>
      <c r="D841" s="2">
        <f>YEAR(Orders[[#This Row],[Order Date]])</f>
        <v>2019</v>
      </c>
      <c r="E841" s="2" t="s">
        <v>5996</v>
      </c>
      <c r="F841" t="s">
        <v>6172</v>
      </c>
      <c r="G841" s="20">
        <v>1</v>
      </c>
      <c r="H841" s="2" t="str">
        <f>INDEX(customers!$A$1:$I$1001,MATCH($E841,customers!$A$1:$A$1001,),MATCH($H$1,customers!$A$1:$I$1,0))</f>
        <v>Sada Roseborough</v>
      </c>
      <c r="I841" s="2" t="str">
        <f>IF(INDEX(customers!$A$1:$I$1001,MATCH($E841,customers!$A$1:$A$1001,0),3)=0,"",INDEX(customers!$A$1:$I$1001,MATCH($E841,customers!$A$1:$A$1001,0),3))</f>
        <v>sroseboroughr2@virginia.edu</v>
      </c>
      <c r="J841" s="2" t="str">
        <f>_xlfn.XLOOKUP(E841,customers!$A$1:$A$1001,customers!$G$1:$G$1001)</f>
        <v>United States</v>
      </c>
      <c r="K841" t="str">
        <f>INDEX(products!$A$1:$G$49,MATCH($F841,products!$A$1:$A$49,0),MATCH(K$1,products!$A$1:$G$1,0))</f>
        <v>Rob</v>
      </c>
      <c r="L841" t="str">
        <f>INDEX(products!$A$1:$G$49,MATCH($F841,products!$A$1:$A$49,0),MATCH(L$1,products!$A$1:$G$1,0))</f>
        <v>D</v>
      </c>
      <c r="M841" s="5">
        <f>INDEX(products!$A$1:$G$49,MATCH($F841,products!$A$1:$A$49,0),MATCH(M$1,products!$A$1:$G$1,0))</f>
        <v>0.5</v>
      </c>
      <c r="N841" s="7">
        <f>INDEX(products!$A$1:$G$49,MATCH($F841,products!$A$1:$A$49,0),MATCH(N$1,products!$A$1:$G$1,0))</f>
        <v>5.3699999999999992</v>
      </c>
      <c r="O841" s="7">
        <f t="shared" si="13"/>
        <v>5.3699999999999992</v>
      </c>
      <c r="P841" t="str" cm="1">
        <f t="array" ref="P841">_xlfn.IFS(K841="Rob","Robusta",K841="Exc","Excelsa",K841="Ara","Arabica",K841="Lib","Liberica")</f>
        <v>Robusta</v>
      </c>
      <c r="Q841" t="str" cm="1">
        <f t="array" ref="Q841">_xlfn.IFS(L841="M","Medium",L841="L","Light",L841="D","Dark")</f>
        <v>Dark</v>
      </c>
      <c r="R841" t="str">
        <f>_xlfn.XLOOKUP(Orders[[#This Row],[Customer ID]],customers!$A$1:$A$1001,customers!$I$1:$I$1001)</f>
        <v>Yes</v>
      </c>
    </row>
    <row r="842" spans="1:18" x14ac:dyDescent="0.35">
      <c r="A842" s="2" t="s">
        <v>800</v>
      </c>
      <c r="B842" s="4">
        <v>44168</v>
      </c>
      <c r="C842" s="23">
        <f>Orders[[#This Row],[Order Date]]</f>
        <v>44168</v>
      </c>
      <c r="D842" s="2">
        <f>YEAR(Orders[[#This Row],[Order Date]])</f>
        <v>2020</v>
      </c>
      <c r="E842" s="2" t="s">
        <v>801</v>
      </c>
      <c r="F842" t="s">
        <v>6170</v>
      </c>
      <c r="G842" s="20">
        <v>3</v>
      </c>
      <c r="H842" s="2" t="str">
        <f>INDEX(customers!$A$1:$I$1001,MATCH($E842,customers!$A$1:$A$1001,),MATCH($H$1,customers!$A$1:$I$1,0))</f>
        <v>Salomo Cushworth</v>
      </c>
      <c r="I842" s="2" t="str">
        <f>IF(INDEX(customers!$A$1:$I$1001,MATCH($E842,customers!$A$1:$A$1001,0),3)=0,"",INDEX(customers!$A$1:$I$1001,MATCH($E842,customers!$A$1:$A$1001,0),3))</f>
        <v/>
      </c>
      <c r="J842" s="2" t="str">
        <f>_xlfn.XLOOKUP(E842,customers!$A$1:$A$1001,customers!$G$1:$G$1001)</f>
        <v>United States</v>
      </c>
      <c r="K842" t="str">
        <f>INDEX(products!$A$1:$G$49,MATCH($F842,products!$A$1:$A$49,0),MATCH(K$1,products!$A$1:$G$1,0))</f>
        <v>Lib</v>
      </c>
      <c r="L842" t="str">
        <f>INDEX(products!$A$1:$G$49,MATCH($F842,products!$A$1:$A$49,0),MATCH(L$1,products!$A$1:$G$1,0))</f>
        <v>L</v>
      </c>
      <c r="M842" s="5">
        <f>INDEX(products!$A$1:$G$49,MATCH($F842,products!$A$1:$A$49,0),MATCH(M$1,products!$A$1:$G$1,0))</f>
        <v>1</v>
      </c>
      <c r="N842" s="7">
        <f>INDEX(products!$A$1:$G$49,MATCH($F842,products!$A$1:$A$49,0),MATCH(N$1,products!$A$1:$G$1,0))</f>
        <v>15.85</v>
      </c>
      <c r="O842" s="7">
        <f t="shared" si="13"/>
        <v>47.55</v>
      </c>
      <c r="P842" t="str" cm="1">
        <f t="array" ref="P842">_xlfn.IFS(K842="Rob","Robusta",K842="Exc","Excelsa",K842="Ara","Arabica",K842="Lib","Liberica")</f>
        <v>Liberica</v>
      </c>
      <c r="Q842" t="str" cm="1">
        <f t="array" ref="Q842">_xlfn.IFS(L842="M","Medium",L842="L","Light",L842="D","Dark")</f>
        <v>Light</v>
      </c>
      <c r="R842" t="str">
        <f>_xlfn.XLOOKUP(Orders[[#This Row],[Customer ID]],customers!$A$1:$A$1001,customers!$I$1:$I$1001)</f>
        <v>No</v>
      </c>
    </row>
    <row r="843" spans="1:18" x14ac:dyDescent="0.35">
      <c r="A843" s="2" t="s">
        <v>1818</v>
      </c>
      <c r="B843" s="4">
        <v>43571</v>
      </c>
      <c r="C843" s="23">
        <f>Orders[[#This Row],[Order Date]]</f>
        <v>43571</v>
      </c>
      <c r="D843" s="2">
        <f>YEAR(Orders[[#This Row],[Order Date]])</f>
        <v>2019</v>
      </c>
      <c r="E843" s="2" t="s">
        <v>1819</v>
      </c>
      <c r="F843" t="s">
        <v>6164</v>
      </c>
      <c r="G843" s="20">
        <v>5</v>
      </c>
      <c r="H843" s="2" t="str">
        <f>INDEX(customers!$A$1:$I$1001,MATCH($E843,customers!$A$1:$A$1001,),MATCH($H$1,customers!$A$1:$I$1,0))</f>
        <v>Samuele Ales0</v>
      </c>
      <c r="I843" s="2" t="str">
        <f>IF(INDEX(customers!$A$1:$I$1001,MATCH($E843,customers!$A$1:$A$1001,0),3)=0,"",INDEX(customers!$A$1:$I$1001,MATCH($E843,customers!$A$1:$A$1001,0),3))</f>
        <v/>
      </c>
      <c r="J843" s="2" t="str">
        <f>_xlfn.XLOOKUP(E843,customers!$A$1:$A$1001,customers!$G$1:$G$1001)</f>
        <v>Ireland</v>
      </c>
      <c r="K843" t="str">
        <f>INDEX(products!$A$1:$G$49,MATCH($F843,products!$A$1:$A$49,0),MATCH(K$1,products!$A$1:$G$1,0))</f>
        <v>Lib</v>
      </c>
      <c r="L843" t="str">
        <f>INDEX(products!$A$1:$G$49,MATCH($F843,products!$A$1:$A$49,0),MATCH(L$1,products!$A$1:$G$1,0))</f>
        <v>L</v>
      </c>
      <c r="M843" s="5">
        <f>INDEX(products!$A$1:$G$49,MATCH($F843,products!$A$1:$A$49,0),MATCH(M$1,products!$A$1:$G$1,0))</f>
        <v>2.5</v>
      </c>
      <c r="N843" s="7">
        <f>INDEX(products!$A$1:$G$49,MATCH($F843,products!$A$1:$A$49,0),MATCH(N$1,products!$A$1:$G$1,0))</f>
        <v>36.454999999999998</v>
      </c>
      <c r="O843" s="7">
        <f t="shared" si="13"/>
        <v>182.27499999999998</v>
      </c>
      <c r="P843" t="str" cm="1">
        <f t="array" ref="P843">_xlfn.IFS(K843="Rob","Robusta",K843="Exc","Excelsa",K843="Ara","Arabica",K843="Lib","Liberica")</f>
        <v>Liberica</v>
      </c>
      <c r="Q843" t="str" cm="1">
        <f t="array" ref="Q843">_xlfn.IFS(L843="M","Medium",L843="L","Light",L843="D","Dark")</f>
        <v>Light</v>
      </c>
      <c r="R843" t="str">
        <f>_xlfn.XLOOKUP(Orders[[#This Row],[Customer ID]],customers!$A$1:$A$1001,customers!$I$1:$I$1001)</f>
        <v>No</v>
      </c>
    </row>
    <row r="844" spans="1:18" x14ac:dyDescent="0.35">
      <c r="A844" s="2" t="s">
        <v>4694</v>
      </c>
      <c r="B844" s="4">
        <v>43539</v>
      </c>
      <c r="C844" s="23">
        <f>Orders[[#This Row],[Order Date]]</f>
        <v>43539</v>
      </c>
      <c r="D844" s="2">
        <f>YEAR(Orders[[#This Row],[Order Date]])</f>
        <v>2019</v>
      </c>
      <c r="E844" s="2" t="s">
        <v>4695</v>
      </c>
      <c r="F844" t="s">
        <v>6174</v>
      </c>
      <c r="G844" s="20">
        <v>6</v>
      </c>
      <c r="H844" s="2" t="str">
        <f>INDEX(customers!$A$1:$I$1001,MATCH($E844,customers!$A$1:$A$1001,),MATCH($H$1,customers!$A$1:$I$1,0))</f>
        <v>Samuele Klaaassen</v>
      </c>
      <c r="I844" s="2" t="str">
        <f>IF(INDEX(customers!$A$1:$I$1001,MATCH($E844,customers!$A$1:$A$1001,0),3)=0,"",INDEX(customers!$A$1:$I$1001,MATCH($E844,customers!$A$1:$A$1001,0),3))</f>
        <v/>
      </c>
      <c r="J844" s="2" t="str">
        <f>_xlfn.XLOOKUP(E844,customers!$A$1:$A$1001,customers!$G$1:$G$1001)</f>
        <v>United States</v>
      </c>
      <c r="K844" t="str">
        <f>INDEX(products!$A$1:$G$49,MATCH($F844,products!$A$1:$A$49,0),MATCH(K$1,products!$A$1:$G$1,0))</f>
        <v>Rob</v>
      </c>
      <c r="L844" t="str">
        <f>INDEX(products!$A$1:$G$49,MATCH($F844,products!$A$1:$A$49,0),MATCH(L$1,products!$A$1:$G$1,0))</f>
        <v>M</v>
      </c>
      <c r="M844" s="5">
        <f>INDEX(products!$A$1:$G$49,MATCH($F844,products!$A$1:$A$49,0),MATCH(M$1,products!$A$1:$G$1,0))</f>
        <v>0.2</v>
      </c>
      <c r="N844" s="7">
        <f>INDEX(products!$A$1:$G$49,MATCH($F844,products!$A$1:$A$49,0),MATCH(N$1,products!$A$1:$G$1,0))</f>
        <v>2.9849999999999999</v>
      </c>
      <c r="O844" s="7">
        <f t="shared" si="13"/>
        <v>17.91</v>
      </c>
      <c r="P844" t="str" cm="1">
        <f t="array" ref="P844">_xlfn.IFS(K844="Rob","Robusta",K844="Exc","Excelsa",K844="Ara","Arabica",K844="Lib","Liberica")</f>
        <v>Robusta</v>
      </c>
      <c r="Q844" t="str" cm="1">
        <f t="array" ref="Q844">_xlfn.IFS(L844="M","Medium",L844="L","Light",L844="D","Dark")</f>
        <v>Medium</v>
      </c>
      <c r="R844" t="str">
        <f>_xlfn.XLOOKUP(Orders[[#This Row],[Customer ID]],customers!$A$1:$A$1001,customers!$I$1:$I$1001)</f>
        <v>Yes</v>
      </c>
    </row>
    <row r="845" spans="1:18" x14ac:dyDescent="0.35">
      <c r="A845" s="2" t="s">
        <v>4803</v>
      </c>
      <c r="B845" s="4">
        <v>44587</v>
      </c>
      <c r="C845" s="23">
        <f>Orders[[#This Row],[Order Date]]</f>
        <v>44587</v>
      </c>
      <c r="D845" s="2">
        <f>YEAR(Orders[[#This Row],[Order Date]])</f>
        <v>2022</v>
      </c>
      <c r="E845" s="2" t="s">
        <v>4804</v>
      </c>
      <c r="F845" t="s">
        <v>6180</v>
      </c>
      <c r="G845" s="20">
        <v>3</v>
      </c>
      <c r="H845" s="2" t="str">
        <f>INDEX(customers!$A$1:$I$1001,MATCH($E845,customers!$A$1:$A$1001,),MATCH($H$1,customers!$A$1:$I$1,0))</f>
        <v>Sarajane Potter</v>
      </c>
      <c r="I845" s="2" t="str">
        <f>IF(INDEX(customers!$A$1:$I$1001,MATCH($E845,customers!$A$1:$A$1001,0),3)=0,"",INDEX(customers!$A$1:$I$1001,MATCH($E845,customers!$A$1:$A$1001,0),3))</f>
        <v/>
      </c>
      <c r="J845" s="2" t="str">
        <f>_xlfn.XLOOKUP(E845,customers!$A$1:$A$1001,customers!$G$1:$G$1001)</f>
        <v>United States</v>
      </c>
      <c r="K845" t="str">
        <f>INDEX(products!$A$1:$G$49,MATCH($F845,products!$A$1:$A$49,0),MATCH(K$1,products!$A$1:$G$1,0))</f>
        <v>Ara</v>
      </c>
      <c r="L845" t="str">
        <f>INDEX(products!$A$1:$G$49,MATCH($F845,products!$A$1:$A$49,0),MATCH(L$1,products!$A$1:$G$1,0))</f>
        <v>L</v>
      </c>
      <c r="M845" s="5">
        <f>INDEX(products!$A$1:$G$49,MATCH($F845,products!$A$1:$A$49,0),MATCH(M$1,products!$A$1:$G$1,0))</f>
        <v>0.5</v>
      </c>
      <c r="N845" s="7">
        <f>INDEX(products!$A$1:$G$49,MATCH($F845,products!$A$1:$A$49,0),MATCH(N$1,products!$A$1:$G$1,0))</f>
        <v>7.77</v>
      </c>
      <c r="O845" s="7">
        <f t="shared" si="13"/>
        <v>23.31</v>
      </c>
      <c r="P845" t="str" cm="1">
        <f t="array" ref="P845">_xlfn.IFS(K845="Rob","Robusta",K845="Exc","Excelsa",K845="Ara","Arabica",K845="Lib","Liberica")</f>
        <v>Arabica</v>
      </c>
      <c r="Q845" t="str" cm="1">
        <f t="array" ref="Q845">_xlfn.IFS(L845="M","Medium",L845="L","Light",L845="D","Dark")</f>
        <v>Light</v>
      </c>
      <c r="R845" t="str">
        <f>_xlfn.XLOOKUP(Orders[[#This Row],[Customer ID]],customers!$A$1:$A$1001,customers!$I$1:$I$1001)</f>
        <v>No</v>
      </c>
    </row>
    <row r="846" spans="1:18" x14ac:dyDescent="0.35">
      <c r="A846" s="2" t="s">
        <v>2554</v>
      </c>
      <c r="B846" s="4">
        <v>43874</v>
      </c>
      <c r="C846" s="23">
        <f>Orders[[#This Row],[Order Date]]</f>
        <v>43874</v>
      </c>
      <c r="D846" s="2">
        <f>YEAR(Orders[[#This Row],[Order Date]])</f>
        <v>2020</v>
      </c>
      <c r="E846" s="2" t="s">
        <v>2555</v>
      </c>
      <c r="F846" t="s">
        <v>6144</v>
      </c>
      <c r="G846" s="20">
        <v>6</v>
      </c>
      <c r="H846" s="2" t="str">
        <f>INDEX(customers!$A$1:$I$1001,MATCH($E846,customers!$A$1:$A$1001,),MATCH($H$1,customers!$A$1:$I$1,0))</f>
        <v>Saree Ellesworth</v>
      </c>
      <c r="I846" s="2" t="str">
        <f>IF(INDEX(customers!$A$1:$I$1001,MATCH($E846,customers!$A$1:$A$1001,0),3)=0,"",INDEX(customers!$A$1:$I$1001,MATCH($E846,customers!$A$1:$A$1001,0),3))</f>
        <v/>
      </c>
      <c r="J846" s="2" t="str">
        <f>_xlfn.XLOOKUP(E846,customers!$A$1:$A$1001,customers!$G$1:$G$1001)</f>
        <v>United States</v>
      </c>
      <c r="K846" t="str">
        <f>INDEX(products!$A$1:$G$49,MATCH($F846,products!$A$1:$A$49,0),MATCH(K$1,products!$A$1:$G$1,0))</f>
        <v>Exc</v>
      </c>
      <c r="L846" t="str">
        <f>INDEX(products!$A$1:$G$49,MATCH($F846,products!$A$1:$A$49,0),MATCH(L$1,products!$A$1:$G$1,0))</f>
        <v>D</v>
      </c>
      <c r="M846" s="5">
        <f>INDEX(products!$A$1:$G$49,MATCH($F846,products!$A$1:$A$49,0),MATCH(M$1,products!$A$1:$G$1,0))</f>
        <v>0.5</v>
      </c>
      <c r="N846" s="7">
        <f>INDEX(products!$A$1:$G$49,MATCH($F846,products!$A$1:$A$49,0),MATCH(N$1,products!$A$1:$G$1,0))</f>
        <v>7.29</v>
      </c>
      <c r="O846" s="7">
        <f t="shared" si="13"/>
        <v>43.74</v>
      </c>
      <c r="P846" t="str" cm="1">
        <f t="array" ref="P846">_xlfn.IFS(K846="Rob","Robusta",K846="Exc","Excelsa",K846="Ara","Arabica",K846="Lib","Liberica")</f>
        <v>Excelsa</v>
      </c>
      <c r="Q846" t="str" cm="1">
        <f t="array" ref="Q846">_xlfn.IFS(L846="M","Medium",L846="L","Light",L846="D","Dark")</f>
        <v>Dark</v>
      </c>
      <c r="R846" t="str">
        <f>_xlfn.XLOOKUP(Orders[[#This Row],[Customer ID]],customers!$A$1:$A$1001,customers!$I$1:$I$1001)</f>
        <v>No</v>
      </c>
    </row>
    <row r="847" spans="1:18" x14ac:dyDescent="0.35">
      <c r="A847" s="2" t="s">
        <v>1638</v>
      </c>
      <c r="B847" s="4">
        <v>44027</v>
      </c>
      <c r="C847" s="23">
        <f>Orders[[#This Row],[Order Date]]</f>
        <v>44027</v>
      </c>
      <c r="D847" s="2">
        <f>YEAR(Orders[[#This Row],[Order Date]])</f>
        <v>2020</v>
      </c>
      <c r="E847" s="2" t="s">
        <v>1639</v>
      </c>
      <c r="F847" t="s">
        <v>6141</v>
      </c>
      <c r="G847" s="20">
        <v>6</v>
      </c>
      <c r="H847" s="2" t="str">
        <f>INDEX(customers!$A$1:$I$1001,MATCH($E847,customers!$A$1:$A$1001,),MATCH($H$1,customers!$A$1:$I$1,0))</f>
        <v>Sarette Ducarel</v>
      </c>
      <c r="I847" s="2" t="str">
        <f>IF(INDEX(customers!$A$1:$I$1001,MATCH($E847,customers!$A$1:$A$1001,0),3)=0,"",INDEX(customers!$A$1:$I$1001,MATCH($E847,customers!$A$1:$A$1001,0),3))</f>
        <v/>
      </c>
      <c r="J847" s="2" t="str">
        <f>_xlfn.XLOOKUP(E847,customers!$A$1:$A$1001,customers!$G$1:$G$1001)</f>
        <v>United States</v>
      </c>
      <c r="K847" t="str">
        <f>INDEX(products!$A$1:$G$49,MATCH($F847,products!$A$1:$A$49,0),MATCH(K$1,products!$A$1:$G$1,0))</f>
        <v>Exc</v>
      </c>
      <c r="L847" t="str">
        <f>INDEX(products!$A$1:$G$49,MATCH($F847,products!$A$1:$A$49,0),MATCH(L$1,products!$A$1:$G$1,0))</f>
        <v>M</v>
      </c>
      <c r="M847" s="5">
        <f>INDEX(products!$A$1:$G$49,MATCH($F847,products!$A$1:$A$49,0),MATCH(M$1,products!$A$1:$G$1,0))</f>
        <v>1</v>
      </c>
      <c r="N847" s="7">
        <f>INDEX(products!$A$1:$G$49,MATCH($F847,products!$A$1:$A$49,0),MATCH(N$1,products!$A$1:$G$1,0))</f>
        <v>13.75</v>
      </c>
      <c r="O847" s="7">
        <f t="shared" si="13"/>
        <v>82.5</v>
      </c>
      <c r="P847" t="str" cm="1">
        <f t="array" ref="P847">_xlfn.IFS(K847="Rob","Robusta",K847="Exc","Excelsa",K847="Ara","Arabica",K847="Lib","Liberica")</f>
        <v>Excelsa</v>
      </c>
      <c r="Q847" t="str" cm="1">
        <f t="array" ref="Q847">_xlfn.IFS(L847="M","Medium",L847="L","Light",L847="D","Dark")</f>
        <v>Medium</v>
      </c>
      <c r="R847" t="str">
        <f>_xlfn.XLOOKUP(Orders[[#This Row],[Customer ID]],customers!$A$1:$A$1001,customers!$I$1:$I$1001)</f>
        <v>No</v>
      </c>
    </row>
    <row r="848" spans="1:18" x14ac:dyDescent="0.35">
      <c r="A848" s="2" t="s">
        <v>1379</v>
      </c>
      <c r="B848" s="4">
        <v>43714</v>
      </c>
      <c r="C848" s="23">
        <f>Orders[[#This Row],[Order Date]]</f>
        <v>43714</v>
      </c>
      <c r="D848" s="2">
        <f>YEAR(Orders[[#This Row],[Order Date]])</f>
        <v>2019</v>
      </c>
      <c r="E848" s="2" t="s">
        <v>1380</v>
      </c>
      <c r="F848" t="s">
        <v>6149</v>
      </c>
      <c r="G848" s="20">
        <v>6</v>
      </c>
      <c r="H848" s="2" t="str">
        <f>INDEX(customers!$A$1:$I$1001,MATCH($E848,customers!$A$1:$A$1001,),MATCH($H$1,customers!$A$1:$I$1,0))</f>
        <v>Say Risborough</v>
      </c>
      <c r="I848" s="2" t="str">
        <f>IF(INDEX(customers!$A$1:$I$1001,MATCH($E848,customers!$A$1:$A$1001,0),3)=0,"",INDEX(customers!$A$1:$I$1001,MATCH($E848,customers!$A$1:$A$1001,0),3))</f>
        <v/>
      </c>
      <c r="J848" s="2" t="str">
        <f>_xlfn.XLOOKUP(E848,customers!$A$1:$A$1001,customers!$G$1:$G$1001)</f>
        <v>United States</v>
      </c>
      <c r="K848" t="str">
        <f>INDEX(products!$A$1:$G$49,MATCH($F848,products!$A$1:$A$49,0),MATCH(K$1,products!$A$1:$G$1,0))</f>
        <v>Rob</v>
      </c>
      <c r="L848" t="str">
        <f>INDEX(products!$A$1:$G$49,MATCH($F848,products!$A$1:$A$49,0),MATCH(L$1,products!$A$1:$G$1,0))</f>
        <v>D</v>
      </c>
      <c r="M848" s="5">
        <f>INDEX(products!$A$1:$G$49,MATCH($F848,products!$A$1:$A$49,0),MATCH(M$1,products!$A$1:$G$1,0))</f>
        <v>2.5</v>
      </c>
      <c r="N848" s="7">
        <f>INDEX(products!$A$1:$G$49,MATCH($F848,products!$A$1:$A$49,0),MATCH(N$1,products!$A$1:$G$1,0))</f>
        <v>20.584999999999997</v>
      </c>
      <c r="O848" s="7">
        <f t="shared" si="13"/>
        <v>123.50999999999999</v>
      </c>
      <c r="P848" t="str" cm="1">
        <f t="array" ref="P848">_xlfn.IFS(K848="Rob","Robusta",K848="Exc","Excelsa",K848="Ara","Arabica",K848="Lib","Liberica")</f>
        <v>Robusta</v>
      </c>
      <c r="Q848" t="str" cm="1">
        <f t="array" ref="Q848">_xlfn.IFS(L848="M","Medium",L848="L","Light",L848="D","Dark")</f>
        <v>Dark</v>
      </c>
      <c r="R848" t="str">
        <f>_xlfn.XLOOKUP(Orders[[#This Row],[Customer ID]],customers!$A$1:$A$1001,customers!$I$1:$I$1001)</f>
        <v>Yes</v>
      </c>
    </row>
    <row r="849" spans="1:18" x14ac:dyDescent="0.35">
      <c r="A849" s="2" t="s">
        <v>5519</v>
      </c>
      <c r="B849" s="4">
        <v>43633</v>
      </c>
      <c r="C849" s="23">
        <f>Orders[[#This Row],[Order Date]]</f>
        <v>43633</v>
      </c>
      <c r="D849" s="2">
        <f>YEAR(Orders[[#This Row],[Order Date]])</f>
        <v>2019</v>
      </c>
      <c r="E849" s="2" t="s">
        <v>5520</v>
      </c>
      <c r="F849" t="s">
        <v>6163</v>
      </c>
      <c r="G849" s="20">
        <v>1</v>
      </c>
      <c r="H849" s="2" t="str">
        <f>INDEX(customers!$A$1:$I$1001,MATCH($E849,customers!$A$1:$A$1001,),MATCH($H$1,customers!$A$1:$I$1,0))</f>
        <v>Scarlett Oliffe</v>
      </c>
      <c r="I849" s="2" t="str">
        <f>IF(INDEX(customers!$A$1:$I$1001,MATCH($E849,customers!$A$1:$A$1001,0),3)=0,"",INDEX(customers!$A$1:$I$1001,MATCH($E849,customers!$A$1:$A$1001,0),3))</f>
        <v>soliffeop@yellowbook.com</v>
      </c>
      <c r="J849" s="2" t="str">
        <f>_xlfn.XLOOKUP(E849,customers!$A$1:$A$1001,customers!$G$1:$G$1001)</f>
        <v>United States</v>
      </c>
      <c r="K849" t="str">
        <f>INDEX(products!$A$1:$G$49,MATCH($F849,products!$A$1:$A$49,0),MATCH(K$1,products!$A$1:$G$1,0))</f>
        <v>Rob</v>
      </c>
      <c r="L849" t="str">
        <f>INDEX(products!$A$1:$G$49,MATCH($F849,products!$A$1:$A$49,0),MATCH(L$1,products!$A$1:$G$1,0))</f>
        <v>D</v>
      </c>
      <c r="M849" s="5">
        <f>INDEX(products!$A$1:$G$49,MATCH($F849,products!$A$1:$A$49,0),MATCH(M$1,products!$A$1:$G$1,0))</f>
        <v>0.2</v>
      </c>
      <c r="N849" s="7">
        <f>INDEX(products!$A$1:$G$49,MATCH($F849,products!$A$1:$A$49,0),MATCH(N$1,products!$A$1:$G$1,0))</f>
        <v>2.6849999999999996</v>
      </c>
      <c r="O849" s="7">
        <f t="shared" si="13"/>
        <v>2.6849999999999996</v>
      </c>
      <c r="P849" t="str" cm="1">
        <f t="array" ref="P849">_xlfn.IFS(K849="Rob","Robusta",K849="Exc","Excelsa",K849="Ara","Arabica",K849="Lib","Liberica")</f>
        <v>Robusta</v>
      </c>
      <c r="Q849" t="str" cm="1">
        <f t="array" ref="Q849">_xlfn.IFS(L849="M","Medium",L849="L","Light",L849="D","Dark")</f>
        <v>Dark</v>
      </c>
      <c r="R849" t="str">
        <f>_xlfn.XLOOKUP(Orders[[#This Row],[Customer ID]],customers!$A$1:$A$1001,customers!$I$1:$I$1001)</f>
        <v>Yes</v>
      </c>
    </row>
    <row r="850" spans="1:18" x14ac:dyDescent="0.35">
      <c r="A850" s="2" t="s">
        <v>3254</v>
      </c>
      <c r="B850" s="4">
        <v>43654</v>
      </c>
      <c r="C850" s="23">
        <f>Orders[[#This Row],[Order Date]]</f>
        <v>43654</v>
      </c>
      <c r="D850" s="2">
        <f>YEAR(Orders[[#This Row],[Order Date]])</f>
        <v>2019</v>
      </c>
      <c r="E850" s="2" t="s">
        <v>3255</v>
      </c>
      <c r="F850" t="s">
        <v>6170</v>
      </c>
      <c r="G850" s="20">
        <v>6</v>
      </c>
      <c r="H850" s="2" t="str">
        <f>INDEX(customers!$A$1:$I$1001,MATCH($E850,customers!$A$1:$A$1001,),MATCH($H$1,customers!$A$1:$I$1,0))</f>
        <v>Sean Lorenzetti</v>
      </c>
      <c r="I850" s="2" t="str">
        <f>IF(INDEX(customers!$A$1:$I$1001,MATCH($E850,customers!$A$1:$A$1001,0),3)=0,"",INDEX(customers!$A$1:$I$1001,MATCH($E850,customers!$A$1:$A$1001,0),3))</f>
        <v>slorenzettidl@is.gd</v>
      </c>
      <c r="J850" s="2" t="str">
        <f>_xlfn.XLOOKUP(E850,customers!$A$1:$A$1001,customers!$G$1:$G$1001)</f>
        <v>United States</v>
      </c>
      <c r="K850" t="str">
        <f>INDEX(products!$A$1:$G$49,MATCH($F850,products!$A$1:$A$49,0),MATCH(K$1,products!$A$1:$G$1,0))</f>
        <v>Lib</v>
      </c>
      <c r="L850" t="str">
        <f>INDEX(products!$A$1:$G$49,MATCH($F850,products!$A$1:$A$49,0),MATCH(L$1,products!$A$1:$G$1,0))</f>
        <v>L</v>
      </c>
      <c r="M850" s="5">
        <f>INDEX(products!$A$1:$G$49,MATCH($F850,products!$A$1:$A$49,0),MATCH(M$1,products!$A$1:$G$1,0))</f>
        <v>1</v>
      </c>
      <c r="N850" s="7">
        <f>INDEX(products!$A$1:$G$49,MATCH($F850,products!$A$1:$A$49,0),MATCH(N$1,products!$A$1:$G$1,0))</f>
        <v>15.85</v>
      </c>
      <c r="O850" s="7">
        <f t="shared" si="13"/>
        <v>95.1</v>
      </c>
      <c r="P850" t="str" cm="1">
        <f t="array" ref="P850">_xlfn.IFS(K850="Rob","Robusta",K850="Exc","Excelsa",K850="Ara","Arabica",K850="Lib","Liberica")</f>
        <v>Liberica</v>
      </c>
      <c r="Q850" t="str" cm="1">
        <f t="array" ref="Q850">_xlfn.IFS(L850="M","Medium",L850="L","Light",L850="D","Dark")</f>
        <v>Light</v>
      </c>
      <c r="R850" t="str">
        <f>_xlfn.XLOOKUP(Orders[[#This Row],[Customer ID]],customers!$A$1:$A$1001,customers!$I$1:$I$1001)</f>
        <v>No</v>
      </c>
    </row>
    <row r="851" spans="1:18" x14ac:dyDescent="0.35">
      <c r="A851" s="2" t="s">
        <v>637</v>
      </c>
      <c r="B851" s="4">
        <v>43516</v>
      </c>
      <c r="C851" s="23">
        <f>Orders[[#This Row],[Order Date]]</f>
        <v>43516</v>
      </c>
      <c r="D851" s="2">
        <f>YEAR(Orders[[#This Row],[Order Date]])</f>
        <v>2019</v>
      </c>
      <c r="E851" s="2" t="s">
        <v>638</v>
      </c>
      <c r="F851" t="s">
        <v>6157</v>
      </c>
      <c r="G851" s="20">
        <v>4</v>
      </c>
      <c r="H851" s="2" t="str">
        <f>INDEX(customers!$A$1:$I$1001,MATCH($E851,customers!$A$1:$A$1001,),MATCH($H$1,customers!$A$1:$I$1,0))</f>
        <v>Selene Shales</v>
      </c>
      <c r="I851" s="2" t="str">
        <f>IF(INDEX(customers!$A$1:$I$1001,MATCH($E851,customers!$A$1:$A$1001,0),3)=0,"",INDEX(customers!$A$1:$I$1001,MATCH($E851,customers!$A$1:$A$1001,0),3))</f>
        <v>sshalesq@umich.edu</v>
      </c>
      <c r="J851" s="2" t="str">
        <f>_xlfn.XLOOKUP(E851,customers!$A$1:$A$1001,customers!$G$1:$G$1001)</f>
        <v>United States</v>
      </c>
      <c r="K851" t="str">
        <f>INDEX(products!$A$1:$G$49,MATCH($F851,products!$A$1:$A$49,0),MATCH(K$1,products!$A$1:$G$1,0))</f>
        <v>Ara</v>
      </c>
      <c r="L851" t="str">
        <f>INDEX(products!$A$1:$G$49,MATCH($F851,products!$A$1:$A$49,0),MATCH(L$1,products!$A$1:$G$1,0))</f>
        <v>M</v>
      </c>
      <c r="M851" s="5">
        <f>INDEX(products!$A$1:$G$49,MATCH($F851,products!$A$1:$A$49,0),MATCH(M$1,products!$A$1:$G$1,0))</f>
        <v>0.5</v>
      </c>
      <c r="N851" s="7">
        <f>INDEX(products!$A$1:$G$49,MATCH($F851,products!$A$1:$A$49,0),MATCH(N$1,products!$A$1:$G$1,0))</f>
        <v>6.75</v>
      </c>
      <c r="O851" s="7">
        <f t="shared" si="13"/>
        <v>27</v>
      </c>
      <c r="P851" t="str" cm="1">
        <f t="array" ref="P851">_xlfn.IFS(K851="Rob","Robusta",K851="Exc","Excelsa",K851="Ara","Arabica",K851="Lib","Liberica")</f>
        <v>Arabica</v>
      </c>
      <c r="Q851" t="str" cm="1">
        <f t="array" ref="Q851">_xlfn.IFS(L851="M","Medium",L851="L","Light",L851="D","Dark")</f>
        <v>Medium</v>
      </c>
      <c r="R851" t="str">
        <f>_xlfn.XLOOKUP(Orders[[#This Row],[Customer ID]],customers!$A$1:$A$1001,customers!$I$1:$I$1001)</f>
        <v>Yes</v>
      </c>
    </row>
    <row r="852" spans="1:18" x14ac:dyDescent="0.35">
      <c r="A852" s="2" t="s">
        <v>4505</v>
      </c>
      <c r="B852" s="4">
        <v>44600</v>
      </c>
      <c r="C852" s="23">
        <f>Orders[[#This Row],[Order Date]]</f>
        <v>44600</v>
      </c>
      <c r="D852" s="2">
        <f>YEAR(Orders[[#This Row],[Order Date]])</f>
        <v>2022</v>
      </c>
      <c r="E852" s="2" t="s">
        <v>4506</v>
      </c>
      <c r="F852" t="s">
        <v>6174</v>
      </c>
      <c r="G852" s="20">
        <v>6</v>
      </c>
      <c r="H852" s="2" t="str">
        <f>INDEX(customers!$A$1:$I$1001,MATCH($E852,customers!$A$1:$A$1001,),MATCH($H$1,customers!$A$1:$I$1,0))</f>
        <v>Selia Ragles</v>
      </c>
      <c r="I852" s="2" t="str">
        <f>IF(INDEX(customers!$A$1:$I$1001,MATCH($E852,customers!$A$1:$A$1001,0),3)=0,"",INDEX(customers!$A$1:$I$1001,MATCH($E852,customers!$A$1:$A$1001,0),3))</f>
        <v>sraglesjr@blogtalkradio.com</v>
      </c>
      <c r="J852" s="2" t="str">
        <f>_xlfn.XLOOKUP(E852,customers!$A$1:$A$1001,customers!$G$1:$G$1001)</f>
        <v>United States</v>
      </c>
      <c r="K852" t="str">
        <f>INDEX(products!$A$1:$G$49,MATCH($F852,products!$A$1:$A$49,0),MATCH(K$1,products!$A$1:$G$1,0))</f>
        <v>Rob</v>
      </c>
      <c r="L852" t="str">
        <f>INDEX(products!$A$1:$G$49,MATCH($F852,products!$A$1:$A$49,0),MATCH(L$1,products!$A$1:$G$1,0))</f>
        <v>M</v>
      </c>
      <c r="M852" s="5">
        <f>INDEX(products!$A$1:$G$49,MATCH($F852,products!$A$1:$A$49,0),MATCH(M$1,products!$A$1:$G$1,0))</f>
        <v>0.2</v>
      </c>
      <c r="N852" s="7">
        <f>INDEX(products!$A$1:$G$49,MATCH($F852,products!$A$1:$A$49,0),MATCH(N$1,products!$A$1:$G$1,0))</f>
        <v>2.9849999999999999</v>
      </c>
      <c r="O852" s="7">
        <f t="shared" si="13"/>
        <v>17.91</v>
      </c>
      <c r="P852" t="str" cm="1">
        <f t="array" ref="P852">_xlfn.IFS(K852="Rob","Robusta",K852="Exc","Excelsa",K852="Ara","Arabica",K852="Lib","Liberica")</f>
        <v>Robusta</v>
      </c>
      <c r="Q852" t="str" cm="1">
        <f t="array" ref="Q852">_xlfn.IFS(L852="M","Medium",L852="L","Light",L852="D","Dark")</f>
        <v>Medium</v>
      </c>
      <c r="R852" t="str">
        <f>_xlfn.XLOOKUP(Orders[[#This Row],[Customer ID]],customers!$A$1:$A$1001,customers!$I$1:$I$1001)</f>
        <v>No</v>
      </c>
    </row>
    <row r="853" spans="1:18" x14ac:dyDescent="0.35">
      <c r="A853" s="2" t="s">
        <v>4608</v>
      </c>
      <c r="B853" s="4">
        <v>44634</v>
      </c>
      <c r="C853" s="23">
        <f>Orders[[#This Row],[Order Date]]</f>
        <v>44634</v>
      </c>
      <c r="D853" s="2">
        <f>YEAR(Orders[[#This Row],[Order Date]])</f>
        <v>2022</v>
      </c>
      <c r="E853" s="2" t="s">
        <v>4609</v>
      </c>
      <c r="F853" t="s">
        <v>6159</v>
      </c>
      <c r="G853" s="20">
        <v>1</v>
      </c>
      <c r="H853" s="2" t="str">
        <f>INDEX(customers!$A$1:$I$1001,MATCH($E853,customers!$A$1:$A$1001,),MATCH($H$1,customers!$A$1:$I$1,0))</f>
        <v>Selle Scurrer</v>
      </c>
      <c r="I853" s="2" t="str">
        <f>IF(INDEX(customers!$A$1:$I$1001,MATCH($E853,customers!$A$1:$A$1001,0),3)=0,"",INDEX(customers!$A$1:$I$1001,MATCH($E853,customers!$A$1:$A$1001,0),3))</f>
        <v>sscurrerk9@flavors.me</v>
      </c>
      <c r="J853" s="2" t="str">
        <f>_xlfn.XLOOKUP(E853,customers!$A$1:$A$1001,customers!$G$1:$G$1001)</f>
        <v>United Kingdom</v>
      </c>
      <c r="K853" t="str">
        <f>INDEX(products!$A$1:$G$49,MATCH($F853,products!$A$1:$A$49,0),MATCH(K$1,products!$A$1:$G$1,0))</f>
        <v>Lib</v>
      </c>
      <c r="L853" t="str">
        <f>INDEX(products!$A$1:$G$49,MATCH($F853,products!$A$1:$A$49,0),MATCH(L$1,products!$A$1:$G$1,0))</f>
        <v>M</v>
      </c>
      <c r="M853" s="5">
        <f>INDEX(products!$A$1:$G$49,MATCH($F853,products!$A$1:$A$49,0),MATCH(M$1,products!$A$1:$G$1,0))</f>
        <v>0.2</v>
      </c>
      <c r="N853" s="7">
        <f>INDEX(products!$A$1:$G$49,MATCH($F853,products!$A$1:$A$49,0),MATCH(N$1,products!$A$1:$G$1,0))</f>
        <v>4.3650000000000002</v>
      </c>
      <c r="O853" s="7">
        <f t="shared" si="13"/>
        <v>4.3650000000000002</v>
      </c>
      <c r="P853" t="str" cm="1">
        <f t="array" ref="P853">_xlfn.IFS(K853="Rob","Robusta",K853="Exc","Excelsa",K853="Ara","Arabica",K853="Lib","Liberica")</f>
        <v>Liberica</v>
      </c>
      <c r="Q853" t="str" cm="1">
        <f t="array" ref="Q853">_xlfn.IFS(L853="M","Medium",L853="L","Light",L853="D","Dark")</f>
        <v>Medium</v>
      </c>
      <c r="R853" t="str">
        <f>_xlfn.XLOOKUP(Orders[[#This Row],[Customer ID]],customers!$A$1:$A$1001,customers!$I$1:$I$1001)</f>
        <v>No</v>
      </c>
    </row>
    <row r="854" spans="1:18" x14ac:dyDescent="0.35">
      <c r="A854" s="2" t="s">
        <v>2351</v>
      </c>
      <c r="B854" s="4">
        <v>43782</v>
      </c>
      <c r="C854" s="23">
        <f>Orders[[#This Row],[Order Date]]</f>
        <v>43782</v>
      </c>
      <c r="D854" s="2">
        <f>YEAR(Orders[[#This Row],[Order Date]])</f>
        <v>2019</v>
      </c>
      <c r="E854" s="2" t="s">
        <v>2280</v>
      </c>
      <c r="F854" t="s">
        <v>6172</v>
      </c>
      <c r="G854" s="20">
        <v>3</v>
      </c>
      <c r="H854" s="2" t="str">
        <f>INDEX(customers!$A$1:$I$1001,MATCH($E854,customers!$A$1:$A$1001,),MATCH($H$1,customers!$A$1:$I$1,0))</f>
        <v>Selma McMillian</v>
      </c>
      <c r="I854" s="2" t="str">
        <f>IF(INDEX(customers!$A$1:$I$1001,MATCH($E854,customers!$A$1:$A$1001,0),3)=0,"",INDEX(customers!$A$1:$I$1001,MATCH($E854,customers!$A$1:$A$1001,0),3))</f>
        <v>smcmillian8t@csmonitor.com</v>
      </c>
      <c r="J854" s="2" t="str">
        <f>_xlfn.XLOOKUP(E854,customers!$A$1:$A$1001,customers!$G$1:$G$1001)</f>
        <v>United States</v>
      </c>
      <c r="K854" t="str">
        <f>INDEX(products!$A$1:$G$49,MATCH($F854,products!$A$1:$A$49,0),MATCH(K$1,products!$A$1:$G$1,0))</f>
        <v>Rob</v>
      </c>
      <c r="L854" t="str">
        <f>INDEX(products!$A$1:$G$49,MATCH($F854,products!$A$1:$A$49,0),MATCH(L$1,products!$A$1:$G$1,0))</f>
        <v>D</v>
      </c>
      <c r="M854" s="5">
        <f>INDEX(products!$A$1:$G$49,MATCH($F854,products!$A$1:$A$49,0),MATCH(M$1,products!$A$1:$G$1,0))</f>
        <v>0.5</v>
      </c>
      <c r="N854" s="7">
        <f>INDEX(products!$A$1:$G$49,MATCH($F854,products!$A$1:$A$49,0),MATCH(N$1,products!$A$1:$G$1,0))</f>
        <v>5.3699999999999992</v>
      </c>
      <c r="O854" s="7">
        <f t="shared" si="13"/>
        <v>16.11</v>
      </c>
      <c r="P854" t="str" cm="1">
        <f t="array" ref="P854">_xlfn.IFS(K854="Rob","Robusta",K854="Exc","Excelsa",K854="Ara","Arabica",K854="Lib","Liberica")</f>
        <v>Robusta</v>
      </c>
      <c r="Q854" t="str" cm="1">
        <f t="array" ref="Q854">_xlfn.IFS(L854="M","Medium",L854="L","Light",L854="D","Dark")</f>
        <v>Dark</v>
      </c>
      <c r="R854" t="str">
        <f>_xlfn.XLOOKUP(Orders[[#This Row],[Customer ID]],customers!$A$1:$A$1001,customers!$I$1:$I$1001)</f>
        <v>No</v>
      </c>
    </row>
    <row r="855" spans="1:18" x14ac:dyDescent="0.35">
      <c r="A855" s="2" t="s">
        <v>2279</v>
      </c>
      <c r="B855" s="4">
        <v>43526</v>
      </c>
      <c r="C855" s="23">
        <f>Orders[[#This Row],[Order Date]]</f>
        <v>43526</v>
      </c>
      <c r="D855" s="2">
        <f>YEAR(Orders[[#This Row],[Order Date]])</f>
        <v>2019</v>
      </c>
      <c r="E855" s="2" t="s">
        <v>2280</v>
      </c>
      <c r="F855" t="s">
        <v>6144</v>
      </c>
      <c r="G855" s="20">
        <v>3</v>
      </c>
      <c r="H855" s="2" t="str">
        <f>INDEX(customers!$A$1:$I$1001,MATCH($E855,customers!$A$1:$A$1001,),MATCH($H$1,customers!$A$1:$I$1,0))</f>
        <v>Selma McMillian</v>
      </c>
      <c r="I855" s="2" t="str">
        <f>IF(INDEX(customers!$A$1:$I$1001,MATCH($E855,customers!$A$1:$A$1001,0),3)=0,"",INDEX(customers!$A$1:$I$1001,MATCH($E855,customers!$A$1:$A$1001,0),3))</f>
        <v>smcmillian8t@csmonitor.com</v>
      </c>
      <c r="J855" s="2" t="str">
        <f>_xlfn.XLOOKUP(E855,customers!$A$1:$A$1001,customers!$G$1:$G$1001)</f>
        <v>United States</v>
      </c>
      <c r="K855" t="str">
        <f>INDEX(products!$A$1:$G$49,MATCH($F855,products!$A$1:$A$49,0),MATCH(K$1,products!$A$1:$G$1,0))</f>
        <v>Exc</v>
      </c>
      <c r="L855" t="str">
        <f>INDEX(products!$A$1:$G$49,MATCH($F855,products!$A$1:$A$49,0),MATCH(L$1,products!$A$1:$G$1,0))</f>
        <v>D</v>
      </c>
      <c r="M855" s="5">
        <f>INDEX(products!$A$1:$G$49,MATCH($F855,products!$A$1:$A$49,0),MATCH(M$1,products!$A$1:$G$1,0))</f>
        <v>0.5</v>
      </c>
      <c r="N855" s="7">
        <f>INDEX(products!$A$1:$G$49,MATCH($F855,products!$A$1:$A$49,0),MATCH(N$1,products!$A$1:$G$1,0))</f>
        <v>7.29</v>
      </c>
      <c r="O855" s="7">
        <f t="shared" si="13"/>
        <v>21.87</v>
      </c>
      <c r="P855" t="str" cm="1">
        <f t="array" ref="P855">_xlfn.IFS(K855="Rob","Robusta",K855="Exc","Excelsa",K855="Ara","Arabica",K855="Lib","Liberica")</f>
        <v>Excelsa</v>
      </c>
      <c r="Q855" t="str" cm="1">
        <f t="array" ref="Q855">_xlfn.IFS(L855="M","Medium",L855="L","Light",L855="D","Dark")</f>
        <v>Dark</v>
      </c>
      <c r="R855" t="str">
        <f>_xlfn.XLOOKUP(Orders[[#This Row],[Customer ID]],customers!$A$1:$A$1001,customers!$I$1:$I$1001)</f>
        <v>No</v>
      </c>
    </row>
    <row r="856" spans="1:18" x14ac:dyDescent="0.35">
      <c r="A856" s="2" t="s">
        <v>1448</v>
      </c>
      <c r="B856" s="4">
        <v>44476</v>
      </c>
      <c r="C856" s="23">
        <f>Orders[[#This Row],[Order Date]]</f>
        <v>44476</v>
      </c>
      <c r="D856" s="2">
        <f>YEAR(Orders[[#This Row],[Order Date]])</f>
        <v>2021</v>
      </c>
      <c r="E856" s="2" t="s">
        <v>1449</v>
      </c>
      <c r="F856" t="s">
        <v>6148</v>
      </c>
      <c r="G856" s="20">
        <v>2</v>
      </c>
      <c r="H856" s="2" t="str">
        <f>INDEX(customers!$A$1:$I$1001,MATCH($E856,customers!$A$1:$A$1001,),MATCH($H$1,customers!$A$1:$I$1,0))</f>
        <v>Serena Earley</v>
      </c>
      <c r="I856" s="2" t="str">
        <f>IF(INDEX(customers!$A$1:$I$1001,MATCH($E856,customers!$A$1:$A$1001,0),3)=0,"",INDEX(customers!$A$1:$I$1001,MATCH($E856,customers!$A$1:$A$1001,0),3))</f>
        <v>searley4q@youku.com</v>
      </c>
      <c r="J856" s="2" t="str">
        <f>_xlfn.XLOOKUP(E856,customers!$A$1:$A$1001,customers!$G$1:$G$1001)</f>
        <v>United Kingdom</v>
      </c>
      <c r="K856" t="str">
        <f>INDEX(products!$A$1:$G$49,MATCH($F856,products!$A$1:$A$49,0),MATCH(K$1,products!$A$1:$G$1,0))</f>
        <v>Exc</v>
      </c>
      <c r="L856" t="str">
        <f>INDEX(products!$A$1:$G$49,MATCH($F856,products!$A$1:$A$49,0),MATCH(L$1,products!$A$1:$G$1,0))</f>
        <v>L</v>
      </c>
      <c r="M856" s="5">
        <f>INDEX(products!$A$1:$G$49,MATCH($F856,products!$A$1:$A$49,0),MATCH(M$1,products!$A$1:$G$1,0))</f>
        <v>2.5</v>
      </c>
      <c r="N856" s="7">
        <f>INDEX(products!$A$1:$G$49,MATCH($F856,products!$A$1:$A$49,0),MATCH(N$1,products!$A$1:$G$1,0))</f>
        <v>34.154999999999994</v>
      </c>
      <c r="O856" s="7">
        <f t="shared" si="13"/>
        <v>68.309999999999988</v>
      </c>
      <c r="P856" t="str" cm="1">
        <f t="array" ref="P856">_xlfn.IFS(K856="Rob","Robusta",K856="Exc","Excelsa",K856="Ara","Arabica",K856="Lib","Liberica")</f>
        <v>Excelsa</v>
      </c>
      <c r="Q856" t="str" cm="1">
        <f t="array" ref="Q856">_xlfn.IFS(L856="M","Medium",L856="L","Light",L856="D","Dark")</f>
        <v>Light</v>
      </c>
      <c r="R856" t="str">
        <f>_xlfn.XLOOKUP(Orders[[#This Row],[Customer ID]],customers!$A$1:$A$1001,customers!$I$1:$I$1001)</f>
        <v>No</v>
      </c>
    </row>
    <row r="857" spans="1:18" x14ac:dyDescent="0.35">
      <c r="A857" s="2" t="s">
        <v>885</v>
      </c>
      <c r="B857" s="4">
        <v>43646</v>
      </c>
      <c r="C857" s="23">
        <f>Orders[[#This Row],[Order Date]]</f>
        <v>43646</v>
      </c>
      <c r="D857" s="2">
        <f>YEAR(Orders[[#This Row],[Order Date]])</f>
        <v>2019</v>
      </c>
      <c r="E857" s="2" t="s">
        <v>886</v>
      </c>
      <c r="F857" t="s">
        <v>6148</v>
      </c>
      <c r="G857" s="20">
        <v>4</v>
      </c>
      <c r="H857" s="2" t="str">
        <f>INDEX(customers!$A$1:$I$1001,MATCH($E857,customers!$A$1:$A$1001,),MATCH($H$1,customers!$A$1:$I$1,0))</f>
        <v>Shannon List</v>
      </c>
      <c r="I857" s="2" t="str">
        <f>IF(INDEX(customers!$A$1:$I$1001,MATCH($E857,customers!$A$1:$A$1001,0),3)=0,"",INDEX(customers!$A$1:$I$1001,MATCH($E857,customers!$A$1:$A$1001,0),3))</f>
        <v>slist1y@mapquest.com</v>
      </c>
      <c r="J857" s="2" t="str">
        <f>_xlfn.XLOOKUP(E857,customers!$A$1:$A$1001,customers!$G$1:$G$1001)</f>
        <v>United States</v>
      </c>
      <c r="K857" t="str">
        <f>INDEX(products!$A$1:$G$49,MATCH($F857,products!$A$1:$A$49,0),MATCH(K$1,products!$A$1:$G$1,0))</f>
        <v>Exc</v>
      </c>
      <c r="L857" t="str">
        <f>INDEX(products!$A$1:$G$49,MATCH($F857,products!$A$1:$A$49,0),MATCH(L$1,products!$A$1:$G$1,0))</f>
        <v>L</v>
      </c>
      <c r="M857" s="5">
        <f>INDEX(products!$A$1:$G$49,MATCH($F857,products!$A$1:$A$49,0),MATCH(M$1,products!$A$1:$G$1,0))</f>
        <v>2.5</v>
      </c>
      <c r="N857" s="7">
        <f>INDEX(products!$A$1:$G$49,MATCH($F857,products!$A$1:$A$49,0),MATCH(N$1,products!$A$1:$G$1,0))</f>
        <v>34.154999999999994</v>
      </c>
      <c r="O857" s="7">
        <f t="shared" si="13"/>
        <v>136.61999999999998</v>
      </c>
      <c r="P857" t="str" cm="1">
        <f t="array" ref="P857">_xlfn.IFS(K857="Rob","Robusta",K857="Exc","Excelsa",K857="Ara","Arabica",K857="Lib","Liberica")</f>
        <v>Excelsa</v>
      </c>
      <c r="Q857" t="str" cm="1">
        <f t="array" ref="Q857">_xlfn.IFS(L857="M","Medium",L857="L","Light",L857="D","Dark")</f>
        <v>Light</v>
      </c>
      <c r="R857" t="str">
        <f>_xlfn.XLOOKUP(Orders[[#This Row],[Customer ID]],customers!$A$1:$A$1001,customers!$I$1:$I$1001)</f>
        <v>No</v>
      </c>
    </row>
    <row r="858" spans="1:18" x14ac:dyDescent="0.35">
      <c r="A858" s="2" t="s">
        <v>5548</v>
      </c>
      <c r="B858" s="4">
        <v>44016</v>
      </c>
      <c r="C858" s="23">
        <f>Orders[[#This Row],[Order Date]]</f>
        <v>44016</v>
      </c>
      <c r="D858" s="2">
        <f>YEAR(Orders[[#This Row],[Order Date]])</f>
        <v>2020</v>
      </c>
      <c r="E858" s="2" t="s">
        <v>5549</v>
      </c>
      <c r="F858" t="s">
        <v>6149</v>
      </c>
      <c r="G858" s="20">
        <v>4</v>
      </c>
      <c r="H858" s="2" t="str">
        <f>INDEX(customers!$A$1:$I$1001,MATCH($E858,customers!$A$1:$A$1001,),MATCH($H$1,customers!$A$1:$I$1,0))</f>
        <v>Sharity Wickens</v>
      </c>
      <c r="I858" s="2" t="str">
        <f>IF(INDEX(customers!$A$1:$I$1001,MATCH($E858,customers!$A$1:$A$1001,0),3)=0,"",INDEX(customers!$A$1:$I$1001,MATCH($E858,customers!$A$1:$A$1001,0),3))</f>
        <v/>
      </c>
      <c r="J858" s="2" t="str">
        <f>_xlfn.XLOOKUP(E858,customers!$A$1:$A$1001,customers!$G$1:$G$1001)</f>
        <v>Ireland</v>
      </c>
      <c r="K858" t="str">
        <f>INDEX(products!$A$1:$G$49,MATCH($F858,products!$A$1:$A$49,0),MATCH(K$1,products!$A$1:$G$1,0))</f>
        <v>Rob</v>
      </c>
      <c r="L858" t="str">
        <f>INDEX(products!$A$1:$G$49,MATCH($F858,products!$A$1:$A$49,0),MATCH(L$1,products!$A$1:$G$1,0))</f>
        <v>D</v>
      </c>
      <c r="M858" s="5">
        <f>INDEX(products!$A$1:$G$49,MATCH($F858,products!$A$1:$A$49,0),MATCH(M$1,products!$A$1:$G$1,0))</f>
        <v>2.5</v>
      </c>
      <c r="N858" s="7">
        <f>INDEX(products!$A$1:$G$49,MATCH($F858,products!$A$1:$A$49,0),MATCH(N$1,products!$A$1:$G$1,0))</f>
        <v>20.584999999999997</v>
      </c>
      <c r="O858" s="7">
        <f t="shared" si="13"/>
        <v>82.339999999999989</v>
      </c>
      <c r="P858" t="str" cm="1">
        <f t="array" ref="P858">_xlfn.IFS(K858="Rob","Robusta",K858="Exc","Excelsa",K858="Ara","Arabica",K858="Lib","Liberica")</f>
        <v>Robusta</v>
      </c>
      <c r="Q858" t="str" cm="1">
        <f t="array" ref="Q858">_xlfn.IFS(L858="M","Medium",L858="L","Light",L858="D","Dark")</f>
        <v>Dark</v>
      </c>
      <c r="R858" t="str">
        <f>_xlfn.XLOOKUP(Orders[[#This Row],[Customer ID]],customers!$A$1:$A$1001,customers!$I$1:$I$1001)</f>
        <v>Yes</v>
      </c>
    </row>
    <row r="859" spans="1:18" x14ac:dyDescent="0.35">
      <c r="A859" s="2" t="s">
        <v>5973</v>
      </c>
      <c r="B859" s="4">
        <v>43729</v>
      </c>
      <c r="C859" s="23">
        <f>Orders[[#This Row],[Order Date]]</f>
        <v>43729</v>
      </c>
      <c r="D859" s="2">
        <f>YEAR(Orders[[#This Row],[Order Date]])</f>
        <v>2019</v>
      </c>
      <c r="E859" s="2" t="s">
        <v>5974</v>
      </c>
      <c r="F859" t="s">
        <v>6139</v>
      </c>
      <c r="G859" s="20">
        <v>1</v>
      </c>
      <c r="H859" s="2" t="str">
        <f>INDEX(customers!$A$1:$I$1001,MATCH($E859,customers!$A$1:$A$1001,),MATCH($H$1,customers!$A$1:$I$1,0))</f>
        <v>Sharl Southerill</v>
      </c>
      <c r="I859" s="2" t="str">
        <f>IF(INDEX(customers!$A$1:$I$1001,MATCH($E859,customers!$A$1:$A$1001,0),3)=0,"",INDEX(customers!$A$1:$I$1001,MATCH($E859,customers!$A$1:$A$1001,0),3))</f>
        <v/>
      </c>
      <c r="J859" s="2" t="str">
        <f>_xlfn.XLOOKUP(E859,customers!$A$1:$A$1001,customers!$G$1:$G$1001)</f>
        <v>United States</v>
      </c>
      <c r="K859" t="str">
        <f>INDEX(products!$A$1:$G$49,MATCH($F859,products!$A$1:$A$49,0),MATCH(K$1,products!$A$1:$G$1,0))</f>
        <v>Exc</v>
      </c>
      <c r="L859" t="str">
        <f>INDEX(products!$A$1:$G$49,MATCH($F859,products!$A$1:$A$49,0),MATCH(L$1,products!$A$1:$G$1,0))</f>
        <v>M</v>
      </c>
      <c r="M859" s="5">
        <f>INDEX(products!$A$1:$G$49,MATCH($F859,products!$A$1:$A$49,0),MATCH(M$1,products!$A$1:$G$1,0))</f>
        <v>0.5</v>
      </c>
      <c r="N859" s="7">
        <f>INDEX(products!$A$1:$G$49,MATCH($F859,products!$A$1:$A$49,0),MATCH(N$1,products!$A$1:$G$1,0))</f>
        <v>8.25</v>
      </c>
      <c r="O859" s="7">
        <f t="shared" si="13"/>
        <v>8.25</v>
      </c>
      <c r="P859" t="str" cm="1">
        <f t="array" ref="P859">_xlfn.IFS(K859="Rob","Robusta",K859="Exc","Excelsa",K859="Ara","Arabica",K859="Lib","Liberica")</f>
        <v>Excelsa</v>
      </c>
      <c r="Q859" t="str" cm="1">
        <f t="array" ref="Q859">_xlfn.IFS(L859="M","Medium",L859="L","Light",L859="D","Dark")</f>
        <v>Medium</v>
      </c>
      <c r="R859" t="str">
        <f>_xlfn.XLOOKUP(Orders[[#This Row],[Customer ID]],customers!$A$1:$A$1001,customers!$I$1:$I$1001)</f>
        <v>No</v>
      </c>
    </row>
    <row r="860" spans="1:18" x14ac:dyDescent="0.35">
      <c r="A860" s="2" t="s">
        <v>4797</v>
      </c>
      <c r="B860" s="4">
        <v>43563</v>
      </c>
      <c r="C860" s="23">
        <f>Orders[[#This Row],[Order Date]]</f>
        <v>43563</v>
      </c>
      <c r="D860" s="2">
        <f>YEAR(Orders[[#This Row],[Order Date]])</f>
        <v>2019</v>
      </c>
      <c r="E860" s="2" t="s">
        <v>4798</v>
      </c>
      <c r="F860" t="s">
        <v>6160</v>
      </c>
      <c r="G860" s="20">
        <v>5</v>
      </c>
      <c r="H860" s="2" t="str">
        <f>INDEX(customers!$A$1:$I$1001,MATCH($E860,customers!$A$1:$A$1001,),MATCH($H$1,customers!$A$1:$I$1,0))</f>
        <v>Sharona Danilchik</v>
      </c>
      <c r="I860" s="2" t="str">
        <f>IF(INDEX(customers!$A$1:$I$1001,MATCH($E860,customers!$A$1:$A$1001,0),3)=0,"",INDEX(customers!$A$1:$I$1001,MATCH($E860,customers!$A$1:$A$1001,0),3))</f>
        <v>sdanilchikl6@mit.edu</v>
      </c>
      <c r="J860" s="2" t="str">
        <f>_xlfn.XLOOKUP(E860,customers!$A$1:$A$1001,customers!$G$1:$G$1001)</f>
        <v>United Kingdom</v>
      </c>
      <c r="K860" t="str">
        <f>INDEX(products!$A$1:$G$49,MATCH($F860,products!$A$1:$A$49,0),MATCH(K$1,products!$A$1:$G$1,0))</f>
        <v>Lib</v>
      </c>
      <c r="L860" t="str">
        <f>INDEX(products!$A$1:$G$49,MATCH($F860,products!$A$1:$A$49,0),MATCH(L$1,products!$A$1:$G$1,0))</f>
        <v>M</v>
      </c>
      <c r="M860" s="5">
        <f>INDEX(products!$A$1:$G$49,MATCH($F860,products!$A$1:$A$49,0),MATCH(M$1,products!$A$1:$G$1,0))</f>
        <v>0.5</v>
      </c>
      <c r="N860" s="7">
        <f>INDEX(products!$A$1:$G$49,MATCH($F860,products!$A$1:$A$49,0),MATCH(N$1,products!$A$1:$G$1,0))</f>
        <v>8.73</v>
      </c>
      <c r="O860" s="7">
        <f t="shared" si="13"/>
        <v>43.650000000000006</v>
      </c>
      <c r="P860" t="str" cm="1">
        <f t="array" ref="P860">_xlfn.IFS(K860="Rob","Robusta",K860="Exc","Excelsa",K860="Ara","Arabica",K860="Lib","Liberica")</f>
        <v>Liberica</v>
      </c>
      <c r="Q860" t="str" cm="1">
        <f t="array" ref="Q860">_xlfn.IFS(L860="M","Medium",L860="L","Light",L860="D","Dark")</f>
        <v>Medium</v>
      </c>
      <c r="R860" t="str">
        <f>_xlfn.XLOOKUP(Orders[[#This Row],[Customer ID]],customers!$A$1:$A$1001,customers!$I$1:$I$1001)</f>
        <v>No</v>
      </c>
    </row>
    <row r="861" spans="1:18" x14ac:dyDescent="0.35">
      <c r="A861" s="2" t="s">
        <v>1117</v>
      </c>
      <c r="B861" s="4">
        <v>44481</v>
      </c>
      <c r="C861" s="23">
        <f>Orders[[#This Row],[Order Date]]</f>
        <v>44481</v>
      </c>
      <c r="D861" s="2">
        <f>YEAR(Orders[[#This Row],[Order Date]])</f>
        <v>2021</v>
      </c>
      <c r="E861" s="2" t="s">
        <v>1118</v>
      </c>
      <c r="F861" t="s">
        <v>6155</v>
      </c>
      <c r="G861" s="20">
        <v>1</v>
      </c>
      <c r="H861" s="2" t="str">
        <f>INDEX(customers!$A$1:$I$1001,MATCH($E861,customers!$A$1:$A$1001,),MATCH($H$1,customers!$A$1:$I$1,0))</f>
        <v>Shawnee Critchlow</v>
      </c>
      <c r="I861" s="2" t="str">
        <f>IF(INDEX(customers!$A$1:$I$1001,MATCH($E861,customers!$A$1:$A$1001,0),3)=0,"",INDEX(customers!$A$1:$I$1001,MATCH($E861,customers!$A$1:$A$1001,0),3))</f>
        <v>scritchlow34@un.org</v>
      </c>
      <c r="J861" s="2" t="str">
        <f>_xlfn.XLOOKUP(E861,customers!$A$1:$A$1001,customers!$G$1:$G$1001)</f>
        <v>United States</v>
      </c>
      <c r="K861" t="str">
        <f>INDEX(products!$A$1:$G$49,MATCH($F861,products!$A$1:$A$49,0),MATCH(K$1,products!$A$1:$G$1,0))</f>
        <v>Ara</v>
      </c>
      <c r="L861" t="str">
        <f>INDEX(products!$A$1:$G$49,MATCH($F861,products!$A$1:$A$49,0),MATCH(L$1,products!$A$1:$G$1,0))</f>
        <v>M</v>
      </c>
      <c r="M861" s="5">
        <f>INDEX(products!$A$1:$G$49,MATCH($F861,products!$A$1:$A$49,0),MATCH(M$1,products!$A$1:$G$1,0))</f>
        <v>1</v>
      </c>
      <c r="N861" s="7">
        <f>INDEX(products!$A$1:$G$49,MATCH($F861,products!$A$1:$A$49,0),MATCH(N$1,products!$A$1:$G$1,0))</f>
        <v>11.25</v>
      </c>
      <c r="O861" s="7">
        <f t="shared" si="13"/>
        <v>11.25</v>
      </c>
      <c r="P861" t="str" cm="1">
        <f t="array" ref="P861">_xlfn.IFS(K861="Rob","Robusta",K861="Exc","Excelsa",K861="Ara","Arabica",K861="Lib","Liberica")</f>
        <v>Arabica</v>
      </c>
      <c r="Q861" t="str" cm="1">
        <f t="array" ref="Q861">_xlfn.IFS(L861="M","Medium",L861="L","Light",L861="D","Dark")</f>
        <v>Medium</v>
      </c>
      <c r="R861" t="str">
        <f>_xlfn.XLOOKUP(Orders[[#This Row],[Customer ID]],customers!$A$1:$A$1001,customers!$I$1:$I$1001)</f>
        <v>No</v>
      </c>
    </row>
    <row r="862" spans="1:18" x14ac:dyDescent="0.35">
      <c r="A862" s="2" t="s">
        <v>3960</v>
      </c>
      <c r="B862" s="4">
        <v>44006</v>
      </c>
      <c r="C862" s="23">
        <f>Orders[[#This Row],[Order Date]]</f>
        <v>44006</v>
      </c>
      <c r="D862" s="2">
        <f>YEAR(Orders[[#This Row],[Order Date]])</f>
        <v>2020</v>
      </c>
      <c r="E862" s="2" t="s">
        <v>3961</v>
      </c>
      <c r="F862" t="s">
        <v>6164</v>
      </c>
      <c r="G862" s="20">
        <v>2</v>
      </c>
      <c r="H862" s="2" t="str">
        <f>INDEX(customers!$A$1:$I$1001,MATCH($E862,customers!$A$1:$A$1001,),MATCH($H$1,customers!$A$1:$I$1,0))</f>
        <v>Shay Couronne</v>
      </c>
      <c r="I862" s="2" t="str">
        <f>IF(INDEX(customers!$A$1:$I$1001,MATCH($E862,customers!$A$1:$A$1001,0),3)=0,"",INDEX(customers!$A$1:$I$1001,MATCH($E862,customers!$A$1:$A$1001,0),3))</f>
        <v>scouronneh3@mozilla.org</v>
      </c>
      <c r="J862" s="2" t="str">
        <f>_xlfn.XLOOKUP(E862,customers!$A$1:$A$1001,customers!$G$1:$G$1001)</f>
        <v>United States</v>
      </c>
      <c r="K862" t="str">
        <f>INDEX(products!$A$1:$G$49,MATCH($F862,products!$A$1:$A$49,0),MATCH(K$1,products!$A$1:$G$1,0))</f>
        <v>Lib</v>
      </c>
      <c r="L862" t="str">
        <f>INDEX(products!$A$1:$G$49,MATCH($F862,products!$A$1:$A$49,0),MATCH(L$1,products!$A$1:$G$1,0))</f>
        <v>L</v>
      </c>
      <c r="M862" s="5">
        <f>INDEX(products!$A$1:$G$49,MATCH($F862,products!$A$1:$A$49,0),MATCH(M$1,products!$A$1:$G$1,0))</f>
        <v>2.5</v>
      </c>
      <c r="N862" s="7">
        <f>INDEX(products!$A$1:$G$49,MATCH($F862,products!$A$1:$A$49,0),MATCH(N$1,products!$A$1:$G$1,0))</f>
        <v>36.454999999999998</v>
      </c>
      <c r="O862" s="7">
        <f t="shared" si="13"/>
        <v>72.91</v>
      </c>
      <c r="P862" t="str" cm="1">
        <f t="array" ref="P862">_xlfn.IFS(K862="Rob","Robusta",K862="Exc","Excelsa",K862="Ara","Arabica",K862="Lib","Liberica")</f>
        <v>Liberica</v>
      </c>
      <c r="Q862" t="str" cm="1">
        <f t="array" ref="Q862">_xlfn.IFS(L862="M","Medium",L862="L","Light",L862="D","Dark")</f>
        <v>Light</v>
      </c>
      <c r="R862" t="str">
        <f>_xlfn.XLOOKUP(Orders[[#This Row],[Customer ID]],customers!$A$1:$A$1001,customers!$I$1:$I$1001)</f>
        <v>Yes</v>
      </c>
    </row>
    <row r="863" spans="1:18" x14ac:dyDescent="0.35">
      <c r="A863" s="2" t="s">
        <v>524</v>
      </c>
      <c r="B863" s="4">
        <v>44582</v>
      </c>
      <c r="C863" s="23">
        <f>Orders[[#This Row],[Order Date]]</f>
        <v>44582</v>
      </c>
      <c r="D863" s="2">
        <f>YEAR(Orders[[#This Row],[Order Date]])</f>
        <v>2022</v>
      </c>
      <c r="E863" s="2" t="s">
        <v>525</v>
      </c>
      <c r="F863" t="s">
        <v>6144</v>
      </c>
      <c r="G863" s="20">
        <v>3</v>
      </c>
      <c r="H863" s="2" t="str">
        <f>INDEX(customers!$A$1:$I$1001,MATCH($E863,customers!$A$1:$A$1001,),MATCH($H$1,customers!$A$1:$I$1,0))</f>
        <v>Shaylynn Lobe</v>
      </c>
      <c r="I863" s="2" t="str">
        <f>IF(INDEX(customers!$A$1:$I$1001,MATCH($E863,customers!$A$1:$A$1001,0),3)=0,"",INDEX(customers!$A$1:$I$1001,MATCH($E863,customers!$A$1:$A$1001,0),3))</f>
        <v>slobe6@nifty.com</v>
      </c>
      <c r="J863" s="2" t="str">
        <f>_xlfn.XLOOKUP(E863,customers!$A$1:$A$1001,customers!$G$1:$G$1001)</f>
        <v>United States</v>
      </c>
      <c r="K863" t="str">
        <f>INDEX(products!$A$1:$G$49,MATCH($F863,products!$A$1:$A$49,0),MATCH(K$1,products!$A$1:$G$1,0))</f>
        <v>Exc</v>
      </c>
      <c r="L863" t="str">
        <f>INDEX(products!$A$1:$G$49,MATCH($F863,products!$A$1:$A$49,0),MATCH(L$1,products!$A$1:$G$1,0))</f>
        <v>D</v>
      </c>
      <c r="M863" s="5">
        <f>INDEX(products!$A$1:$G$49,MATCH($F863,products!$A$1:$A$49,0),MATCH(M$1,products!$A$1:$G$1,0))</f>
        <v>0.5</v>
      </c>
      <c r="N863" s="7">
        <f>INDEX(products!$A$1:$G$49,MATCH($F863,products!$A$1:$A$49,0),MATCH(N$1,products!$A$1:$G$1,0))</f>
        <v>7.29</v>
      </c>
      <c r="O863" s="7">
        <f t="shared" si="13"/>
        <v>21.87</v>
      </c>
      <c r="P863" t="str" cm="1">
        <f t="array" ref="P863">_xlfn.IFS(K863="Rob","Robusta",K863="Exc","Excelsa",K863="Ara","Arabica",K863="Lib","Liberica")</f>
        <v>Excelsa</v>
      </c>
      <c r="Q863" t="str" cm="1">
        <f t="array" ref="Q863">_xlfn.IFS(L863="M","Medium",L863="L","Light",L863="D","Dark")</f>
        <v>Dark</v>
      </c>
      <c r="R863" t="str">
        <f>_xlfn.XLOOKUP(Orders[[#This Row],[Customer ID]],customers!$A$1:$A$1001,customers!$I$1:$I$1001)</f>
        <v>Yes</v>
      </c>
    </row>
    <row r="864" spans="1:18" x14ac:dyDescent="0.35">
      <c r="A864" s="2" t="s">
        <v>4471</v>
      </c>
      <c r="B864" s="4">
        <v>44114</v>
      </c>
      <c r="C864" s="23">
        <f>Orders[[#This Row],[Order Date]]</f>
        <v>44114</v>
      </c>
      <c r="D864" s="2">
        <f>YEAR(Orders[[#This Row],[Order Date]])</f>
        <v>2020</v>
      </c>
      <c r="E864" s="2" t="s">
        <v>4472</v>
      </c>
      <c r="F864" t="s">
        <v>6176</v>
      </c>
      <c r="G864" s="20">
        <v>2</v>
      </c>
      <c r="H864" s="2" t="str">
        <f>INDEX(customers!$A$1:$I$1001,MATCH($E864,customers!$A$1:$A$1001,),MATCH($H$1,customers!$A$1:$I$1,0))</f>
        <v>Shelley Gehring</v>
      </c>
      <c r="I864" s="2" t="str">
        <f>IF(INDEX(customers!$A$1:$I$1001,MATCH($E864,customers!$A$1:$A$1001,0),3)=0,"",INDEX(customers!$A$1:$I$1001,MATCH($E864,customers!$A$1:$A$1001,0),3))</f>
        <v>sgehringjl@gnu.org</v>
      </c>
      <c r="J864" s="2" t="str">
        <f>_xlfn.XLOOKUP(E864,customers!$A$1:$A$1001,customers!$G$1:$G$1001)</f>
        <v>United States</v>
      </c>
      <c r="K864" t="str">
        <f>INDEX(products!$A$1:$G$49,MATCH($F864,products!$A$1:$A$49,0),MATCH(K$1,products!$A$1:$G$1,0))</f>
        <v>Exc</v>
      </c>
      <c r="L864" t="str">
        <f>INDEX(products!$A$1:$G$49,MATCH($F864,products!$A$1:$A$49,0),MATCH(L$1,products!$A$1:$G$1,0))</f>
        <v>L</v>
      </c>
      <c r="M864" s="5">
        <f>INDEX(products!$A$1:$G$49,MATCH($F864,products!$A$1:$A$49,0),MATCH(M$1,products!$A$1:$G$1,0))</f>
        <v>0.5</v>
      </c>
      <c r="N864" s="7">
        <f>INDEX(products!$A$1:$G$49,MATCH($F864,products!$A$1:$A$49,0),MATCH(N$1,products!$A$1:$G$1,0))</f>
        <v>8.91</v>
      </c>
      <c r="O864" s="7">
        <f t="shared" si="13"/>
        <v>17.82</v>
      </c>
      <c r="P864" t="str" cm="1">
        <f t="array" ref="P864">_xlfn.IFS(K864="Rob","Robusta",K864="Exc","Excelsa",K864="Ara","Arabica",K864="Lib","Liberica")</f>
        <v>Excelsa</v>
      </c>
      <c r="Q864" t="str" cm="1">
        <f t="array" ref="Q864">_xlfn.IFS(L864="M","Medium",L864="L","Light",L864="D","Dark")</f>
        <v>Light</v>
      </c>
      <c r="R864" t="str">
        <f>_xlfn.XLOOKUP(Orders[[#This Row],[Customer ID]],customers!$A$1:$A$1001,customers!$I$1:$I$1001)</f>
        <v>No</v>
      </c>
    </row>
    <row r="865" spans="1:18" x14ac:dyDescent="0.35">
      <c r="A865" s="2" t="s">
        <v>5339</v>
      </c>
      <c r="B865" s="4">
        <v>43638</v>
      </c>
      <c r="C865" s="23">
        <f>Orders[[#This Row],[Order Date]]</f>
        <v>43638</v>
      </c>
      <c r="D865" s="2">
        <f>YEAR(Orders[[#This Row],[Order Date]])</f>
        <v>2019</v>
      </c>
      <c r="E865" s="2" t="s">
        <v>5340</v>
      </c>
      <c r="F865" t="s">
        <v>6160</v>
      </c>
      <c r="G865" s="20">
        <v>4</v>
      </c>
      <c r="H865" s="2" t="str">
        <f>INDEX(customers!$A$1:$I$1001,MATCH($E865,customers!$A$1:$A$1001,),MATCH($H$1,customers!$A$1:$I$1,0))</f>
        <v>Shelley Titley</v>
      </c>
      <c r="I865" s="2" t="str">
        <f>IF(INDEX(customers!$A$1:$I$1001,MATCH($E865,customers!$A$1:$A$1001,0),3)=0,"",INDEX(customers!$A$1:$I$1001,MATCH($E865,customers!$A$1:$A$1001,0),3))</f>
        <v>stitleynu@whitehouse.gov</v>
      </c>
      <c r="J865" s="2" t="str">
        <f>_xlfn.XLOOKUP(E865,customers!$A$1:$A$1001,customers!$G$1:$G$1001)</f>
        <v>United States</v>
      </c>
      <c r="K865" t="str">
        <f>INDEX(products!$A$1:$G$49,MATCH($F865,products!$A$1:$A$49,0),MATCH(K$1,products!$A$1:$G$1,0))</f>
        <v>Lib</v>
      </c>
      <c r="L865" t="str">
        <f>INDEX(products!$A$1:$G$49,MATCH($F865,products!$A$1:$A$49,0),MATCH(L$1,products!$A$1:$G$1,0))</f>
        <v>M</v>
      </c>
      <c r="M865" s="5">
        <f>INDEX(products!$A$1:$G$49,MATCH($F865,products!$A$1:$A$49,0),MATCH(M$1,products!$A$1:$G$1,0))</f>
        <v>0.5</v>
      </c>
      <c r="N865" s="7">
        <f>INDEX(products!$A$1:$G$49,MATCH($F865,products!$A$1:$A$49,0),MATCH(N$1,products!$A$1:$G$1,0))</f>
        <v>8.73</v>
      </c>
      <c r="O865" s="7">
        <f t="shared" si="13"/>
        <v>34.92</v>
      </c>
      <c r="P865" t="str" cm="1">
        <f t="array" ref="P865">_xlfn.IFS(K865="Rob","Robusta",K865="Exc","Excelsa",K865="Ara","Arabica",K865="Lib","Liberica")</f>
        <v>Liberica</v>
      </c>
      <c r="Q865" t="str" cm="1">
        <f t="array" ref="Q865">_xlfn.IFS(L865="M","Medium",L865="L","Light",L865="D","Dark")</f>
        <v>Medium</v>
      </c>
      <c r="R865" t="str">
        <f>_xlfn.XLOOKUP(Orders[[#This Row],[Customer ID]],customers!$A$1:$A$1001,customers!$I$1:$I$1001)</f>
        <v>No</v>
      </c>
    </row>
    <row r="866" spans="1:18" x14ac:dyDescent="0.35">
      <c r="A866" s="2" t="s">
        <v>4488</v>
      </c>
      <c r="B866" s="4">
        <v>43804</v>
      </c>
      <c r="C866" s="23">
        <f>Orders[[#This Row],[Order Date]]</f>
        <v>43804</v>
      </c>
      <c r="D866" s="2">
        <f>YEAR(Orders[[#This Row],[Order Date]])</f>
        <v>2019</v>
      </c>
      <c r="E866" s="2" t="s">
        <v>4489</v>
      </c>
      <c r="F866" t="s">
        <v>6157</v>
      </c>
      <c r="G866" s="20">
        <v>2</v>
      </c>
      <c r="H866" s="2" t="str">
        <f>INDEX(customers!$A$1:$I$1001,MATCH($E866,customers!$A$1:$A$1001,),MATCH($H$1,customers!$A$1:$I$1,0))</f>
        <v>Shelli De Banke</v>
      </c>
      <c r="I866" s="2" t="str">
        <f>IF(INDEX(customers!$A$1:$I$1001,MATCH($E866,customers!$A$1:$A$1001,0),3)=0,"",INDEX(customers!$A$1:$I$1001,MATCH($E866,customers!$A$1:$A$1001,0),3))</f>
        <v>sdejo@newsvine.com</v>
      </c>
      <c r="J866" s="2" t="str">
        <f>_xlfn.XLOOKUP(E866,customers!$A$1:$A$1001,customers!$G$1:$G$1001)</f>
        <v>United States</v>
      </c>
      <c r="K866" t="str">
        <f>INDEX(products!$A$1:$G$49,MATCH($F866,products!$A$1:$A$49,0),MATCH(K$1,products!$A$1:$G$1,0))</f>
        <v>Ara</v>
      </c>
      <c r="L866" t="str">
        <f>INDEX(products!$A$1:$G$49,MATCH($F866,products!$A$1:$A$49,0),MATCH(L$1,products!$A$1:$G$1,0))</f>
        <v>M</v>
      </c>
      <c r="M866" s="5">
        <f>INDEX(products!$A$1:$G$49,MATCH($F866,products!$A$1:$A$49,0),MATCH(M$1,products!$A$1:$G$1,0))</f>
        <v>0.5</v>
      </c>
      <c r="N866" s="7">
        <f>INDEX(products!$A$1:$G$49,MATCH($F866,products!$A$1:$A$49,0),MATCH(N$1,products!$A$1:$G$1,0))</f>
        <v>6.75</v>
      </c>
      <c r="O866" s="7">
        <f t="shared" si="13"/>
        <v>13.5</v>
      </c>
      <c r="P866" t="str" cm="1">
        <f t="array" ref="P866">_xlfn.IFS(K866="Rob","Robusta",K866="Exc","Excelsa",K866="Ara","Arabica",K866="Lib","Liberica")</f>
        <v>Arabica</v>
      </c>
      <c r="Q866" t="str" cm="1">
        <f t="array" ref="Q866">_xlfn.IFS(L866="M","Medium",L866="L","Light",L866="D","Dark")</f>
        <v>Medium</v>
      </c>
      <c r="R866" t="str">
        <f>_xlfn.XLOOKUP(Orders[[#This Row],[Customer ID]],customers!$A$1:$A$1001,customers!$I$1:$I$1001)</f>
        <v>Yes</v>
      </c>
    </row>
    <row r="867" spans="1:18" x14ac:dyDescent="0.35">
      <c r="A867" s="2" t="s">
        <v>2452</v>
      </c>
      <c r="B867" s="4">
        <v>43803</v>
      </c>
      <c r="C867" s="23">
        <f>Orders[[#This Row],[Order Date]]</f>
        <v>43803</v>
      </c>
      <c r="D867" s="2">
        <f>YEAR(Orders[[#This Row],[Order Date]])</f>
        <v>2019</v>
      </c>
      <c r="E867" s="2" t="s">
        <v>2453</v>
      </c>
      <c r="F867" t="s">
        <v>6148</v>
      </c>
      <c r="G867" s="20">
        <v>6</v>
      </c>
      <c r="H867" s="2" t="str">
        <f>INDEX(customers!$A$1:$I$1001,MATCH($E867,customers!$A$1:$A$1001,),MATCH($H$1,customers!$A$1:$I$1,0))</f>
        <v>Shelli Keynd</v>
      </c>
      <c r="I867" s="2" t="str">
        <f>IF(INDEX(customers!$A$1:$I$1001,MATCH($E867,customers!$A$1:$A$1001,0),3)=0,"",INDEX(customers!$A$1:$I$1001,MATCH($E867,customers!$A$1:$A$1001,0),3))</f>
        <v>skeynd9o@narod.ru</v>
      </c>
      <c r="J867" s="2" t="str">
        <f>_xlfn.XLOOKUP(E867,customers!$A$1:$A$1001,customers!$G$1:$G$1001)</f>
        <v>United States</v>
      </c>
      <c r="K867" t="str">
        <f>INDEX(products!$A$1:$G$49,MATCH($F867,products!$A$1:$A$49,0),MATCH(K$1,products!$A$1:$G$1,0))</f>
        <v>Exc</v>
      </c>
      <c r="L867" t="str">
        <f>INDEX(products!$A$1:$G$49,MATCH($F867,products!$A$1:$A$49,0),MATCH(L$1,products!$A$1:$G$1,0))</f>
        <v>L</v>
      </c>
      <c r="M867" s="5">
        <f>INDEX(products!$A$1:$G$49,MATCH($F867,products!$A$1:$A$49,0),MATCH(M$1,products!$A$1:$G$1,0))</f>
        <v>2.5</v>
      </c>
      <c r="N867" s="7">
        <f>INDEX(products!$A$1:$G$49,MATCH($F867,products!$A$1:$A$49,0),MATCH(N$1,products!$A$1:$G$1,0))</f>
        <v>34.154999999999994</v>
      </c>
      <c r="O867" s="7">
        <f t="shared" si="13"/>
        <v>204.92999999999995</v>
      </c>
      <c r="P867" t="str" cm="1">
        <f t="array" ref="P867">_xlfn.IFS(K867="Rob","Robusta",K867="Exc","Excelsa",K867="Ara","Arabica",K867="Lib","Liberica")</f>
        <v>Excelsa</v>
      </c>
      <c r="Q867" t="str" cm="1">
        <f t="array" ref="Q867">_xlfn.IFS(L867="M","Medium",L867="L","Light",L867="D","Dark")</f>
        <v>Light</v>
      </c>
      <c r="R867" t="str">
        <f>_xlfn.XLOOKUP(Orders[[#This Row],[Customer ID]],customers!$A$1:$A$1001,customers!$I$1:$I$1001)</f>
        <v>No</v>
      </c>
    </row>
    <row r="868" spans="1:18" x14ac:dyDescent="0.35">
      <c r="A868" s="2" t="s">
        <v>948</v>
      </c>
      <c r="B868" s="4">
        <v>43763</v>
      </c>
      <c r="C868" s="23">
        <f>Orders[[#This Row],[Order Date]]</f>
        <v>43763</v>
      </c>
      <c r="D868" s="2">
        <f>YEAR(Orders[[#This Row],[Order Date]])</f>
        <v>2019</v>
      </c>
      <c r="E868" s="2" t="s">
        <v>949</v>
      </c>
      <c r="F868" t="s">
        <v>6164</v>
      </c>
      <c r="G868" s="20">
        <v>3</v>
      </c>
      <c r="H868" s="2" t="str">
        <f>INDEX(customers!$A$1:$I$1001,MATCH($E868,customers!$A$1:$A$1001,),MATCH($H$1,customers!$A$1:$I$1,0))</f>
        <v>Sheppard Yann</v>
      </c>
      <c r="I868" s="2" t="str">
        <f>IF(INDEX(customers!$A$1:$I$1001,MATCH($E868,customers!$A$1:$A$1001,0),3)=0,"",INDEX(customers!$A$1:$I$1001,MATCH($E868,customers!$A$1:$A$1001,0),3))</f>
        <v>syann29@senate.gov</v>
      </c>
      <c r="J868" s="2" t="str">
        <f>_xlfn.XLOOKUP(E868,customers!$A$1:$A$1001,customers!$G$1:$G$1001)</f>
        <v>United States</v>
      </c>
      <c r="K868" t="str">
        <f>INDEX(products!$A$1:$G$49,MATCH($F868,products!$A$1:$A$49,0),MATCH(K$1,products!$A$1:$G$1,0))</f>
        <v>Lib</v>
      </c>
      <c r="L868" t="str">
        <f>INDEX(products!$A$1:$G$49,MATCH($F868,products!$A$1:$A$49,0),MATCH(L$1,products!$A$1:$G$1,0))</f>
        <v>L</v>
      </c>
      <c r="M868" s="5">
        <f>INDEX(products!$A$1:$G$49,MATCH($F868,products!$A$1:$A$49,0),MATCH(M$1,products!$A$1:$G$1,0))</f>
        <v>2.5</v>
      </c>
      <c r="N868" s="7">
        <f>INDEX(products!$A$1:$G$49,MATCH($F868,products!$A$1:$A$49,0),MATCH(N$1,products!$A$1:$G$1,0))</f>
        <v>36.454999999999998</v>
      </c>
      <c r="O868" s="7">
        <f t="shared" si="13"/>
        <v>109.36499999999999</v>
      </c>
      <c r="P868" t="str" cm="1">
        <f t="array" ref="P868">_xlfn.IFS(K868="Rob","Robusta",K868="Exc","Excelsa",K868="Ara","Arabica",K868="Lib","Liberica")</f>
        <v>Liberica</v>
      </c>
      <c r="Q868" t="str" cm="1">
        <f t="array" ref="Q868">_xlfn.IFS(L868="M","Medium",L868="L","Light",L868="D","Dark")</f>
        <v>Light</v>
      </c>
      <c r="R868" t="str">
        <f>_xlfn.XLOOKUP(Orders[[#This Row],[Customer ID]],customers!$A$1:$A$1001,customers!$I$1:$I$1001)</f>
        <v>Yes</v>
      </c>
    </row>
    <row r="869" spans="1:18" x14ac:dyDescent="0.35">
      <c r="A869" s="2" t="s">
        <v>1425</v>
      </c>
      <c r="B869" s="4">
        <v>44270</v>
      </c>
      <c r="C869" s="23">
        <f>Orders[[#This Row],[Order Date]]</f>
        <v>44270</v>
      </c>
      <c r="D869" s="2">
        <f>YEAR(Orders[[#This Row],[Order Date]])</f>
        <v>2021</v>
      </c>
      <c r="E869" s="2" t="s">
        <v>1426</v>
      </c>
      <c r="F869" t="s">
        <v>6172</v>
      </c>
      <c r="G869" s="20">
        <v>5</v>
      </c>
      <c r="H869" s="2" t="str">
        <f>INDEX(customers!$A$1:$I$1001,MATCH($E869,customers!$A$1:$A$1001,),MATCH($H$1,customers!$A$1:$I$1,0))</f>
        <v>Sherman Mewrcik</v>
      </c>
      <c r="I869" s="2" t="str">
        <f>IF(INDEX(customers!$A$1:$I$1001,MATCH($E869,customers!$A$1:$A$1001,0),3)=0,"",INDEX(customers!$A$1:$I$1001,MATCH($E869,customers!$A$1:$A$1001,0),3))</f>
        <v/>
      </c>
      <c r="J869" s="2" t="str">
        <f>_xlfn.XLOOKUP(E869,customers!$A$1:$A$1001,customers!$G$1:$G$1001)</f>
        <v>United States</v>
      </c>
      <c r="K869" t="str">
        <f>INDEX(products!$A$1:$G$49,MATCH($F869,products!$A$1:$A$49,0),MATCH(K$1,products!$A$1:$G$1,0))</f>
        <v>Rob</v>
      </c>
      <c r="L869" t="str">
        <f>INDEX(products!$A$1:$G$49,MATCH($F869,products!$A$1:$A$49,0),MATCH(L$1,products!$A$1:$G$1,0))</f>
        <v>D</v>
      </c>
      <c r="M869" s="5">
        <f>INDEX(products!$A$1:$G$49,MATCH($F869,products!$A$1:$A$49,0),MATCH(M$1,products!$A$1:$G$1,0))</f>
        <v>0.5</v>
      </c>
      <c r="N869" s="7">
        <f>INDEX(products!$A$1:$G$49,MATCH($F869,products!$A$1:$A$49,0),MATCH(N$1,products!$A$1:$G$1,0))</f>
        <v>5.3699999999999992</v>
      </c>
      <c r="O869" s="7">
        <f t="shared" si="13"/>
        <v>26.849999999999994</v>
      </c>
      <c r="P869" t="str" cm="1">
        <f t="array" ref="P869">_xlfn.IFS(K869="Rob","Robusta",K869="Exc","Excelsa",K869="Ara","Arabica",K869="Lib","Liberica")</f>
        <v>Robusta</v>
      </c>
      <c r="Q869" t="str" cm="1">
        <f t="array" ref="Q869">_xlfn.IFS(L869="M","Medium",L869="L","Light",L869="D","Dark")</f>
        <v>Dark</v>
      </c>
      <c r="R869" t="str">
        <f>_xlfn.XLOOKUP(Orders[[#This Row],[Customer ID]],customers!$A$1:$A$1001,customers!$I$1:$I$1001)</f>
        <v>Yes</v>
      </c>
    </row>
    <row r="870" spans="1:18" x14ac:dyDescent="0.35">
      <c r="A870" s="2" t="s">
        <v>4229</v>
      </c>
      <c r="B870" s="4">
        <v>44364</v>
      </c>
      <c r="C870" s="23">
        <f>Orders[[#This Row],[Order Date]]</f>
        <v>44364</v>
      </c>
      <c r="D870" s="2">
        <f>YEAR(Orders[[#This Row],[Order Date]])</f>
        <v>2021</v>
      </c>
      <c r="E870" s="2" t="s">
        <v>4230</v>
      </c>
      <c r="F870" t="s">
        <v>6165</v>
      </c>
      <c r="G870" s="20">
        <v>5</v>
      </c>
      <c r="H870" s="2" t="str">
        <f>INDEX(customers!$A$1:$I$1001,MATCH($E870,customers!$A$1:$A$1001,),MATCH($H$1,customers!$A$1:$I$1,0))</f>
        <v>Shermy Moseby</v>
      </c>
      <c r="I870" s="2" t="str">
        <f>IF(INDEX(customers!$A$1:$I$1001,MATCH($E870,customers!$A$1:$A$1001,0),3)=0,"",INDEX(customers!$A$1:$I$1001,MATCH($E870,customers!$A$1:$A$1001,0),3))</f>
        <v>smosebyie@stanford.edu</v>
      </c>
      <c r="J870" s="2" t="str">
        <f>_xlfn.XLOOKUP(E870,customers!$A$1:$A$1001,customers!$G$1:$G$1001)</f>
        <v>United States</v>
      </c>
      <c r="K870" t="str">
        <f>INDEX(products!$A$1:$G$49,MATCH($F870,products!$A$1:$A$49,0),MATCH(K$1,products!$A$1:$G$1,0))</f>
        <v>Lib</v>
      </c>
      <c r="L870" t="str">
        <f>INDEX(products!$A$1:$G$49,MATCH($F870,products!$A$1:$A$49,0),MATCH(L$1,products!$A$1:$G$1,0))</f>
        <v>D</v>
      </c>
      <c r="M870" s="5">
        <f>INDEX(products!$A$1:$G$49,MATCH($F870,products!$A$1:$A$49,0),MATCH(M$1,products!$A$1:$G$1,0))</f>
        <v>2.5</v>
      </c>
      <c r="N870" s="7">
        <f>INDEX(products!$A$1:$G$49,MATCH($F870,products!$A$1:$A$49,0),MATCH(N$1,products!$A$1:$G$1,0))</f>
        <v>29.784999999999997</v>
      </c>
      <c r="O870" s="7">
        <f t="shared" si="13"/>
        <v>148.92499999999998</v>
      </c>
      <c r="P870" t="str" cm="1">
        <f t="array" ref="P870">_xlfn.IFS(K870="Rob","Robusta",K870="Exc","Excelsa",K870="Ara","Arabica",K870="Lib","Liberica")</f>
        <v>Liberica</v>
      </c>
      <c r="Q870" t="str" cm="1">
        <f t="array" ref="Q870">_xlfn.IFS(L870="M","Medium",L870="L","Light",L870="D","Dark")</f>
        <v>Dark</v>
      </c>
      <c r="R870" t="str">
        <f>_xlfn.XLOOKUP(Orders[[#This Row],[Customer ID]],customers!$A$1:$A$1001,customers!$I$1:$I$1001)</f>
        <v>No</v>
      </c>
    </row>
    <row r="871" spans="1:18" x14ac:dyDescent="0.35">
      <c r="A871" s="2" t="s">
        <v>2671</v>
      </c>
      <c r="B871" s="4">
        <v>44455</v>
      </c>
      <c r="C871" s="23">
        <f>Orders[[#This Row],[Order Date]]</f>
        <v>44455</v>
      </c>
      <c r="D871" s="2">
        <f>YEAR(Orders[[#This Row],[Order Date]])</f>
        <v>2021</v>
      </c>
      <c r="E871" s="2" t="s">
        <v>2672</v>
      </c>
      <c r="F871" t="s">
        <v>6171</v>
      </c>
      <c r="G871" s="20">
        <v>5</v>
      </c>
      <c r="H871" s="2" t="str">
        <f>INDEX(customers!$A$1:$I$1001,MATCH($E871,customers!$A$1:$A$1001,),MATCH($H$1,customers!$A$1:$I$1,0))</f>
        <v>Shirleen Welds</v>
      </c>
      <c r="I871" s="2" t="str">
        <f>IF(INDEX(customers!$A$1:$I$1001,MATCH($E871,customers!$A$1:$A$1001,0),3)=0,"",INDEX(customers!$A$1:$I$1001,MATCH($E871,customers!$A$1:$A$1001,0),3))</f>
        <v>sweldsar@wired.com</v>
      </c>
      <c r="J871" s="2" t="str">
        <f>_xlfn.XLOOKUP(E871,customers!$A$1:$A$1001,customers!$G$1:$G$1001)</f>
        <v>United States</v>
      </c>
      <c r="K871" t="str">
        <f>INDEX(products!$A$1:$G$49,MATCH($F871,products!$A$1:$A$49,0),MATCH(K$1,products!$A$1:$G$1,0))</f>
        <v>Exc</v>
      </c>
      <c r="L871" t="str">
        <f>INDEX(products!$A$1:$G$49,MATCH($F871,products!$A$1:$A$49,0),MATCH(L$1,products!$A$1:$G$1,0))</f>
        <v>L</v>
      </c>
      <c r="M871" s="5">
        <f>INDEX(products!$A$1:$G$49,MATCH($F871,products!$A$1:$A$49,0),MATCH(M$1,products!$A$1:$G$1,0))</f>
        <v>1</v>
      </c>
      <c r="N871" s="7">
        <f>INDEX(products!$A$1:$G$49,MATCH($F871,products!$A$1:$A$49,0),MATCH(N$1,products!$A$1:$G$1,0))</f>
        <v>14.85</v>
      </c>
      <c r="O871" s="7">
        <f t="shared" si="13"/>
        <v>74.25</v>
      </c>
      <c r="P871" t="str" cm="1">
        <f t="array" ref="P871">_xlfn.IFS(K871="Rob","Robusta",K871="Exc","Excelsa",K871="Ara","Arabica",K871="Lib","Liberica")</f>
        <v>Excelsa</v>
      </c>
      <c r="Q871" t="str" cm="1">
        <f t="array" ref="Q871">_xlfn.IFS(L871="M","Medium",L871="L","Light",L871="D","Dark")</f>
        <v>Light</v>
      </c>
      <c r="R871" t="str">
        <f>_xlfn.XLOOKUP(Orders[[#This Row],[Customer ID]],customers!$A$1:$A$1001,customers!$I$1:$I$1001)</f>
        <v>Yes</v>
      </c>
    </row>
    <row r="872" spans="1:18" x14ac:dyDescent="0.35">
      <c r="A872" s="2" t="s">
        <v>891</v>
      </c>
      <c r="B872" s="4">
        <v>44200</v>
      </c>
      <c r="C872" s="23">
        <f>Orders[[#This Row],[Order Date]]</f>
        <v>44200</v>
      </c>
      <c r="D872" s="2">
        <f>YEAR(Orders[[#This Row],[Order Date]])</f>
        <v>2021</v>
      </c>
      <c r="E872" s="2" t="s">
        <v>892</v>
      </c>
      <c r="F872" t="s">
        <v>6145</v>
      </c>
      <c r="G872" s="20">
        <v>2</v>
      </c>
      <c r="H872" s="2" t="str">
        <f>INDEX(customers!$A$1:$I$1001,MATCH($E872,customers!$A$1:$A$1001,),MATCH($H$1,customers!$A$1:$I$1,0))</f>
        <v>Shirlene Edmondson</v>
      </c>
      <c r="I872" s="2" t="str">
        <f>IF(INDEX(customers!$A$1:$I$1001,MATCH($E872,customers!$A$1:$A$1001,0),3)=0,"",INDEX(customers!$A$1:$I$1001,MATCH($E872,customers!$A$1:$A$1001,0),3))</f>
        <v>sedmondson1z@theguardian.com</v>
      </c>
      <c r="J872" s="2" t="str">
        <f>_xlfn.XLOOKUP(E872,customers!$A$1:$A$1001,customers!$G$1:$G$1001)</f>
        <v>Ireland</v>
      </c>
      <c r="K872" t="str">
        <f>INDEX(products!$A$1:$G$49,MATCH($F872,products!$A$1:$A$49,0),MATCH(K$1,products!$A$1:$G$1,0))</f>
        <v>Lib</v>
      </c>
      <c r="L872" t="str">
        <f>INDEX(products!$A$1:$G$49,MATCH($F872,products!$A$1:$A$49,0),MATCH(L$1,products!$A$1:$G$1,0))</f>
        <v>L</v>
      </c>
      <c r="M872" s="5">
        <f>INDEX(products!$A$1:$G$49,MATCH($F872,products!$A$1:$A$49,0),MATCH(M$1,products!$A$1:$G$1,0))</f>
        <v>0.2</v>
      </c>
      <c r="N872" s="7">
        <f>INDEX(products!$A$1:$G$49,MATCH($F872,products!$A$1:$A$49,0),MATCH(N$1,products!$A$1:$G$1,0))</f>
        <v>4.7549999999999999</v>
      </c>
      <c r="O872" s="7">
        <f t="shared" si="13"/>
        <v>9.51</v>
      </c>
      <c r="P872" t="str" cm="1">
        <f t="array" ref="P872">_xlfn.IFS(K872="Rob","Robusta",K872="Exc","Excelsa",K872="Ara","Arabica",K872="Lib","Liberica")</f>
        <v>Liberica</v>
      </c>
      <c r="Q872" t="str" cm="1">
        <f t="array" ref="Q872">_xlfn.IFS(L872="M","Medium",L872="L","Light",L872="D","Dark")</f>
        <v>Light</v>
      </c>
      <c r="R872" t="str">
        <f>_xlfn.XLOOKUP(Orders[[#This Row],[Customer ID]],customers!$A$1:$A$1001,customers!$I$1:$I$1001)</f>
        <v>No</v>
      </c>
    </row>
    <row r="873" spans="1:18" x14ac:dyDescent="0.35">
      <c r="A873" s="2" t="s">
        <v>1854</v>
      </c>
      <c r="B873" s="4">
        <v>43918</v>
      </c>
      <c r="C873" s="23">
        <f>Orders[[#This Row],[Order Date]]</f>
        <v>43918</v>
      </c>
      <c r="D873" s="2">
        <f>YEAR(Orders[[#This Row],[Order Date]])</f>
        <v>2020</v>
      </c>
      <c r="E873" s="2" t="s">
        <v>1855</v>
      </c>
      <c r="F873" t="s">
        <v>6183</v>
      </c>
      <c r="G873" s="20">
        <v>3</v>
      </c>
      <c r="H873" s="2" t="str">
        <f>INDEX(customers!$A$1:$I$1001,MATCH($E873,customers!$A$1:$A$1001,),MATCH($H$1,customers!$A$1:$I$1,0))</f>
        <v>Sibella Rushbrooke</v>
      </c>
      <c r="I873" s="2" t="str">
        <f>IF(INDEX(customers!$A$1:$I$1001,MATCH($E873,customers!$A$1:$A$1001,0),3)=0,"",INDEX(customers!$A$1:$I$1001,MATCH($E873,customers!$A$1:$A$1001,0),3))</f>
        <v>srushbrooke6q@youku.com</v>
      </c>
      <c r="J873" s="2" t="str">
        <f>_xlfn.XLOOKUP(E873,customers!$A$1:$A$1001,customers!$G$1:$G$1001)</f>
        <v>United States</v>
      </c>
      <c r="K873" t="str">
        <f>INDEX(products!$A$1:$G$49,MATCH($F873,products!$A$1:$A$49,0),MATCH(K$1,products!$A$1:$G$1,0))</f>
        <v>Exc</v>
      </c>
      <c r="L873" t="str">
        <f>INDEX(products!$A$1:$G$49,MATCH($F873,products!$A$1:$A$49,0),MATCH(L$1,products!$A$1:$G$1,0))</f>
        <v>D</v>
      </c>
      <c r="M873" s="5">
        <f>INDEX(products!$A$1:$G$49,MATCH($F873,products!$A$1:$A$49,0),MATCH(M$1,products!$A$1:$G$1,0))</f>
        <v>1</v>
      </c>
      <c r="N873" s="7">
        <f>INDEX(products!$A$1:$G$49,MATCH($F873,products!$A$1:$A$49,0),MATCH(N$1,products!$A$1:$G$1,0))</f>
        <v>12.15</v>
      </c>
      <c r="O873" s="7">
        <f t="shared" si="13"/>
        <v>36.450000000000003</v>
      </c>
      <c r="P873" t="str" cm="1">
        <f t="array" ref="P873">_xlfn.IFS(K873="Rob","Robusta",K873="Exc","Excelsa",K873="Ara","Arabica",K873="Lib","Liberica")</f>
        <v>Excelsa</v>
      </c>
      <c r="Q873" t="str" cm="1">
        <f t="array" ref="Q873">_xlfn.IFS(L873="M","Medium",L873="L","Light",L873="D","Dark")</f>
        <v>Dark</v>
      </c>
      <c r="R873" t="str">
        <f>_xlfn.XLOOKUP(Orders[[#This Row],[Customer ID]],customers!$A$1:$A$1001,customers!$I$1:$I$1001)</f>
        <v>Yes</v>
      </c>
    </row>
    <row r="874" spans="1:18" x14ac:dyDescent="0.35">
      <c r="A874" s="2" t="s">
        <v>3784</v>
      </c>
      <c r="B874" s="4">
        <v>43538</v>
      </c>
      <c r="C874" s="23">
        <f>Orders[[#This Row],[Order Date]]</f>
        <v>43538</v>
      </c>
      <c r="D874" s="2">
        <f>YEAR(Orders[[#This Row],[Order Date]])</f>
        <v>2019</v>
      </c>
      <c r="E874" s="2" t="s">
        <v>3785</v>
      </c>
      <c r="F874" t="s">
        <v>6178</v>
      </c>
      <c r="G874" s="20">
        <v>1</v>
      </c>
      <c r="H874" s="2" t="str">
        <f>INDEX(customers!$A$1:$I$1001,MATCH($E874,customers!$A$1:$A$1001,),MATCH($H$1,customers!$A$1:$I$1,0))</f>
        <v>Sidney Gawen</v>
      </c>
      <c r="I874" s="2" t="str">
        <f>IF(INDEX(customers!$A$1:$I$1001,MATCH($E874,customers!$A$1:$A$1001,0),3)=0,"",INDEX(customers!$A$1:$I$1001,MATCH($E874,customers!$A$1:$A$1001,0),3))</f>
        <v>sgaweng7@creativecommons.org</v>
      </c>
      <c r="J874" s="2" t="str">
        <f>_xlfn.XLOOKUP(E874,customers!$A$1:$A$1001,customers!$G$1:$G$1001)</f>
        <v>United States</v>
      </c>
      <c r="K874" t="str">
        <f>INDEX(products!$A$1:$G$49,MATCH($F874,products!$A$1:$A$49,0),MATCH(K$1,products!$A$1:$G$1,0))</f>
        <v>Rob</v>
      </c>
      <c r="L874" t="str">
        <f>INDEX(products!$A$1:$G$49,MATCH($F874,products!$A$1:$A$49,0),MATCH(L$1,products!$A$1:$G$1,0))</f>
        <v>L</v>
      </c>
      <c r="M874" s="5">
        <f>INDEX(products!$A$1:$G$49,MATCH($F874,products!$A$1:$A$49,0),MATCH(M$1,products!$A$1:$G$1,0))</f>
        <v>0.2</v>
      </c>
      <c r="N874" s="7">
        <f>INDEX(products!$A$1:$G$49,MATCH($F874,products!$A$1:$A$49,0),MATCH(N$1,products!$A$1:$G$1,0))</f>
        <v>3.5849999999999995</v>
      </c>
      <c r="O874" s="7">
        <f t="shared" si="13"/>
        <v>3.5849999999999995</v>
      </c>
      <c r="P874" t="str" cm="1">
        <f t="array" ref="P874">_xlfn.IFS(K874="Rob","Robusta",K874="Exc","Excelsa",K874="Ara","Arabica",K874="Lib","Liberica")</f>
        <v>Robusta</v>
      </c>
      <c r="Q874" t="str" cm="1">
        <f t="array" ref="Q874">_xlfn.IFS(L874="M","Medium",L874="L","Light",L874="D","Dark")</f>
        <v>Light</v>
      </c>
      <c r="R874" t="str">
        <f>_xlfn.XLOOKUP(Orders[[#This Row],[Customer ID]],customers!$A$1:$A$1001,customers!$I$1:$I$1001)</f>
        <v>Yes</v>
      </c>
    </row>
    <row r="875" spans="1:18" x14ac:dyDescent="0.35">
      <c r="A875" s="2" t="s">
        <v>3627</v>
      </c>
      <c r="B875" s="4">
        <v>44258</v>
      </c>
      <c r="C875" s="23">
        <f>Orders[[#This Row],[Order Date]]</f>
        <v>44258</v>
      </c>
      <c r="D875" s="2">
        <f>YEAR(Orders[[#This Row],[Order Date]])</f>
        <v>2021</v>
      </c>
      <c r="E875" s="2" t="s">
        <v>3628</v>
      </c>
      <c r="F875" t="s">
        <v>6141</v>
      </c>
      <c r="G875" s="20">
        <v>6</v>
      </c>
      <c r="H875" s="2" t="str">
        <f>INDEX(customers!$A$1:$I$1001,MATCH($E875,customers!$A$1:$A$1001,),MATCH($H$1,customers!$A$1:$I$1,0))</f>
        <v>Sigfrid Busch</v>
      </c>
      <c r="I875" s="2" t="str">
        <f>IF(INDEX(customers!$A$1:$I$1001,MATCH($E875,customers!$A$1:$A$1001,0),3)=0,"",INDEX(customers!$A$1:$I$1001,MATCH($E875,customers!$A$1:$A$1001,0),3))</f>
        <v>sbuschff@so-net.ne.jp</v>
      </c>
      <c r="J875" s="2" t="str">
        <f>_xlfn.XLOOKUP(E875,customers!$A$1:$A$1001,customers!$G$1:$G$1001)</f>
        <v>Ireland</v>
      </c>
      <c r="K875" t="str">
        <f>INDEX(products!$A$1:$G$49,MATCH($F875,products!$A$1:$A$49,0),MATCH(K$1,products!$A$1:$G$1,0))</f>
        <v>Exc</v>
      </c>
      <c r="L875" t="str">
        <f>INDEX(products!$A$1:$G$49,MATCH($F875,products!$A$1:$A$49,0),MATCH(L$1,products!$A$1:$G$1,0))</f>
        <v>M</v>
      </c>
      <c r="M875" s="5">
        <f>INDEX(products!$A$1:$G$49,MATCH($F875,products!$A$1:$A$49,0),MATCH(M$1,products!$A$1:$G$1,0))</f>
        <v>1</v>
      </c>
      <c r="N875" s="7">
        <f>INDEX(products!$A$1:$G$49,MATCH($F875,products!$A$1:$A$49,0),MATCH(N$1,products!$A$1:$G$1,0))</f>
        <v>13.75</v>
      </c>
      <c r="O875" s="7">
        <f t="shared" si="13"/>
        <v>82.5</v>
      </c>
      <c r="P875" t="str" cm="1">
        <f t="array" ref="P875">_xlfn.IFS(K875="Rob","Robusta",K875="Exc","Excelsa",K875="Ara","Arabica",K875="Lib","Liberica")</f>
        <v>Excelsa</v>
      </c>
      <c r="Q875" t="str" cm="1">
        <f t="array" ref="Q875">_xlfn.IFS(L875="M","Medium",L875="L","Light",L875="D","Dark")</f>
        <v>Medium</v>
      </c>
      <c r="R875" t="str">
        <f>_xlfn.XLOOKUP(Orders[[#This Row],[Customer ID]],customers!$A$1:$A$1001,customers!$I$1:$I$1001)</f>
        <v>No</v>
      </c>
    </row>
    <row r="876" spans="1:18" x14ac:dyDescent="0.35">
      <c r="A876" s="2" t="s">
        <v>4512</v>
      </c>
      <c r="B876" s="4">
        <v>43646</v>
      </c>
      <c r="C876" s="23">
        <f>Orders[[#This Row],[Order Date]]</f>
        <v>43646</v>
      </c>
      <c r="D876" s="2">
        <f>YEAR(Orders[[#This Row],[Order Date]])</f>
        <v>2019</v>
      </c>
      <c r="E876" s="2" t="s">
        <v>4513</v>
      </c>
      <c r="F876" t="s">
        <v>6139</v>
      </c>
      <c r="G876" s="20">
        <v>2</v>
      </c>
      <c r="H876" s="2" t="str">
        <f>INDEX(customers!$A$1:$I$1001,MATCH($E876,customers!$A$1:$A$1001,),MATCH($H$1,customers!$A$1:$I$1,0))</f>
        <v>Silas Deehan</v>
      </c>
      <c r="I876" s="2" t="str">
        <f>IF(INDEX(customers!$A$1:$I$1001,MATCH($E876,customers!$A$1:$A$1001,0),3)=0,"",INDEX(customers!$A$1:$I$1001,MATCH($E876,customers!$A$1:$A$1001,0),3))</f>
        <v/>
      </c>
      <c r="J876" s="2" t="str">
        <f>_xlfn.XLOOKUP(E876,customers!$A$1:$A$1001,customers!$G$1:$G$1001)</f>
        <v>United Kingdom</v>
      </c>
      <c r="K876" t="str">
        <f>INDEX(products!$A$1:$G$49,MATCH($F876,products!$A$1:$A$49,0),MATCH(K$1,products!$A$1:$G$1,0))</f>
        <v>Exc</v>
      </c>
      <c r="L876" t="str">
        <f>INDEX(products!$A$1:$G$49,MATCH($F876,products!$A$1:$A$49,0),MATCH(L$1,products!$A$1:$G$1,0))</f>
        <v>M</v>
      </c>
      <c r="M876" s="5">
        <f>INDEX(products!$A$1:$G$49,MATCH($F876,products!$A$1:$A$49,0),MATCH(M$1,products!$A$1:$G$1,0))</f>
        <v>0.5</v>
      </c>
      <c r="N876" s="7">
        <f>INDEX(products!$A$1:$G$49,MATCH($F876,products!$A$1:$A$49,0),MATCH(N$1,products!$A$1:$G$1,0))</f>
        <v>8.25</v>
      </c>
      <c r="O876" s="7">
        <f t="shared" si="13"/>
        <v>16.5</v>
      </c>
      <c r="P876" t="str" cm="1">
        <f t="array" ref="P876">_xlfn.IFS(K876="Rob","Robusta",K876="Exc","Excelsa",K876="Ara","Arabica",K876="Lib","Liberica")</f>
        <v>Excelsa</v>
      </c>
      <c r="Q876" t="str" cm="1">
        <f t="array" ref="Q876">_xlfn.IFS(L876="M","Medium",L876="L","Light",L876="D","Dark")</f>
        <v>Medium</v>
      </c>
      <c r="R876" t="str">
        <f>_xlfn.XLOOKUP(Orders[[#This Row],[Customer ID]],customers!$A$1:$A$1001,customers!$I$1:$I$1001)</f>
        <v>No</v>
      </c>
    </row>
    <row r="877" spans="1:18" x14ac:dyDescent="0.35">
      <c r="A877" s="2" t="s">
        <v>4955</v>
      </c>
      <c r="B877" s="4">
        <v>44613</v>
      </c>
      <c r="C877" s="23">
        <f>Orders[[#This Row],[Order Date]]</f>
        <v>44613</v>
      </c>
      <c r="D877" s="2">
        <f>YEAR(Orders[[#This Row],[Order Date]])</f>
        <v>2022</v>
      </c>
      <c r="E877" s="2" t="s">
        <v>4956</v>
      </c>
      <c r="F877" t="s">
        <v>6180</v>
      </c>
      <c r="G877" s="20">
        <v>3</v>
      </c>
      <c r="H877" s="2" t="str">
        <f>INDEX(customers!$A$1:$I$1001,MATCH($E877,customers!$A$1:$A$1001,),MATCH($H$1,customers!$A$1:$I$1,0))</f>
        <v>Silvan McShea</v>
      </c>
      <c r="I877" s="2" t="str">
        <f>IF(INDEX(customers!$A$1:$I$1001,MATCH($E877,customers!$A$1:$A$1001,0),3)=0,"",INDEX(customers!$A$1:$I$1001,MATCH($E877,customers!$A$1:$A$1001,0),3))</f>
        <v>smcshealy@photobucket.com</v>
      </c>
      <c r="J877" s="2" t="str">
        <f>_xlfn.XLOOKUP(E877,customers!$A$1:$A$1001,customers!$G$1:$G$1001)</f>
        <v>United States</v>
      </c>
      <c r="K877" t="str">
        <f>INDEX(products!$A$1:$G$49,MATCH($F877,products!$A$1:$A$49,0),MATCH(K$1,products!$A$1:$G$1,0))</f>
        <v>Ara</v>
      </c>
      <c r="L877" t="str">
        <f>INDEX(products!$A$1:$G$49,MATCH($F877,products!$A$1:$A$49,0),MATCH(L$1,products!$A$1:$G$1,0))</f>
        <v>L</v>
      </c>
      <c r="M877" s="5">
        <f>INDEX(products!$A$1:$G$49,MATCH($F877,products!$A$1:$A$49,0),MATCH(M$1,products!$A$1:$G$1,0))</f>
        <v>0.5</v>
      </c>
      <c r="N877" s="7">
        <f>INDEX(products!$A$1:$G$49,MATCH($F877,products!$A$1:$A$49,0),MATCH(N$1,products!$A$1:$G$1,0))</f>
        <v>7.77</v>
      </c>
      <c r="O877" s="7">
        <f t="shared" si="13"/>
        <v>23.31</v>
      </c>
      <c r="P877" t="str" cm="1">
        <f t="array" ref="P877">_xlfn.IFS(K877="Rob","Robusta",K877="Exc","Excelsa",K877="Ara","Arabica",K877="Lib","Liberica")</f>
        <v>Arabica</v>
      </c>
      <c r="Q877" t="str" cm="1">
        <f t="array" ref="Q877">_xlfn.IFS(L877="M","Medium",L877="L","Light",L877="D","Dark")</f>
        <v>Light</v>
      </c>
      <c r="R877" t="str">
        <f>_xlfn.XLOOKUP(Orders[[#This Row],[Customer ID]],customers!$A$1:$A$1001,customers!$I$1:$I$1001)</f>
        <v>No</v>
      </c>
    </row>
    <row r="878" spans="1:18" x14ac:dyDescent="0.35">
      <c r="A878" s="2" t="s">
        <v>1998</v>
      </c>
      <c r="B878" s="4">
        <v>44324</v>
      </c>
      <c r="C878" s="23">
        <f>Orders[[#This Row],[Order Date]]</f>
        <v>44324</v>
      </c>
      <c r="D878" s="2">
        <f>YEAR(Orders[[#This Row],[Order Date]])</f>
        <v>2021</v>
      </c>
      <c r="E878" s="2" t="s">
        <v>1999</v>
      </c>
      <c r="F878" t="s">
        <v>6153</v>
      </c>
      <c r="G878" s="20">
        <v>6</v>
      </c>
      <c r="H878" s="2" t="str">
        <f>INDEX(customers!$A$1:$I$1001,MATCH($E878,customers!$A$1:$A$1001,),MATCH($H$1,customers!$A$1:$I$1,0))</f>
        <v>Silvana Northeast</v>
      </c>
      <c r="I878" s="2" t="str">
        <f>IF(INDEX(customers!$A$1:$I$1001,MATCH($E878,customers!$A$1:$A$1001,0),3)=0,"",INDEX(customers!$A$1:$I$1001,MATCH($E878,customers!$A$1:$A$1001,0),3))</f>
        <v>snortheast7f@mashable.com</v>
      </c>
      <c r="J878" s="2" t="str">
        <f>_xlfn.XLOOKUP(E878,customers!$A$1:$A$1001,customers!$G$1:$G$1001)</f>
        <v>United States</v>
      </c>
      <c r="K878" t="str">
        <f>INDEX(products!$A$1:$G$49,MATCH($F878,products!$A$1:$A$49,0),MATCH(K$1,products!$A$1:$G$1,0))</f>
        <v>Exc</v>
      </c>
      <c r="L878" t="str">
        <f>INDEX(products!$A$1:$G$49,MATCH($F878,products!$A$1:$A$49,0),MATCH(L$1,products!$A$1:$G$1,0))</f>
        <v>D</v>
      </c>
      <c r="M878" s="5">
        <f>INDEX(products!$A$1:$G$49,MATCH($F878,products!$A$1:$A$49,0),MATCH(M$1,products!$A$1:$G$1,0))</f>
        <v>0.2</v>
      </c>
      <c r="N878" s="7">
        <f>INDEX(products!$A$1:$G$49,MATCH($F878,products!$A$1:$A$49,0),MATCH(N$1,products!$A$1:$G$1,0))</f>
        <v>3.645</v>
      </c>
      <c r="O878" s="7">
        <f t="shared" si="13"/>
        <v>21.87</v>
      </c>
      <c r="P878" t="str" cm="1">
        <f t="array" ref="P878">_xlfn.IFS(K878="Rob","Robusta",K878="Exc","Excelsa",K878="Ara","Arabica",K878="Lib","Liberica")</f>
        <v>Excelsa</v>
      </c>
      <c r="Q878" t="str" cm="1">
        <f t="array" ref="Q878">_xlfn.IFS(L878="M","Medium",L878="L","Light",L878="D","Dark")</f>
        <v>Dark</v>
      </c>
      <c r="R878" t="str">
        <f>_xlfn.XLOOKUP(Orders[[#This Row],[Customer ID]],customers!$A$1:$A$1001,customers!$I$1:$I$1001)</f>
        <v>Yes</v>
      </c>
    </row>
    <row r="879" spans="1:18" x14ac:dyDescent="0.35">
      <c r="A879" s="2" t="s">
        <v>5090</v>
      </c>
      <c r="B879" s="4">
        <v>43573</v>
      </c>
      <c r="C879" s="23">
        <f>Orders[[#This Row],[Order Date]]</f>
        <v>43573</v>
      </c>
      <c r="D879" s="2">
        <f>YEAR(Orders[[#This Row],[Order Date]])</f>
        <v>2019</v>
      </c>
      <c r="E879" s="2" t="s">
        <v>5091</v>
      </c>
      <c r="F879" t="s">
        <v>6184</v>
      </c>
      <c r="G879" s="20">
        <v>2</v>
      </c>
      <c r="H879" s="2" t="str">
        <f>INDEX(customers!$A$1:$I$1001,MATCH($E879,customers!$A$1:$A$1001,),MATCH($H$1,customers!$A$1:$I$1,0))</f>
        <v>Silvanus Enefer</v>
      </c>
      <c r="I879" s="2" t="str">
        <f>IF(INDEX(customers!$A$1:$I$1001,MATCH($E879,customers!$A$1:$A$1001,0),3)=0,"",INDEX(customers!$A$1:$I$1001,MATCH($E879,customers!$A$1:$A$1001,0),3))</f>
        <v>senefermm@blog.com</v>
      </c>
      <c r="J879" s="2" t="str">
        <f>_xlfn.XLOOKUP(E879,customers!$A$1:$A$1001,customers!$G$1:$G$1001)</f>
        <v>United States</v>
      </c>
      <c r="K879" t="str">
        <f>INDEX(products!$A$1:$G$49,MATCH($F879,products!$A$1:$A$49,0),MATCH(K$1,products!$A$1:$G$1,0))</f>
        <v>Exc</v>
      </c>
      <c r="L879" t="str">
        <f>INDEX(products!$A$1:$G$49,MATCH($F879,products!$A$1:$A$49,0),MATCH(L$1,products!$A$1:$G$1,0))</f>
        <v>L</v>
      </c>
      <c r="M879" s="5">
        <f>INDEX(products!$A$1:$G$49,MATCH($F879,products!$A$1:$A$49,0),MATCH(M$1,products!$A$1:$G$1,0))</f>
        <v>0.2</v>
      </c>
      <c r="N879" s="7">
        <f>INDEX(products!$A$1:$G$49,MATCH($F879,products!$A$1:$A$49,0),MATCH(N$1,products!$A$1:$G$1,0))</f>
        <v>4.4550000000000001</v>
      </c>
      <c r="O879" s="7">
        <f t="shared" si="13"/>
        <v>8.91</v>
      </c>
      <c r="P879" t="str" cm="1">
        <f t="array" ref="P879">_xlfn.IFS(K879="Rob","Robusta",K879="Exc","Excelsa",K879="Ara","Arabica",K879="Lib","Liberica")</f>
        <v>Excelsa</v>
      </c>
      <c r="Q879" t="str" cm="1">
        <f t="array" ref="Q879">_xlfn.IFS(L879="M","Medium",L879="L","Light",L879="D","Dark")</f>
        <v>Light</v>
      </c>
      <c r="R879" t="str">
        <f>_xlfn.XLOOKUP(Orders[[#This Row],[Customer ID]],customers!$A$1:$A$1001,customers!$I$1:$I$1001)</f>
        <v>No</v>
      </c>
    </row>
    <row r="880" spans="1:18" x14ac:dyDescent="0.35">
      <c r="A880" s="2" t="s">
        <v>2559</v>
      </c>
      <c r="B880" s="4">
        <v>44393</v>
      </c>
      <c r="C880" s="23">
        <f>Orders[[#This Row],[Order Date]]</f>
        <v>44393</v>
      </c>
      <c r="D880" s="2">
        <f>YEAR(Orders[[#This Row],[Order Date]])</f>
        <v>2021</v>
      </c>
      <c r="E880" s="2" t="s">
        <v>2560</v>
      </c>
      <c r="F880" t="s">
        <v>6159</v>
      </c>
      <c r="G880" s="20">
        <v>2</v>
      </c>
      <c r="H880" s="2" t="str">
        <f>INDEX(customers!$A$1:$I$1001,MATCH($E880,customers!$A$1:$A$1001,),MATCH($H$1,customers!$A$1:$I$1,0))</f>
        <v>Silvio Iorizzi</v>
      </c>
      <c r="I880" s="2" t="str">
        <f>IF(INDEX(customers!$A$1:$I$1001,MATCH($E880,customers!$A$1:$A$1001,0),3)=0,"",INDEX(customers!$A$1:$I$1001,MATCH($E880,customers!$A$1:$A$1001,0),3))</f>
        <v/>
      </c>
      <c r="J880" s="2" t="str">
        <f>_xlfn.XLOOKUP(E880,customers!$A$1:$A$1001,customers!$G$1:$G$1001)</f>
        <v>United States</v>
      </c>
      <c r="K880" t="str">
        <f>INDEX(products!$A$1:$G$49,MATCH($F880,products!$A$1:$A$49,0),MATCH(K$1,products!$A$1:$G$1,0))</f>
        <v>Lib</v>
      </c>
      <c r="L880" t="str">
        <f>INDEX(products!$A$1:$G$49,MATCH($F880,products!$A$1:$A$49,0),MATCH(L$1,products!$A$1:$G$1,0))</f>
        <v>M</v>
      </c>
      <c r="M880" s="5">
        <f>INDEX(products!$A$1:$G$49,MATCH($F880,products!$A$1:$A$49,0),MATCH(M$1,products!$A$1:$G$1,0))</f>
        <v>0.2</v>
      </c>
      <c r="N880" s="7">
        <f>INDEX(products!$A$1:$G$49,MATCH($F880,products!$A$1:$A$49,0),MATCH(N$1,products!$A$1:$G$1,0))</f>
        <v>4.3650000000000002</v>
      </c>
      <c r="O880" s="7">
        <f t="shared" si="13"/>
        <v>8.73</v>
      </c>
      <c r="P880" t="str" cm="1">
        <f t="array" ref="P880">_xlfn.IFS(K880="Rob","Robusta",K880="Exc","Excelsa",K880="Ara","Arabica",K880="Lib","Liberica")</f>
        <v>Liberica</v>
      </c>
      <c r="Q880" t="str" cm="1">
        <f t="array" ref="Q880">_xlfn.IFS(L880="M","Medium",L880="L","Light",L880="D","Dark")</f>
        <v>Medium</v>
      </c>
      <c r="R880" t="str">
        <f>_xlfn.XLOOKUP(Orders[[#This Row],[Customer ID]],customers!$A$1:$A$1001,customers!$I$1:$I$1001)</f>
        <v>Yes</v>
      </c>
    </row>
    <row r="881" spans="1:18" x14ac:dyDescent="0.35">
      <c r="A881" s="2" t="s">
        <v>699</v>
      </c>
      <c r="B881" s="4">
        <v>43580</v>
      </c>
      <c r="C881" s="23">
        <f>Orders[[#This Row],[Order Date]]</f>
        <v>43580</v>
      </c>
      <c r="D881" s="2">
        <f>YEAR(Orders[[#This Row],[Order Date]])</f>
        <v>2019</v>
      </c>
      <c r="E881" s="2" t="s">
        <v>700</v>
      </c>
      <c r="F881" t="s">
        <v>6161</v>
      </c>
      <c r="G881" s="20">
        <v>3</v>
      </c>
      <c r="H881" s="2" t="str">
        <f>INDEX(customers!$A$1:$I$1001,MATCH($E881,customers!$A$1:$A$1001,),MATCH($H$1,customers!$A$1:$I$1,0))</f>
        <v>Silvio Strase</v>
      </c>
      <c r="I881" s="2" t="str">
        <f>IF(INDEX(customers!$A$1:$I$1001,MATCH($E881,customers!$A$1:$A$1001,0),3)=0,"",INDEX(customers!$A$1:$I$1001,MATCH($E881,customers!$A$1:$A$1001,0),3))</f>
        <v>sstrase11@booking.com</v>
      </c>
      <c r="J881" s="2" t="str">
        <f>_xlfn.XLOOKUP(E881,customers!$A$1:$A$1001,customers!$G$1:$G$1001)</f>
        <v>United States</v>
      </c>
      <c r="K881" t="str">
        <f>INDEX(products!$A$1:$G$49,MATCH($F881,products!$A$1:$A$49,0),MATCH(K$1,products!$A$1:$G$1,0))</f>
        <v>Lib</v>
      </c>
      <c r="L881" t="str">
        <f>INDEX(products!$A$1:$G$49,MATCH($F881,products!$A$1:$A$49,0),MATCH(L$1,products!$A$1:$G$1,0))</f>
        <v>L</v>
      </c>
      <c r="M881" s="5">
        <f>INDEX(products!$A$1:$G$49,MATCH($F881,products!$A$1:$A$49,0),MATCH(M$1,products!$A$1:$G$1,0))</f>
        <v>0.5</v>
      </c>
      <c r="N881" s="7">
        <f>INDEX(products!$A$1:$G$49,MATCH($F881,products!$A$1:$A$49,0),MATCH(N$1,products!$A$1:$G$1,0))</f>
        <v>9.51</v>
      </c>
      <c r="O881" s="7">
        <f t="shared" si="13"/>
        <v>28.53</v>
      </c>
      <c r="P881" t="str" cm="1">
        <f t="array" ref="P881">_xlfn.IFS(K881="Rob","Robusta",K881="Exc","Excelsa",K881="Ara","Arabica",K881="Lib","Liberica")</f>
        <v>Liberica</v>
      </c>
      <c r="Q881" t="str" cm="1">
        <f t="array" ref="Q881">_xlfn.IFS(L881="M","Medium",L881="L","Light",L881="D","Dark")</f>
        <v>Light</v>
      </c>
      <c r="R881" t="str">
        <f>_xlfn.XLOOKUP(Orders[[#This Row],[Customer ID]],customers!$A$1:$A$1001,customers!$I$1:$I$1001)</f>
        <v>No</v>
      </c>
    </row>
    <row r="882" spans="1:18" x14ac:dyDescent="0.35">
      <c r="A882" s="2" t="s">
        <v>3027</v>
      </c>
      <c r="B882" s="4">
        <v>44207</v>
      </c>
      <c r="C882" s="23">
        <f>Orders[[#This Row],[Order Date]]</f>
        <v>44207</v>
      </c>
      <c r="D882" s="2">
        <f>YEAR(Orders[[#This Row],[Order Date]])</f>
        <v>2021</v>
      </c>
      <c r="E882" s="2" t="s">
        <v>3028</v>
      </c>
      <c r="F882" t="s">
        <v>6145</v>
      </c>
      <c r="G882" s="20">
        <v>5</v>
      </c>
      <c r="H882" s="2" t="str">
        <f>INDEX(customers!$A$1:$I$1001,MATCH($E882,customers!$A$1:$A$1001,),MATCH($H$1,customers!$A$1:$I$1,0))</f>
        <v>Sim Pamphilon</v>
      </c>
      <c r="I882" s="2" t="str">
        <f>IF(INDEX(customers!$A$1:$I$1001,MATCH($E882,customers!$A$1:$A$1001,0),3)=0,"",INDEX(customers!$A$1:$I$1001,MATCH($E882,customers!$A$1:$A$1001,0),3))</f>
        <v>spamphilonci@mlb.com</v>
      </c>
      <c r="J882" s="2" t="str">
        <f>_xlfn.XLOOKUP(E882,customers!$A$1:$A$1001,customers!$G$1:$G$1001)</f>
        <v>Ireland</v>
      </c>
      <c r="K882" t="str">
        <f>INDEX(products!$A$1:$G$49,MATCH($F882,products!$A$1:$A$49,0),MATCH(K$1,products!$A$1:$G$1,0))</f>
        <v>Lib</v>
      </c>
      <c r="L882" t="str">
        <f>INDEX(products!$A$1:$G$49,MATCH($F882,products!$A$1:$A$49,0),MATCH(L$1,products!$A$1:$G$1,0))</f>
        <v>L</v>
      </c>
      <c r="M882" s="5">
        <f>INDEX(products!$A$1:$G$49,MATCH($F882,products!$A$1:$A$49,0),MATCH(M$1,products!$A$1:$G$1,0))</f>
        <v>0.2</v>
      </c>
      <c r="N882" s="7">
        <f>INDEX(products!$A$1:$G$49,MATCH($F882,products!$A$1:$A$49,0),MATCH(N$1,products!$A$1:$G$1,0))</f>
        <v>4.7549999999999999</v>
      </c>
      <c r="O882" s="7">
        <f t="shared" si="13"/>
        <v>23.774999999999999</v>
      </c>
      <c r="P882" t="str" cm="1">
        <f t="array" ref="P882">_xlfn.IFS(K882="Rob","Robusta",K882="Exc","Excelsa",K882="Ara","Arabica",K882="Lib","Liberica")</f>
        <v>Liberica</v>
      </c>
      <c r="Q882" t="str" cm="1">
        <f t="array" ref="Q882">_xlfn.IFS(L882="M","Medium",L882="L","Light",L882="D","Dark")</f>
        <v>Light</v>
      </c>
      <c r="R882" t="str">
        <f>_xlfn.XLOOKUP(Orders[[#This Row],[Customer ID]],customers!$A$1:$A$1001,customers!$I$1:$I$1001)</f>
        <v>No</v>
      </c>
    </row>
    <row r="883" spans="1:18" x14ac:dyDescent="0.35">
      <c r="A883" s="2" t="s">
        <v>4747</v>
      </c>
      <c r="B883" s="4">
        <v>44704</v>
      </c>
      <c r="C883" s="23">
        <f>Orders[[#This Row],[Order Date]]</f>
        <v>44704</v>
      </c>
      <c r="D883" s="2">
        <f>YEAR(Orders[[#This Row],[Order Date]])</f>
        <v>2022</v>
      </c>
      <c r="E883" s="2" t="s">
        <v>4748</v>
      </c>
      <c r="F883" t="s">
        <v>6158</v>
      </c>
      <c r="G883" s="20">
        <v>5</v>
      </c>
      <c r="H883" s="2" t="str">
        <f>INDEX(customers!$A$1:$I$1001,MATCH($E883,customers!$A$1:$A$1001,),MATCH($H$1,customers!$A$1:$I$1,0))</f>
        <v>Simone Capon</v>
      </c>
      <c r="I883" s="2" t="str">
        <f>IF(INDEX(customers!$A$1:$I$1001,MATCH($E883,customers!$A$1:$A$1001,0),3)=0,"",INDEX(customers!$A$1:$I$1001,MATCH($E883,customers!$A$1:$A$1001,0),3))</f>
        <v>scaponkx@craigslist.org</v>
      </c>
      <c r="J883" s="2" t="str">
        <f>_xlfn.XLOOKUP(E883,customers!$A$1:$A$1001,customers!$G$1:$G$1001)</f>
        <v>United States</v>
      </c>
      <c r="K883" t="str">
        <f>INDEX(products!$A$1:$G$49,MATCH($F883,products!$A$1:$A$49,0),MATCH(K$1,products!$A$1:$G$1,0))</f>
        <v>Ara</v>
      </c>
      <c r="L883" t="str">
        <f>INDEX(products!$A$1:$G$49,MATCH($F883,products!$A$1:$A$49,0),MATCH(L$1,products!$A$1:$G$1,0))</f>
        <v>D</v>
      </c>
      <c r="M883" s="5">
        <f>INDEX(products!$A$1:$G$49,MATCH($F883,products!$A$1:$A$49,0),MATCH(M$1,products!$A$1:$G$1,0))</f>
        <v>0.5</v>
      </c>
      <c r="N883" s="7">
        <f>INDEX(products!$A$1:$G$49,MATCH($F883,products!$A$1:$A$49,0),MATCH(N$1,products!$A$1:$G$1,0))</f>
        <v>5.97</v>
      </c>
      <c r="O883" s="7">
        <f t="shared" si="13"/>
        <v>29.849999999999998</v>
      </c>
      <c r="P883" t="str" cm="1">
        <f t="array" ref="P883">_xlfn.IFS(K883="Rob","Robusta",K883="Exc","Excelsa",K883="Ara","Arabica",K883="Lib","Liberica")</f>
        <v>Arabica</v>
      </c>
      <c r="Q883" t="str" cm="1">
        <f t="array" ref="Q883">_xlfn.IFS(L883="M","Medium",L883="L","Light",L883="D","Dark")</f>
        <v>Dark</v>
      </c>
      <c r="R883" t="str">
        <f>_xlfn.XLOOKUP(Orders[[#This Row],[Customer ID]],customers!$A$1:$A$1001,customers!$I$1:$I$1001)</f>
        <v>No</v>
      </c>
    </row>
    <row r="884" spans="1:18" x14ac:dyDescent="0.35">
      <c r="A884" s="2" t="s">
        <v>1795</v>
      </c>
      <c r="B884" s="4">
        <v>43628</v>
      </c>
      <c r="C884" s="23">
        <f>Orders[[#This Row],[Order Date]]</f>
        <v>43628</v>
      </c>
      <c r="D884" s="2">
        <f>YEAR(Orders[[#This Row],[Order Date]])</f>
        <v>2019</v>
      </c>
      <c r="E884" s="2" t="s">
        <v>1796</v>
      </c>
      <c r="F884" t="s">
        <v>6159</v>
      </c>
      <c r="G884" s="20">
        <v>2</v>
      </c>
      <c r="H884" s="2" t="str">
        <f>INDEX(customers!$A$1:$I$1001,MATCH($E884,customers!$A$1:$A$1001,),MATCH($H$1,customers!$A$1:$I$1,0))</f>
        <v>Sinclare Edsell</v>
      </c>
      <c r="I884" s="2" t="str">
        <f>IF(INDEX(customers!$A$1:$I$1001,MATCH($E884,customers!$A$1:$A$1001,0),3)=0,"",INDEX(customers!$A$1:$I$1001,MATCH($E884,customers!$A$1:$A$1001,0),3))</f>
        <v/>
      </c>
      <c r="J884" s="2" t="str">
        <f>_xlfn.XLOOKUP(E884,customers!$A$1:$A$1001,customers!$G$1:$G$1001)</f>
        <v>United States</v>
      </c>
      <c r="K884" t="str">
        <f>INDEX(products!$A$1:$G$49,MATCH($F884,products!$A$1:$A$49,0),MATCH(K$1,products!$A$1:$G$1,0))</f>
        <v>Lib</v>
      </c>
      <c r="L884" t="str">
        <f>INDEX(products!$A$1:$G$49,MATCH($F884,products!$A$1:$A$49,0),MATCH(L$1,products!$A$1:$G$1,0))</f>
        <v>M</v>
      </c>
      <c r="M884" s="5">
        <f>INDEX(products!$A$1:$G$49,MATCH($F884,products!$A$1:$A$49,0),MATCH(M$1,products!$A$1:$G$1,0))</f>
        <v>0.2</v>
      </c>
      <c r="N884" s="7">
        <f>INDEX(products!$A$1:$G$49,MATCH($F884,products!$A$1:$A$49,0),MATCH(N$1,products!$A$1:$G$1,0))</f>
        <v>4.3650000000000002</v>
      </c>
      <c r="O884" s="7">
        <f t="shared" si="13"/>
        <v>8.73</v>
      </c>
      <c r="P884" t="str" cm="1">
        <f t="array" ref="P884">_xlfn.IFS(K884="Rob","Robusta",K884="Exc","Excelsa",K884="Ara","Arabica",K884="Lib","Liberica")</f>
        <v>Liberica</v>
      </c>
      <c r="Q884" t="str" cm="1">
        <f t="array" ref="Q884">_xlfn.IFS(L884="M","Medium",L884="L","Light",L884="D","Dark")</f>
        <v>Medium</v>
      </c>
      <c r="R884" t="str">
        <f>_xlfn.XLOOKUP(Orders[[#This Row],[Customer ID]],customers!$A$1:$A$1001,customers!$I$1:$I$1001)</f>
        <v>Yes</v>
      </c>
    </row>
    <row r="885" spans="1:18" x14ac:dyDescent="0.35">
      <c r="A885" s="2" t="s">
        <v>5580</v>
      </c>
      <c r="B885" s="4">
        <v>44584</v>
      </c>
      <c r="C885" s="23">
        <f>Orders[[#This Row],[Order Date]]</f>
        <v>44584</v>
      </c>
      <c r="D885" s="2">
        <f>YEAR(Orders[[#This Row],[Order Date]])</f>
        <v>2022</v>
      </c>
      <c r="E885" s="2" t="s">
        <v>5581</v>
      </c>
      <c r="F885" t="s">
        <v>6170</v>
      </c>
      <c r="G885" s="20">
        <v>3</v>
      </c>
      <c r="H885" s="2" t="str">
        <f>INDEX(customers!$A$1:$I$1001,MATCH($E885,customers!$A$1:$A$1001,),MATCH($H$1,customers!$A$1:$I$1,0))</f>
        <v>Skelly Dolohunty</v>
      </c>
      <c r="I885" s="2" t="str">
        <f>IF(INDEX(customers!$A$1:$I$1001,MATCH($E885,customers!$A$1:$A$1001,0),3)=0,"",INDEX(customers!$A$1:$I$1001,MATCH($E885,customers!$A$1:$A$1001,0),3))</f>
        <v/>
      </c>
      <c r="J885" s="2" t="str">
        <f>_xlfn.XLOOKUP(E885,customers!$A$1:$A$1001,customers!$G$1:$G$1001)</f>
        <v>Ireland</v>
      </c>
      <c r="K885" t="str">
        <f>INDEX(products!$A$1:$G$49,MATCH($F885,products!$A$1:$A$49,0),MATCH(K$1,products!$A$1:$G$1,0))</f>
        <v>Lib</v>
      </c>
      <c r="L885" t="str">
        <f>INDEX(products!$A$1:$G$49,MATCH($F885,products!$A$1:$A$49,0),MATCH(L$1,products!$A$1:$G$1,0))</f>
        <v>L</v>
      </c>
      <c r="M885" s="5">
        <f>INDEX(products!$A$1:$G$49,MATCH($F885,products!$A$1:$A$49,0),MATCH(M$1,products!$A$1:$G$1,0))</f>
        <v>1</v>
      </c>
      <c r="N885" s="7">
        <f>INDEX(products!$A$1:$G$49,MATCH($F885,products!$A$1:$A$49,0),MATCH(N$1,products!$A$1:$G$1,0))</f>
        <v>15.85</v>
      </c>
      <c r="O885" s="7">
        <f t="shared" si="13"/>
        <v>47.55</v>
      </c>
      <c r="P885" t="str" cm="1">
        <f t="array" ref="P885">_xlfn.IFS(K885="Rob","Robusta",K885="Exc","Excelsa",K885="Ara","Arabica",K885="Lib","Liberica")</f>
        <v>Liberica</v>
      </c>
      <c r="Q885" t="str" cm="1">
        <f t="array" ref="Q885">_xlfn.IFS(L885="M","Medium",L885="L","Light",L885="D","Dark")</f>
        <v>Light</v>
      </c>
      <c r="R885" t="str">
        <f>_xlfn.XLOOKUP(Orders[[#This Row],[Customer ID]],customers!$A$1:$A$1001,customers!$I$1:$I$1001)</f>
        <v>No</v>
      </c>
    </row>
    <row r="886" spans="1:18" x14ac:dyDescent="0.35">
      <c r="A886" s="2" t="s">
        <v>5315</v>
      </c>
      <c r="B886" s="4">
        <v>44516</v>
      </c>
      <c r="C886" s="23">
        <f>Orders[[#This Row],[Order Date]]</f>
        <v>44516</v>
      </c>
      <c r="D886" s="2">
        <f>YEAR(Orders[[#This Row],[Order Date]])</f>
        <v>2021</v>
      </c>
      <c r="E886" s="2" t="s">
        <v>5316</v>
      </c>
      <c r="F886" t="s">
        <v>6173</v>
      </c>
      <c r="G886" s="20">
        <v>5</v>
      </c>
      <c r="H886" s="2" t="str">
        <f>INDEX(customers!$A$1:$I$1001,MATCH($E886,customers!$A$1:$A$1001,),MATCH($H$1,customers!$A$1:$I$1,0))</f>
        <v>Skipton Morrall</v>
      </c>
      <c r="I886" s="2" t="str">
        <f>IF(INDEX(customers!$A$1:$I$1001,MATCH($E886,customers!$A$1:$A$1001,0),3)=0,"",INDEX(customers!$A$1:$I$1001,MATCH($E886,customers!$A$1:$A$1001,0),3))</f>
        <v>smorrallnq@answers.com</v>
      </c>
      <c r="J886" s="2" t="str">
        <f>_xlfn.XLOOKUP(E886,customers!$A$1:$A$1001,customers!$G$1:$G$1001)</f>
        <v>United States</v>
      </c>
      <c r="K886" t="str">
        <f>INDEX(products!$A$1:$G$49,MATCH($F886,products!$A$1:$A$49,0),MATCH(K$1,products!$A$1:$G$1,0))</f>
        <v>Rob</v>
      </c>
      <c r="L886" t="str">
        <f>INDEX(products!$A$1:$G$49,MATCH($F886,products!$A$1:$A$49,0),MATCH(L$1,products!$A$1:$G$1,0))</f>
        <v>L</v>
      </c>
      <c r="M886" s="5">
        <f>INDEX(products!$A$1:$G$49,MATCH($F886,products!$A$1:$A$49,0),MATCH(M$1,products!$A$1:$G$1,0))</f>
        <v>0.5</v>
      </c>
      <c r="N886" s="7">
        <f>INDEX(products!$A$1:$G$49,MATCH($F886,products!$A$1:$A$49,0),MATCH(N$1,products!$A$1:$G$1,0))</f>
        <v>7.169999999999999</v>
      </c>
      <c r="O886" s="7">
        <f t="shared" si="13"/>
        <v>35.849999999999994</v>
      </c>
      <c r="P886" t="str" cm="1">
        <f t="array" ref="P886">_xlfn.IFS(K886="Rob","Robusta",K886="Exc","Excelsa",K886="Ara","Arabica",K886="Lib","Liberica")</f>
        <v>Robusta</v>
      </c>
      <c r="Q886" t="str" cm="1">
        <f t="array" ref="Q886">_xlfn.IFS(L886="M","Medium",L886="L","Light",L886="D","Dark")</f>
        <v>Light</v>
      </c>
      <c r="R886" t="str">
        <f>_xlfn.XLOOKUP(Orders[[#This Row],[Customer ID]],customers!$A$1:$A$1001,customers!$I$1:$I$1001)</f>
        <v>Yes</v>
      </c>
    </row>
    <row r="887" spans="1:18" x14ac:dyDescent="0.35">
      <c r="A887" s="2" t="s">
        <v>3277</v>
      </c>
      <c r="B887" s="4">
        <v>44090</v>
      </c>
      <c r="C887" s="23">
        <f>Orders[[#This Row],[Order Date]]</f>
        <v>44090</v>
      </c>
      <c r="D887" s="2">
        <f>YEAR(Orders[[#This Row],[Order Date]])</f>
        <v>2020</v>
      </c>
      <c r="E887" s="2" t="s">
        <v>3278</v>
      </c>
      <c r="F887" t="s">
        <v>6146</v>
      </c>
      <c r="G887" s="20">
        <v>6</v>
      </c>
      <c r="H887" s="2" t="str">
        <f>INDEX(customers!$A$1:$I$1001,MATCH($E887,customers!$A$1:$A$1001,),MATCH($H$1,customers!$A$1:$I$1,0))</f>
        <v>Sky Farnish</v>
      </c>
      <c r="I887" s="2" t="str">
        <f>IF(INDEX(customers!$A$1:$I$1001,MATCH($E887,customers!$A$1:$A$1001,0),3)=0,"",INDEX(customers!$A$1:$I$1001,MATCH($E887,customers!$A$1:$A$1001,0),3))</f>
        <v>sfarnishdp@dmoz.org</v>
      </c>
      <c r="J887" s="2" t="str">
        <f>_xlfn.XLOOKUP(E887,customers!$A$1:$A$1001,customers!$G$1:$G$1001)</f>
        <v>United Kingdom</v>
      </c>
      <c r="K887" t="str">
        <f>INDEX(products!$A$1:$G$49,MATCH($F887,products!$A$1:$A$49,0),MATCH(K$1,products!$A$1:$G$1,0))</f>
        <v>Rob</v>
      </c>
      <c r="L887" t="str">
        <f>INDEX(products!$A$1:$G$49,MATCH($F887,products!$A$1:$A$49,0),MATCH(L$1,products!$A$1:$G$1,0))</f>
        <v>M</v>
      </c>
      <c r="M887" s="5">
        <f>INDEX(products!$A$1:$G$49,MATCH($F887,products!$A$1:$A$49,0),MATCH(M$1,products!$A$1:$G$1,0))</f>
        <v>0.5</v>
      </c>
      <c r="N887" s="7">
        <f>INDEX(products!$A$1:$G$49,MATCH($F887,products!$A$1:$A$49,0),MATCH(N$1,products!$A$1:$G$1,0))</f>
        <v>5.97</v>
      </c>
      <c r="O887" s="7">
        <f t="shared" si="13"/>
        <v>35.82</v>
      </c>
      <c r="P887" t="str" cm="1">
        <f t="array" ref="P887">_xlfn.IFS(K887="Rob","Robusta",K887="Exc","Excelsa",K887="Ara","Arabica",K887="Lib","Liberica")</f>
        <v>Robusta</v>
      </c>
      <c r="Q887" t="str" cm="1">
        <f t="array" ref="Q887">_xlfn.IFS(L887="M","Medium",L887="L","Light",L887="D","Dark")</f>
        <v>Medium</v>
      </c>
      <c r="R887" t="str">
        <f>_xlfn.XLOOKUP(Orders[[#This Row],[Customer ID]],customers!$A$1:$A$1001,customers!$I$1:$I$1001)</f>
        <v>No</v>
      </c>
    </row>
    <row r="888" spans="1:18" x14ac:dyDescent="0.35">
      <c r="A888" s="2" t="s">
        <v>2307</v>
      </c>
      <c r="B888" s="4">
        <v>44182</v>
      </c>
      <c r="C888" s="23">
        <f>Orders[[#This Row],[Order Date]]</f>
        <v>44182</v>
      </c>
      <c r="D888" s="2">
        <f>YEAR(Orders[[#This Row],[Order Date]])</f>
        <v>2020</v>
      </c>
      <c r="E888" s="2" t="s">
        <v>2308</v>
      </c>
      <c r="F888" t="s">
        <v>6169</v>
      </c>
      <c r="G888" s="20">
        <v>3</v>
      </c>
      <c r="H888" s="2" t="str">
        <f>INDEX(customers!$A$1:$I$1001,MATCH($E888,customers!$A$1:$A$1001,),MATCH($H$1,customers!$A$1:$I$1,0))</f>
        <v>Skylar Jeyness</v>
      </c>
      <c r="I888" s="2" t="str">
        <f>IF(INDEX(customers!$A$1:$I$1001,MATCH($E888,customers!$A$1:$A$1001,0),3)=0,"",INDEX(customers!$A$1:$I$1001,MATCH($E888,customers!$A$1:$A$1001,0),3))</f>
        <v>sjeyness8y@biglobe.ne.jp</v>
      </c>
      <c r="J888" s="2" t="str">
        <f>_xlfn.XLOOKUP(E888,customers!$A$1:$A$1001,customers!$G$1:$G$1001)</f>
        <v>Ireland</v>
      </c>
      <c r="K888" t="str">
        <f>INDEX(products!$A$1:$G$49,MATCH($F888,products!$A$1:$A$49,0),MATCH(K$1,products!$A$1:$G$1,0))</f>
        <v>Lib</v>
      </c>
      <c r="L888" t="str">
        <f>INDEX(products!$A$1:$G$49,MATCH($F888,products!$A$1:$A$49,0),MATCH(L$1,products!$A$1:$G$1,0))</f>
        <v>D</v>
      </c>
      <c r="M888" s="5">
        <f>INDEX(products!$A$1:$G$49,MATCH($F888,products!$A$1:$A$49,0),MATCH(M$1,products!$A$1:$G$1,0))</f>
        <v>0.5</v>
      </c>
      <c r="N888" s="7">
        <f>INDEX(products!$A$1:$G$49,MATCH($F888,products!$A$1:$A$49,0),MATCH(N$1,products!$A$1:$G$1,0))</f>
        <v>7.77</v>
      </c>
      <c r="O888" s="7">
        <f t="shared" si="13"/>
        <v>23.31</v>
      </c>
      <c r="P888" t="str" cm="1">
        <f t="array" ref="P888">_xlfn.IFS(K888="Rob","Robusta",K888="Exc","Excelsa",K888="Ara","Arabica",K888="Lib","Liberica")</f>
        <v>Liberica</v>
      </c>
      <c r="Q888" t="str" cm="1">
        <f t="array" ref="Q888">_xlfn.IFS(L888="M","Medium",L888="L","Light",L888="D","Dark")</f>
        <v>Dark</v>
      </c>
      <c r="R888" t="str">
        <f>_xlfn.XLOOKUP(Orders[[#This Row],[Customer ID]],customers!$A$1:$A$1001,customers!$I$1:$I$1001)</f>
        <v>No</v>
      </c>
    </row>
    <row r="889" spans="1:18" x14ac:dyDescent="0.35">
      <c r="A889" s="2" t="s">
        <v>2689</v>
      </c>
      <c r="B889" s="4">
        <v>44245</v>
      </c>
      <c r="C889" s="23">
        <f>Orders[[#This Row],[Order Date]]</f>
        <v>44245</v>
      </c>
      <c r="D889" s="2">
        <f>YEAR(Orders[[#This Row],[Order Date]])</f>
        <v>2021</v>
      </c>
      <c r="E889" s="2" t="s">
        <v>2690</v>
      </c>
      <c r="F889" t="s">
        <v>6144</v>
      </c>
      <c r="G889" s="20">
        <v>2</v>
      </c>
      <c r="H889" s="2" t="str">
        <f>INDEX(customers!$A$1:$I$1001,MATCH($E889,customers!$A$1:$A$1001,),MATCH($H$1,customers!$A$1:$I$1,0))</f>
        <v>Sloan Diviny</v>
      </c>
      <c r="I889" s="2" t="str">
        <f>IF(INDEX(customers!$A$1:$I$1001,MATCH($E889,customers!$A$1:$A$1001,0),3)=0,"",INDEX(customers!$A$1:$I$1001,MATCH($E889,customers!$A$1:$A$1001,0),3))</f>
        <v>sdivinyau@ask.com</v>
      </c>
      <c r="J889" s="2" t="str">
        <f>_xlfn.XLOOKUP(E889,customers!$A$1:$A$1001,customers!$G$1:$G$1001)</f>
        <v>United States</v>
      </c>
      <c r="K889" t="str">
        <f>INDEX(products!$A$1:$G$49,MATCH($F889,products!$A$1:$A$49,0),MATCH(K$1,products!$A$1:$G$1,0))</f>
        <v>Exc</v>
      </c>
      <c r="L889" t="str">
        <f>INDEX(products!$A$1:$G$49,MATCH($F889,products!$A$1:$A$49,0),MATCH(L$1,products!$A$1:$G$1,0))</f>
        <v>D</v>
      </c>
      <c r="M889" s="5">
        <f>INDEX(products!$A$1:$G$49,MATCH($F889,products!$A$1:$A$49,0),MATCH(M$1,products!$A$1:$G$1,0))</f>
        <v>0.5</v>
      </c>
      <c r="N889" s="7">
        <f>INDEX(products!$A$1:$G$49,MATCH($F889,products!$A$1:$A$49,0),MATCH(N$1,products!$A$1:$G$1,0))</f>
        <v>7.29</v>
      </c>
      <c r="O889" s="7">
        <f t="shared" si="13"/>
        <v>14.58</v>
      </c>
      <c r="P889" t="str" cm="1">
        <f t="array" ref="P889">_xlfn.IFS(K889="Rob","Robusta",K889="Exc","Excelsa",K889="Ara","Arabica",K889="Lib","Liberica")</f>
        <v>Excelsa</v>
      </c>
      <c r="Q889" t="str" cm="1">
        <f t="array" ref="Q889">_xlfn.IFS(L889="M","Medium",L889="L","Light",L889="D","Dark")</f>
        <v>Dark</v>
      </c>
      <c r="R889" t="str">
        <f>_xlfn.XLOOKUP(Orders[[#This Row],[Customer ID]],customers!$A$1:$A$1001,customers!$I$1:$I$1001)</f>
        <v>Yes</v>
      </c>
    </row>
    <row r="890" spans="1:18" x14ac:dyDescent="0.35">
      <c r="A890" s="2" t="s">
        <v>5283</v>
      </c>
      <c r="B890" s="4">
        <v>43468</v>
      </c>
      <c r="C890" s="23">
        <f>Orders[[#This Row],[Order Date]]</f>
        <v>43468</v>
      </c>
      <c r="D890" s="2">
        <f>YEAR(Orders[[#This Row],[Order Date]])</f>
        <v>2019</v>
      </c>
      <c r="E890" s="2" t="s">
        <v>5284</v>
      </c>
      <c r="F890" t="s">
        <v>6176</v>
      </c>
      <c r="G890" s="20">
        <v>6</v>
      </c>
      <c r="H890" s="2" t="str">
        <f>INDEX(customers!$A$1:$I$1001,MATCH($E890,customers!$A$1:$A$1001,),MATCH($H$1,customers!$A$1:$I$1,0))</f>
        <v>Spencer Wastell</v>
      </c>
      <c r="I890" s="2" t="str">
        <f>IF(INDEX(customers!$A$1:$I$1001,MATCH($E890,customers!$A$1:$A$1001,0),3)=0,"",INDEX(customers!$A$1:$I$1001,MATCH($E890,customers!$A$1:$A$1001,0),3))</f>
        <v/>
      </c>
      <c r="J890" s="2" t="str">
        <f>_xlfn.XLOOKUP(E890,customers!$A$1:$A$1001,customers!$G$1:$G$1001)</f>
        <v>United States</v>
      </c>
      <c r="K890" t="str">
        <f>INDEX(products!$A$1:$G$49,MATCH($F890,products!$A$1:$A$49,0),MATCH(K$1,products!$A$1:$G$1,0))</f>
        <v>Exc</v>
      </c>
      <c r="L890" t="str">
        <f>INDEX(products!$A$1:$G$49,MATCH($F890,products!$A$1:$A$49,0),MATCH(L$1,products!$A$1:$G$1,0))</f>
        <v>L</v>
      </c>
      <c r="M890" s="5">
        <f>INDEX(products!$A$1:$G$49,MATCH($F890,products!$A$1:$A$49,0),MATCH(M$1,products!$A$1:$G$1,0))</f>
        <v>0.5</v>
      </c>
      <c r="N890" s="7">
        <f>INDEX(products!$A$1:$G$49,MATCH($F890,products!$A$1:$A$49,0),MATCH(N$1,products!$A$1:$G$1,0))</f>
        <v>8.91</v>
      </c>
      <c r="O890" s="7">
        <f t="shared" si="13"/>
        <v>53.46</v>
      </c>
      <c r="P890" t="str" cm="1">
        <f t="array" ref="P890">_xlfn.IFS(K890="Rob","Robusta",K890="Exc","Excelsa",K890="Ara","Arabica",K890="Lib","Liberica")</f>
        <v>Excelsa</v>
      </c>
      <c r="Q890" t="str" cm="1">
        <f t="array" ref="Q890">_xlfn.IFS(L890="M","Medium",L890="L","Light",L890="D","Dark")</f>
        <v>Light</v>
      </c>
      <c r="R890" t="str">
        <f>_xlfn.XLOOKUP(Orders[[#This Row],[Customer ID]],customers!$A$1:$A$1001,customers!$I$1:$I$1001)</f>
        <v>No</v>
      </c>
    </row>
    <row r="891" spans="1:18" x14ac:dyDescent="0.35">
      <c r="A891" s="2" t="s">
        <v>2262</v>
      </c>
      <c r="B891" s="4">
        <v>44437</v>
      </c>
      <c r="C891" s="23">
        <f>Orders[[#This Row],[Order Date]]</f>
        <v>44437</v>
      </c>
      <c r="D891" s="2">
        <f>YEAR(Orders[[#This Row],[Order Date]])</f>
        <v>2021</v>
      </c>
      <c r="E891" s="2" t="s">
        <v>2263</v>
      </c>
      <c r="F891" t="s">
        <v>6177</v>
      </c>
      <c r="G891" s="20">
        <v>5</v>
      </c>
      <c r="H891" s="2" t="str">
        <f>INDEX(customers!$A$1:$I$1001,MATCH($E891,customers!$A$1:$A$1001,),MATCH($H$1,customers!$A$1:$I$1,0))</f>
        <v>Stacy Pickworth</v>
      </c>
      <c r="I891" s="2" t="str">
        <f>IF(INDEX(customers!$A$1:$I$1001,MATCH($E891,customers!$A$1:$A$1001,0),3)=0,"",INDEX(customers!$A$1:$I$1001,MATCH($E891,customers!$A$1:$A$1001,0),3))</f>
        <v/>
      </c>
      <c r="J891" s="2" t="str">
        <f>_xlfn.XLOOKUP(E891,customers!$A$1:$A$1001,customers!$G$1:$G$1001)</f>
        <v>United States</v>
      </c>
      <c r="K891" t="str">
        <f>INDEX(products!$A$1:$G$49,MATCH($F891,products!$A$1:$A$49,0),MATCH(K$1,products!$A$1:$G$1,0))</f>
        <v>Rob</v>
      </c>
      <c r="L891" t="str">
        <f>INDEX(products!$A$1:$G$49,MATCH($F891,products!$A$1:$A$49,0),MATCH(L$1,products!$A$1:$G$1,0))</f>
        <v>D</v>
      </c>
      <c r="M891" s="5">
        <f>INDEX(products!$A$1:$G$49,MATCH($F891,products!$A$1:$A$49,0),MATCH(M$1,products!$A$1:$G$1,0))</f>
        <v>1</v>
      </c>
      <c r="N891" s="7">
        <f>INDEX(products!$A$1:$G$49,MATCH($F891,products!$A$1:$A$49,0),MATCH(N$1,products!$A$1:$G$1,0))</f>
        <v>8.9499999999999993</v>
      </c>
      <c r="O891" s="7">
        <f t="shared" si="13"/>
        <v>44.75</v>
      </c>
      <c r="P891" t="str" cm="1">
        <f t="array" ref="P891">_xlfn.IFS(K891="Rob","Robusta",K891="Exc","Excelsa",K891="Ara","Arabica",K891="Lib","Liberica")</f>
        <v>Robusta</v>
      </c>
      <c r="Q891" t="str" cm="1">
        <f t="array" ref="Q891">_xlfn.IFS(L891="M","Medium",L891="L","Light",L891="D","Dark")</f>
        <v>Dark</v>
      </c>
      <c r="R891" t="str">
        <f>_xlfn.XLOOKUP(Orders[[#This Row],[Customer ID]],customers!$A$1:$A$1001,customers!$I$1:$I$1001)</f>
        <v>No</v>
      </c>
    </row>
    <row r="892" spans="1:18" x14ac:dyDescent="0.35">
      <c r="A892" s="2" t="s">
        <v>3058</v>
      </c>
      <c r="B892" s="4">
        <v>43841</v>
      </c>
      <c r="C892" s="23">
        <f>Orders[[#This Row],[Order Date]]</f>
        <v>43841</v>
      </c>
      <c r="D892" s="2">
        <f>YEAR(Orders[[#This Row],[Order Date]])</f>
        <v>2020</v>
      </c>
      <c r="E892" s="2" t="s">
        <v>3059</v>
      </c>
      <c r="F892" t="s">
        <v>6145</v>
      </c>
      <c r="G892" s="20">
        <v>2</v>
      </c>
      <c r="H892" s="2" t="str">
        <f>INDEX(customers!$A$1:$I$1001,MATCH($E892,customers!$A$1:$A$1001,),MATCH($H$1,customers!$A$1:$I$1,0))</f>
        <v>Stan Barribal</v>
      </c>
      <c r="I892" s="2" t="str">
        <f>IF(INDEX(customers!$A$1:$I$1001,MATCH($E892,customers!$A$1:$A$1001,0),3)=0,"",INDEX(customers!$A$1:$I$1001,MATCH($E892,customers!$A$1:$A$1001,0),3))</f>
        <v>sbarribalcn@microsoft.com</v>
      </c>
      <c r="J892" s="2" t="str">
        <f>_xlfn.XLOOKUP(E892,customers!$A$1:$A$1001,customers!$G$1:$G$1001)</f>
        <v>Ireland</v>
      </c>
      <c r="K892" t="str">
        <f>INDEX(products!$A$1:$G$49,MATCH($F892,products!$A$1:$A$49,0),MATCH(K$1,products!$A$1:$G$1,0))</f>
        <v>Lib</v>
      </c>
      <c r="L892" t="str">
        <f>INDEX(products!$A$1:$G$49,MATCH($F892,products!$A$1:$A$49,0),MATCH(L$1,products!$A$1:$G$1,0))</f>
        <v>L</v>
      </c>
      <c r="M892" s="5">
        <f>INDEX(products!$A$1:$G$49,MATCH($F892,products!$A$1:$A$49,0),MATCH(M$1,products!$A$1:$G$1,0))</f>
        <v>0.2</v>
      </c>
      <c r="N892" s="7">
        <f>INDEX(products!$A$1:$G$49,MATCH($F892,products!$A$1:$A$49,0),MATCH(N$1,products!$A$1:$G$1,0))</f>
        <v>4.7549999999999999</v>
      </c>
      <c r="O892" s="7">
        <f t="shared" si="13"/>
        <v>9.51</v>
      </c>
      <c r="P892" t="str" cm="1">
        <f t="array" ref="P892">_xlfn.IFS(K892="Rob","Robusta",K892="Exc","Excelsa",K892="Ara","Arabica",K892="Lib","Liberica")</f>
        <v>Liberica</v>
      </c>
      <c r="Q892" t="str" cm="1">
        <f t="array" ref="Q892">_xlfn.IFS(L892="M","Medium",L892="L","Light",L892="D","Dark")</f>
        <v>Light</v>
      </c>
      <c r="R892" t="str">
        <f>_xlfn.XLOOKUP(Orders[[#This Row],[Customer ID]],customers!$A$1:$A$1001,customers!$I$1:$I$1001)</f>
        <v>Yes</v>
      </c>
    </row>
    <row r="893" spans="1:18" x14ac:dyDescent="0.35">
      <c r="A893" s="2" t="s">
        <v>1186</v>
      </c>
      <c r="B893" s="4">
        <v>43582</v>
      </c>
      <c r="C893" s="23">
        <f>Orders[[#This Row],[Order Date]]</f>
        <v>43582</v>
      </c>
      <c r="D893" s="2">
        <f>YEAR(Orders[[#This Row],[Order Date]])</f>
        <v>2019</v>
      </c>
      <c r="E893" s="2" t="s">
        <v>1187</v>
      </c>
      <c r="F893" t="s">
        <v>6159</v>
      </c>
      <c r="G893" s="20">
        <v>5</v>
      </c>
      <c r="H893" s="2" t="str">
        <f>INDEX(customers!$A$1:$I$1001,MATCH($E893,customers!$A$1:$A$1001,),MATCH($H$1,customers!$A$1:$I$1,0))</f>
        <v>Stanford Rodliff</v>
      </c>
      <c r="I893" s="2" t="str">
        <f>IF(INDEX(customers!$A$1:$I$1001,MATCH($E893,customers!$A$1:$A$1001,0),3)=0,"",INDEX(customers!$A$1:$I$1001,MATCH($E893,customers!$A$1:$A$1001,0),3))</f>
        <v>srodliff3g@ted.com</v>
      </c>
      <c r="J893" s="2" t="str">
        <f>_xlfn.XLOOKUP(E893,customers!$A$1:$A$1001,customers!$G$1:$G$1001)</f>
        <v>United States</v>
      </c>
      <c r="K893" t="str">
        <f>INDEX(products!$A$1:$G$49,MATCH($F893,products!$A$1:$A$49,0),MATCH(K$1,products!$A$1:$G$1,0))</f>
        <v>Lib</v>
      </c>
      <c r="L893" t="str">
        <f>INDEX(products!$A$1:$G$49,MATCH($F893,products!$A$1:$A$49,0),MATCH(L$1,products!$A$1:$G$1,0))</f>
        <v>M</v>
      </c>
      <c r="M893" s="5">
        <f>INDEX(products!$A$1:$G$49,MATCH($F893,products!$A$1:$A$49,0),MATCH(M$1,products!$A$1:$G$1,0))</f>
        <v>0.2</v>
      </c>
      <c r="N893" s="7">
        <f>INDEX(products!$A$1:$G$49,MATCH($F893,products!$A$1:$A$49,0),MATCH(N$1,products!$A$1:$G$1,0))</f>
        <v>4.3650000000000002</v>
      </c>
      <c r="O893" s="7">
        <f t="shared" si="13"/>
        <v>21.825000000000003</v>
      </c>
      <c r="P893" t="str" cm="1">
        <f t="array" ref="P893">_xlfn.IFS(K893="Rob","Robusta",K893="Exc","Excelsa",K893="Ara","Arabica",K893="Lib","Liberica")</f>
        <v>Liberica</v>
      </c>
      <c r="Q893" t="str" cm="1">
        <f t="array" ref="Q893">_xlfn.IFS(L893="M","Medium",L893="L","Light",L893="D","Dark")</f>
        <v>Medium</v>
      </c>
      <c r="R893" t="str">
        <f>_xlfn.XLOOKUP(Orders[[#This Row],[Customer ID]],customers!$A$1:$A$1001,customers!$I$1:$I$1001)</f>
        <v>Yes</v>
      </c>
    </row>
    <row r="894" spans="1:18" x14ac:dyDescent="0.35">
      <c r="A894" s="2" t="s">
        <v>822</v>
      </c>
      <c r="B894" s="4">
        <v>44537</v>
      </c>
      <c r="C894" s="23">
        <f>Orders[[#This Row],[Order Date]]</f>
        <v>44537</v>
      </c>
      <c r="D894" s="2">
        <f>YEAR(Orders[[#This Row],[Order Date]])</f>
        <v>2021</v>
      </c>
      <c r="E894" s="2" t="s">
        <v>823</v>
      </c>
      <c r="F894" t="s">
        <v>6160</v>
      </c>
      <c r="G894" s="20">
        <v>3</v>
      </c>
      <c r="H894" s="2" t="str">
        <f>INDEX(customers!$A$1:$I$1001,MATCH($E894,customers!$A$1:$A$1001,),MATCH($H$1,customers!$A$1:$I$1,0))</f>
        <v>Stanislaus Gilroy</v>
      </c>
      <c r="I894" s="2" t="str">
        <f>IF(INDEX(customers!$A$1:$I$1001,MATCH($E894,customers!$A$1:$A$1001,0),3)=0,"",INDEX(customers!$A$1:$I$1001,MATCH($E894,customers!$A$1:$A$1001,0),3))</f>
        <v>sgilroy1n@eepurl.com</v>
      </c>
      <c r="J894" s="2" t="str">
        <f>_xlfn.XLOOKUP(E894,customers!$A$1:$A$1001,customers!$G$1:$G$1001)</f>
        <v>United States</v>
      </c>
      <c r="K894" t="str">
        <f>INDEX(products!$A$1:$G$49,MATCH($F894,products!$A$1:$A$49,0),MATCH(K$1,products!$A$1:$G$1,0))</f>
        <v>Lib</v>
      </c>
      <c r="L894" t="str">
        <f>INDEX(products!$A$1:$G$49,MATCH($F894,products!$A$1:$A$49,0),MATCH(L$1,products!$A$1:$G$1,0))</f>
        <v>M</v>
      </c>
      <c r="M894" s="5">
        <f>INDEX(products!$A$1:$G$49,MATCH($F894,products!$A$1:$A$49,0),MATCH(M$1,products!$A$1:$G$1,0))</f>
        <v>0.5</v>
      </c>
      <c r="N894" s="7">
        <f>INDEX(products!$A$1:$G$49,MATCH($F894,products!$A$1:$A$49,0),MATCH(N$1,products!$A$1:$G$1,0))</f>
        <v>8.73</v>
      </c>
      <c r="O894" s="7">
        <f t="shared" si="13"/>
        <v>26.19</v>
      </c>
      <c r="P894" t="str" cm="1">
        <f t="array" ref="P894">_xlfn.IFS(K894="Rob","Robusta",K894="Exc","Excelsa",K894="Ara","Arabica",K894="Lib","Liberica")</f>
        <v>Liberica</v>
      </c>
      <c r="Q894" t="str" cm="1">
        <f t="array" ref="Q894">_xlfn.IFS(L894="M","Medium",L894="L","Light",L894="D","Dark")</f>
        <v>Medium</v>
      </c>
      <c r="R894" t="str">
        <f>_xlfn.XLOOKUP(Orders[[#This Row],[Customer ID]],customers!$A$1:$A$1001,customers!$I$1:$I$1001)</f>
        <v>Yes</v>
      </c>
    </row>
    <row r="895" spans="1:18" x14ac:dyDescent="0.35">
      <c r="A895" s="2" t="s">
        <v>1436</v>
      </c>
      <c r="B895" s="4">
        <v>43484</v>
      </c>
      <c r="C895" s="23">
        <f>Orders[[#This Row],[Order Date]]</f>
        <v>43484</v>
      </c>
      <c r="D895" s="2">
        <f>YEAR(Orders[[#This Row],[Order Date]])</f>
        <v>2019</v>
      </c>
      <c r="E895" s="2" t="s">
        <v>1437</v>
      </c>
      <c r="F895" t="s">
        <v>6157</v>
      </c>
      <c r="G895" s="20">
        <v>6</v>
      </c>
      <c r="H895" s="2" t="str">
        <f>INDEX(customers!$A$1:$I$1001,MATCH($E895,customers!$A$1:$A$1001,),MATCH($H$1,customers!$A$1:$I$1,0))</f>
        <v>Stanislaus Valsler</v>
      </c>
      <c r="I895" s="2" t="str">
        <f>IF(INDEX(customers!$A$1:$I$1001,MATCH($E895,customers!$A$1:$A$1001,0),3)=0,"",INDEX(customers!$A$1:$I$1001,MATCH($E895,customers!$A$1:$A$1001,0),3))</f>
        <v/>
      </c>
      <c r="J895" s="2" t="str">
        <f>_xlfn.XLOOKUP(E895,customers!$A$1:$A$1001,customers!$G$1:$G$1001)</f>
        <v>Ireland</v>
      </c>
      <c r="K895" t="str">
        <f>INDEX(products!$A$1:$G$49,MATCH($F895,products!$A$1:$A$49,0),MATCH(K$1,products!$A$1:$G$1,0))</f>
        <v>Ara</v>
      </c>
      <c r="L895" t="str">
        <f>INDEX(products!$A$1:$G$49,MATCH($F895,products!$A$1:$A$49,0),MATCH(L$1,products!$A$1:$G$1,0))</f>
        <v>M</v>
      </c>
      <c r="M895" s="5">
        <f>INDEX(products!$A$1:$G$49,MATCH($F895,products!$A$1:$A$49,0),MATCH(M$1,products!$A$1:$G$1,0))</f>
        <v>0.5</v>
      </c>
      <c r="N895" s="7">
        <f>INDEX(products!$A$1:$G$49,MATCH($F895,products!$A$1:$A$49,0),MATCH(N$1,products!$A$1:$G$1,0))</f>
        <v>6.75</v>
      </c>
      <c r="O895" s="7">
        <f t="shared" si="13"/>
        <v>40.5</v>
      </c>
      <c r="P895" t="str" cm="1">
        <f t="array" ref="P895">_xlfn.IFS(K895="Rob","Robusta",K895="Exc","Excelsa",K895="Ara","Arabica",K895="Lib","Liberica")</f>
        <v>Arabica</v>
      </c>
      <c r="Q895" t="str" cm="1">
        <f t="array" ref="Q895">_xlfn.IFS(L895="M","Medium",L895="L","Light",L895="D","Dark")</f>
        <v>Medium</v>
      </c>
      <c r="R895" t="str">
        <f>_xlfn.XLOOKUP(Orders[[#This Row],[Customer ID]],customers!$A$1:$A$1001,customers!$I$1:$I$1001)</f>
        <v>No</v>
      </c>
    </row>
    <row r="896" spans="1:18" x14ac:dyDescent="0.35">
      <c r="A896" s="2" t="s">
        <v>3214</v>
      </c>
      <c r="B896" s="4">
        <v>44247</v>
      </c>
      <c r="C896" s="23">
        <f>Orders[[#This Row],[Order Date]]</f>
        <v>44247</v>
      </c>
      <c r="D896" s="2">
        <f>YEAR(Orders[[#This Row],[Order Date]])</f>
        <v>2021</v>
      </c>
      <c r="E896" s="2" t="s">
        <v>3215</v>
      </c>
      <c r="F896" t="s">
        <v>6185</v>
      </c>
      <c r="G896" s="20">
        <v>5</v>
      </c>
      <c r="H896" s="2" t="str">
        <f>INDEX(customers!$A$1:$I$1001,MATCH($E896,customers!$A$1:$A$1001,),MATCH($H$1,customers!$A$1:$I$1,0))</f>
        <v>Stanly Keets</v>
      </c>
      <c r="I896" s="2" t="str">
        <f>IF(INDEX(customers!$A$1:$I$1001,MATCH($E896,customers!$A$1:$A$1001,0),3)=0,"",INDEX(customers!$A$1:$I$1001,MATCH($E896,customers!$A$1:$A$1001,0),3))</f>
        <v>skeetsde@answers.com</v>
      </c>
      <c r="J896" s="2" t="str">
        <f>_xlfn.XLOOKUP(E896,customers!$A$1:$A$1001,customers!$G$1:$G$1001)</f>
        <v>United States</v>
      </c>
      <c r="K896" t="str">
        <f>INDEX(products!$A$1:$G$49,MATCH($F896,products!$A$1:$A$49,0),MATCH(K$1,products!$A$1:$G$1,0))</f>
        <v>Exc</v>
      </c>
      <c r="L896" t="str">
        <f>INDEX(products!$A$1:$G$49,MATCH($F896,products!$A$1:$A$49,0),MATCH(L$1,products!$A$1:$G$1,0))</f>
        <v>D</v>
      </c>
      <c r="M896" s="5">
        <f>INDEX(products!$A$1:$G$49,MATCH($F896,products!$A$1:$A$49,0),MATCH(M$1,products!$A$1:$G$1,0))</f>
        <v>2.5</v>
      </c>
      <c r="N896" s="7">
        <f>INDEX(products!$A$1:$G$49,MATCH($F896,products!$A$1:$A$49,0),MATCH(N$1,products!$A$1:$G$1,0))</f>
        <v>27.945</v>
      </c>
      <c r="O896" s="7">
        <f t="shared" si="13"/>
        <v>139.72499999999999</v>
      </c>
      <c r="P896" t="str" cm="1">
        <f t="array" ref="P896">_xlfn.IFS(K896="Rob","Robusta",K896="Exc","Excelsa",K896="Ara","Arabica",K896="Lib","Liberica")</f>
        <v>Excelsa</v>
      </c>
      <c r="Q896" t="str" cm="1">
        <f t="array" ref="Q896">_xlfn.IFS(L896="M","Medium",L896="L","Light",L896="D","Dark")</f>
        <v>Dark</v>
      </c>
      <c r="R896" t="str">
        <f>_xlfn.XLOOKUP(Orders[[#This Row],[Customer ID]],customers!$A$1:$A$1001,customers!$I$1:$I$1001)</f>
        <v>Yes</v>
      </c>
    </row>
    <row r="897" spans="1:18" x14ac:dyDescent="0.35">
      <c r="A897" s="2" t="s">
        <v>3481</v>
      </c>
      <c r="B897" s="4">
        <v>43475</v>
      </c>
      <c r="C897" s="23">
        <f>Orders[[#This Row],[Order Date]]</f>
        <v>43475</v>
      </c>
      <c r="D897" s="2">
        <f>YEAR(Orders[[#This Row],[Order Date]])</f>
        <v>2019</v>
      </c>
      <c r="E897" s="2" t="s">
        <v>3482</v>
      </c>
      <c r="F897" t="s">
        <v>6138</v>
      </c>
      <c r="G897" s="20">
        <v>6</v>
      </c>
      <c r="H897" s="2" t="str">
        <f>INDEX(customers!$A$1:$I$1001,MATCH($E897,customers!$A$1:$A$1001,),MATCH($H$1,customers!$A$1:$I$1,0))</f>
        <v>Starr Arpin</v>
      </c>
      <c r="I897" s="2" t="str">
        <f>IF(INDEX(customers!$A$1:$I$1001,MATCH($E897,customers!$A$1:$A$1001,0),3)=0,"",INDEX(customers!$A$1:$I$1001,MATCH($E897,customers!$A$1:$A$1001,0),3))</f>
        <v>sarpinep@moonfruit.com</v>
      </c>
      <c r="J897" s="2" t="str">
        <f>_xlfn.XLOOKUP(E897,customers!$A$1:$A$1001,customers!$G$1:$G$1001)</f>
        <v>United States</v>
      </c>
      <c r="K897" t="str">
        <f>INDEX(products!$A$1:$G$49,MATCH($F897,products!$A$1:$A$49,0),MATCH(K$1,products!$A$1:$G$1,0))</f>
        <v>Rob</v>
      </c>
      <c r="L897" t="str">
        <f>INDEX(products!$A$1:$G$49,MATCH($F897,products!$A$1:$A$49,0),MATCH(L$1,products!$A$1:$G$1,0))</f>
        <v>M</v>
      </c>
      <c r="M897" s="5">
        <f>INDEX(products!$A$1:$G$49,MATCH($F897,products!$A$1:$A$49,0),MATCH(M$1,products!$A$1:$G$1,0))</f>
        <v>1</v>
      </c>
      <c r="N897" s="7">
        <f>INDEX(products!$A$1:$G$49,MATCH($F897,products!$A$1:$A$49,0),MATCH(N$1,products!$A$1:$G$1,0))</f>
        <v>9.9499999999999993</v>
      </c>
      <c r="O897" s="7">
        <f t="shared" si="13"/>
        <v>59.699999999999996</v>
      </c>
      <c r="P897" t="str" cm="1">
        <f t="array" ref="P897">_xlfn.IFS(K897="Rob","Robusta",K897="Exc","Excelsa",K897="Ara","Arabica",K897="Lib","Liberica")</f>
        <v>Robusta</v>
      </c>
      <c r="Q897" t="str" cm="1">
        <f t="array" ref="Q897">_xlfn.IFS(L897="M","Medium",L897="L","Light",L897="D","Dark")</f>
        <v>Medium</v>
      </c>
      <c r="R897" t="str">
        <f>_xlfn.XLOOKUP(Orders[[#This Row],[Customer ID]],customers!$A$1:$A$1001,customers!$I$1:$I$1001)</f>
        <v>No</v>
      </c>
    </row>
    <row r="898" spans="1:18" x14ac:dyDescent="0.35">
      <c r="A898" s="2" t="s">
        <v>4499</v>
      </c>
      <c r="B898" s="4">
        <v>44655</v>
      </c>
      <c r="C898" s="23">
        <f>Orders[[#This Row],[Order Date]]</f>
        <v>44655</v>
      </c>
      <c r="D898" s="2">
        <f>YEAR(Orders[[#This Row],[Order Date]])</f>
        <v>2022</v>
      </c>
      <c r="E898" s="2" t="s">
        <v>4500</v>
      </c>
      <c r="F898" t="s">
        <v>6139</v>
      </c>
      <c r="G898" s="20">
        <v>3</v>
      </c>
      <c r="H898" s="2" t="str">
        <f>INDEX(customers!$A$1:$I$1001,MATCH($E898,customers!$A$1:$A$1001,),MATCH($H$1,customers!$A$1:$I$1,0))</f>
        <v>Stearne Count</v>
      </c>
      <c r="I898" s="2" t="str">
        <f>IF(INDEX(customers!$A$1:$I$1001,MATCH($E898,customers!$A$1:$A$1001,0),3)=0,"",INDEX(customers!$A$1:$I$1001,MATCH($E898,customers!$A$1:$A$1001,0),3))</f>
        <v>scountjq@nba.com</v>
      </c>
      <c r="J898" s="2" t="str">
        <f>_xlfn.XLOOKUP(E898,customers!$A$1:$A$1001,customers!$G$1:$G$1001)</f>
        <v>United States</v>
      </c>
      <c r="K898" t="str">
        <f>INDEX(products!$A$1:$G$49,MATCH($F898,products!$A$1:$A$49,0),MATCH(K$1,products!$A$1:$G$1,0))</f>
        <v>Exc</v>
      </c>
      <c r="L898" t="str">
        <f>INDEX(products!$A$1:$G$49,MATCH($F898,products!$A$1:$A$49,0),MATCH(L$1,products!$A$1:$G$1,0))</f>
        <v>M</v>
      </c>
      <c r="M898" s="5">
        <f>INDEX(products!$A$1:$G$49,MATCH($F898,products!$A$1:$A$49,0),MATCH(M$1,products!$A$1:$G$1,0))</f>
        <v>0.5</v>
      </c>
      <c r="N898" s="7">
        <f>INDEX(products!$A$1:$G$49,MATCH($F898,products!$A$1:$A$49,0),MATCH(N$1,products!$A$1:$G$1,0))</f>
        <v>8.25</v>
      </c>
      <c r="O898" s="7">
        <f t="shared" ref="O898:O961" si="14">N898*G898</f>
        <v>24.75</v>
      </c>
      <c r="P898" t="str" cm="1">
        <f t="array" ref="P898">_xlfn.IFS(K898="Rob","Robusta",K898="Exc","Excelsa",K898="Ara","Arabica",K898="Lib","Liberica")</f>
        <v>Excelsa</v>
      </c>
      <c r="Q898" t="str" cm="1">
        <f t="array" ref="Q898">_xlfn.IFS(L898="M","Medium",L898="L","Light",L898="D","Dark")</f>
        <v>Medium</v>
      </c>
      <c r="R898" t="str">
        <f>_xlfn.XLOOKUP(Orders[[#This Row],[Customer ID]],customers!$A$1:$A$1001,customers!$I$1:$I$1001)</f>
        <v>No</v>
      </c>
    </row>
    <row r="899" spans="1:18" x14ac:dyDescent="0.35">
      <c r="A899" s="2" t="s">
        <v>1192</v>
      </c>
      <c r="B899" s="4">
        <v>43608</v>
      </c>
      <c r="C899" s="23">
        <f>Orders[[#This Row],[Order Date]]</f>
        <v>43608</v>
      </c>
      <c r="D899" s="2">
        <f>YEAR(Orders[[#This Row],[Order Date]])</f>
        <v>2019</v>
      </c>
      <c r="E899" s="2" t="s">
        <v>1193</v>
      </c>
      <c r="F899" t="s">
        <v>6160</v>
      </c>
      <c r="G899" s="20">
        <v>3</v>
      </c>
      <c r="H899" s="2" t="str">
        <f>INDEX(customers!$A$1:$I$1001,MATCH($E899,customers!$A$1:$A$1001,),MATCH($H$1,customers!$A$1:$I$1,0))</f>
        <v>Stevana Woodham</v>
      </c>
      <c r="I899" s="2" t="str">
        <f>IF(INDEX(customers!$A$1:$I$1001,MATCH($E899,customers!$A$1:$A$1001,0),3)=0,"",INDEX(customers!$A$1:$I$1001,MATCH($E899,customers!$A$1:$A$1001,0),3))</f>
        <v>swoodham3h@businesswire.com</v>
      </c>
      <c r="J899" s="2" t="str">
        <f>_xlfn.XLOOKUP(E899,customers!$A$1:$A$1001,customers!$G$1:$G$1001)</f>
        <v>Ireland</v>
      </c>
      <c r="K899" t="str">
        <f>INDEX(products!$A$1:$G$49,MATCH($F899,products!$A$1:$A$49,0),MATCH(K$1,products!$A$1:$G$1,0))</f>
        <v>Lib</v>
      </c>
      <c r="L899" t="str">
        <f>INDEX(products!$A$1:$G$49,MATCH($F899,products!$A$1:$A$49,0),MATCH(L$1,products!$A$1:$G$1,0))</f>
        <v>M</v>
      </c>
      <c r="M899" s="5">
        <f>INDEX(products!$A$1:$G$49,MATCH($F899,products!$A$1:$A$49,0),MATCH(M$1,products!$A$1:$G$1,0))</f>
        <v>0.5</v>
      </c>
      <c r="N899" s="7">
        <f>INDEX(products!$A$1:$G$49,MATCH($F899,products!$A$1:$A$49,0),MATCH(N$1,products!$A$1:$G$1,0))</f>
        <v>8.73</v>
      </c>
      <c r="O899" s="7">
        <f t="shared" si="14"/>
        <v>26.19</v>
      </c>
      <c r="P899" t="str" cm="1">
        <f t="array" ref="P899">_xlfn.IFS(K899="Rob","Robusta",K899="Exc","Excelsa",K899="Ara","Arabica",K899="Lib","Liberica")</f>
        <v>Liberica</v>
      </c>
      <c r="Q899" t="str" cm="1">
        <f t="array" ref="Q899">_xlfn.IFS(L899="M","Medium",L899="L","Light",L899="D","Dark")</f>
        <v>Medium</v>
      </c>
      <c r="R899" t="str">
        <f>_xlfn.XLOOKUP(Orders[[#This Row],[Customer ID]],customers!$A$1:$A$1001,customers!$I$1:$I$1001)</f>
        <v>Yes</v>
      </c>
    </row>
    <row r="900" spans="1:18" x14ac:dyDescent="0.35">
      <c r="A900" s="2" t="s">
        <v>4847</v>
      </c>
      <c r="B900" s="4">
        <v>43468</v>
      </c>
      <c r="C900" s="23">
        <f>Orders[[#This Row],[Order Date]]</f>
        <v>43468</v>
      </c>
      <c r="D900" s="2">
        <f>YEAR(Orders[[#This Row],[Order Date]])</f>
        <v>2019</v>
      </c>
      <c r="E900" s="2" t="s">
        <v>4848</v>
      </c>
      <c r="F900" t="s">
        <v>6173</v>
      </c>
      <c r="G900" s="20">
        <v>3</v>
      </c>
      <c r="H900" s="2" t="str">
        <f>INDEX(customers!$A$1:$I$1001,MATCH($E900,customers!$A$1:$A$1001,),MATCH($H$1,customers!$A$1:$I$1,0))</f>
        <v>Suzanna Bollam</v>
      </c>
      <c r="I900" s="2" t="str">
        <f>IF(INDEX(customers!$A$1:$I$1001,MATCH($E900,customers!$A$1:$A$1001,0),3)=0,"",INDEX(customers!$A$1:$I$1001,MATCH($E900,customers!$A$1:$A$1001,0),3))</f>
        <v>sbollamlf@list-manage.com</v>
      </c>
      <c r="J900" s="2" t="str">
        <f>_xlfn.XLOOKUP(E900,customers!$A$1:$A$1001,customers!$G$1:$G$1001)</f>
        <v>United States</v>
      </c>
      <c r="K900" t="str">
        <f>INDEX(products!$A$1:$G$49,MATCH($F900,products!$A$1:$A$49,0),MATCH(K$1,products!$A$1:$G$1,0))</f>
        <v>Rob</v>
      </c>
      <c r="L900" t="str">
        <f>INDEX(products!$A$1:$G$49,MATCH($F900,products!$A$1:$A$49,0),MATCH(L$1,products!$A$1:$G$1,0))</f>
        <v>L</v>
      </c>
      <c r="M900" s="5">
        <f>INDEX(products!$A$1:$G$49,MATCH($F900,products!$A$1:$A$49,0),MATCH(M$1,products!$A$1:$G$1,0))</f>
        <v>0.5</v>
      </c>
      <c r="N900" s="7">
        <f>INDEX(products!$A$1:$G$49,MATCH($F900,products!$A$1:$A$49,0),MATCH(N$1,products!$A$1:$G$1,0))</f>
        <v>7.169999999999999</v>
      </c>
      <c r="O900" s="7">
        <f t="shared" si="14"/>
        <v>21.509999999999998</v>
      </c>
      <c r="P900" t="str" cm="1">
        <f t="array" ref="P900">_xlfn.IFS(K900="Rob","Robusta",K900="Exc","Excelsa",K900="Ara","Arabica",K900="Lib","Liberica")</f>
        <v>Robusta</v>
      </c>
      <c r="Q900" t="str" cm="1">
        <f t="array" ref="Q900">_xlfn.IFS(L900="M","Medium",L900="L","Light",L900="D","Dark")</f>
        <v>Light</v>
      </c>
      <c r="R900" t="str">
        <f>_xlfn.XLOOKUP(Orders[[#This Row],[Customer ID]],customers!$A$1:$A$1001,customers!$I$1:$I$1001)</f>
        <v>No</v>
      </c>
    </row>
    <row r="901" spans="1:18" x14ac:dyDescent="0.35">
      <c r="A901" s="2" t="s">
        <v>4196</v>
      </c>
      <c r="B901" s="4">
        <v>44485</v>
      </c>
      <c r="C901" s="23">
        <f>Orders[[#This Row],[Order Date]]</f>
        <v>44485</v>
      </c>
      <c r="D901" s="2">
        <f>YEAR(Orders[[#This Row],[Order Date]])</f>
        <v>2021</v>
      </c>
      <c r="E901" s="2" t="s">
        <v>4197</v>
      </c>
      <c r="F901" t="s">
        <v>6143</v>
      </c>
      <c r="G901" s="20">
        <v>4</v>
      </c>
      <c r="H901" s="2" t="str">
        <f>INDEX(customers!$A$1:$I$1001,MATCH($E901,customers!$A$1:$A$1001,),MATCH($H$1,customers!$A$1:$I$1,0))</f>
        <v>Sylas Jennaroy</v>
      </c>
      <c r="I901" s="2" t="str">
        <f>IF(INDEX(customers!$A$1:$I$1001,MATCH($E901,customers!$A$1:$A$1001,0),3)=0,"",INDEX(customers!$A$1:$I$1001,MATCH($E901,customers!$A$1:$A$1001,0),3))</f>
        <v>sjennaroyi8@purevolume.com</v>
      </c>
      <c r="J901" s="2" t="str">
        <f>_xlfn.XLOOKUP(E901,customers!$A$1:$A$1001,customers!$G$1:$G$1001)</f>
        <v>United States</v>
      </c>
      <c r="K901" t="str">
        <f>INDEX(products!$A$1:$G$49,MATCH($F901,products!$A$1:$A$49,0),MATCH(K$1,products!$A$1:$G$1,0))</f>
        <v>Lib</v>
      </c>
      <c r="L901" t="str">
        <f>INDEX(products!$A$1:$G$49,MATCH($F901,products!$A$1:$A$49,0),MATCH(L$1,products!$A$1:$G$1,0))</f>
        <v>D</v>
      </c>
      <c r="M901" s="5">
        <f>INDEX(products!$A$1:$G$49,MATCH($F901,products!$A$1:$A$49,0),MATCH(M$1,products!$A$1:$G$1,0))</f>
        <v>1</v>
      </c>
      <c r="N901" s="7">
        <f>INDEX(products!$A$1:$G$49,MATCH($F901,products!$A$1:$A$49,0),MATCH(N$1,products!$A$1:$G$1,0))</f>
        <v>12.95</v>
      </c>
      <c r="O901" s="7">
        <f t="shared" si="14"/>
        <v>51.8</v>
      </c>
      <c r="P901" t="str" cm="1">
        <f t="array" ref="P901">_xlfn.IFS(K901="Rob","Robusta",K901="Exc","Excelsa",K901="Ara","Arabica",K901="Lib","Liberica")</f>
        <v>Liberica</v>
      </c>
      <c r="Q901" t="str" cm="1">
        <f t="array" ref="Q901">_xlfn.IFS(L901="M","Medium",L901="L","Light",L901="D","Dark")</f>
        <v>Dark</v>
      </c>
      <c r="R901" t="str">
        <f>_xlfn.XLOOKUP(Orders[[#This Row],[Customer ID]],customers!$A$1:$A$1001,customers!$I$1:$I$1001)</f>
        <v>No</v>
      </c>
    </row>
    <row r="902" spans="1:18" x14ac:dyDescent="0.35">
      <c r="A902" s="2" t="s">
        <v>1626</v>
      </c>
      <c r="B902" s="4">
        <v>44486</v>
      </c>
      <c r="C902" s="23">
        <f>Orders[[#This Row],[Order Date]]</f>
        <v>44486</v>
      </c>
      <c r="D902" s="2">
        <f>YEAR(Orders[[#This Row],[Order Date]])</f>
        <v>2021</v>
      </c>
      <c r="E902" s="2" t="s">
        <v>1627</v>
      </c>
      <c r="F902" t="s">
        <v>6165</v>
      </c>
      <c r="G902" s="20">
        <v>6</v>
      </c>
      <c r="H902" s="2" t="str">
        <f>INDEX(customers!$A$1:$I$1001,MATCH($E902,customers!$A$1:$A$1001,),MATCH($H$1,customers!$A$1:$I$1,0))</f>
        <v>Tallie felip</v>
      </c>
      <c r="I902" s="2" t="str">
        <f>IF(INDEX(customers!$A$1:$I$1001,MATCH($E902,customers!$A$1:$A$1001,0),3)=0,"",INDEX(customers!$A$1:$I$1001,MATCH($E902,customers!$A$1:$A$1001,0),3))</f>
        <v>tfelip5m@typepad.com</v>
      </c>
      <c r="J902" s="2" t="str">
        <f>_xlfn.XLOOKUP(E902,customers!$A$1:$A$1001,customers!$G$1:$G$1001)</f>
        <v>United States</v>
      </c>
      <c r="K902" t="str">
        <f>INDEX(products!$A$1:$G$49,MATCH($F902,products!$A$1:$A$49,0),MATCH(K$1,products!$A$1:$G$1,0))</f>
        <v>Lib</v>
      </c>
      <c r="L902" t="str">
        <f>INDEX(products!$A$1:$G$49,MATCH($F902,products!$A$1:$A$49,0),MATCH(L$1,products!$A$1:$G$1,0))</f>
        <v>D</v>
      </c>
      <c r="M902" s="5">
        <f>INDEX(products!$A$1:$G$49,MATCH($F902,products!$A$1:$A$49,0),MATCH(M$1,products!$A$1:$G$1,0))</f>
        <v>2.5</v>
      </c>
      <c r="N902" s="7">
        <f>INDEX(products!$A$1:$G$49,MATCH($F902,products!$A$1:$A$49,0),MATCH(N$1,products!$A$1:$G$1,0))</f>
        <v>29.784999999999997</v>
      </c>
      <c r="O902" s="7">
        <f t="shared" si="14"/>
        <v>178.70999999999998</v>
      </c>
      <c r="P902" t="str" cm="1">
        <f t="array" ref="P902">_xlfn.IFS(K902="Rob","Robusta",K902="Exc","Excelsa",K902="Ara","Arabica",K902="Lib","Liberica")</f>
        <v>Liberica</v>
      </c>
      <c r="Q902" t="str" cm="1">
        <f t="array" ref="Q902">_xlfn.IFS(L902="M","Medium",L902="L","Light",L902="D","Dark")</f>
        <v>Dark</v>
      </c>
      <c r="R902" t="str">
        <f>_xlfn.XLOOKUP(Orders[[#This Row],[Customer ID]],customers!$A$1:$A$1001,customers!$I$1:$I$1001)</f>
        <v>Yes</v>
      </c>
    </row>
    <row r="903" spans="1:18" x14ac:dyDescent="0.35">
      <c r="A903" s="2" t="s">
        <v>1430</v>
      </c>
      <c r="B903" s="4">
        <v>44777</v>
      </c>
      <c r="C903" s="23">
        <f>Orders[[#This Row],[Order Date]]</f>
        <v>44777</v>
      </c>
      <c r="D903" s="2">
        <f>YEAR(Orders[[#This Row],[Order Date]])</f>
        <v>2022</v>
      </c>
      <c r="E903" s="2" t="s">
        <v>1431</v>
      </c>
      <c r="F903" t="s">
        <v>6139</v>
      </c>
      <c r="G903" s="20">
        <v>5</v>
      </c>
      <c r="H903" s="2" t="str">
        <f>INDEX(customers!$A$1:$I$1001,MATCH($E903,customers!$A$1:$A$1001,),MATCH($H$1,customers!$A$1:$I$1,0))</f>
        <v>Tamarah Fero</v>
      </c>
      <c r="I903" s="2" t="str">
        <f>IF(INDEX(customers!$A$1:$I$1001,MATCH($E903,customers!$A$1:$A$1001,0),3)=0,"",INDEX(customers!$A$1:$I$1001,MATCH($E903,customers!$A$1:$A$1001,0),3))</f>
        <v>tfero4n@comsenz.com</v>
      </c>
      <c r="J903" s="2" t="str">
        <f>_xlfn.XLOOKUP(E903,customers!$A$1:$A$1001,customers!$G$1:$G$1001)</f>
        <v>United States</v>
      </c>
      <c r="K903" t="str">
        <f>INDEX(products!$A$1:$G$49,MATCH($F903,products!$A$1:$A$49,0),MATCH(K$1,products!$A$1:$G$1,0))</f>
        <v>Exc</v>
      </c>
      <c r="L903" t="str">
        <f>INDEX(products!$A$1:$G$49,MATCH($F903,products!$A$1:$A$49,0),MATCH(L$1,products!$A$1:$G$1,0))</f>
        <v>M</v>
      </c>
      <c r="M903" s="5">
        <f>INDEX(products!$A$1:$G$49,MATCH($F903,products!$A$1:$A$49,0),MATCH(M$1,products!$A$1:$G$1,0))</f>
        <v>0.5</v>
      </c>
      <c r="N903" s="7">
        <f>INDEX(products!$A$1:$G$49,MATCH($F903,products!$A$1:$A$49,0),MATCH(N$1,products!$A$1:$G$1,0))</f>
        <v>8.25</v>
      </c>
      <c r="O903" s="7">
        <f t="shared" si="14"/>
        <v>41.25</v>
      </c>
      <c r="P903" t="str" cm="1">
        <f t="array" ref="P903">_xlfn.IFS(K903="Rob","Robusta",K903="Exc","Excelsa",K903="Ara","Arabica",K903="Lib","Liberica")</f>
        <v>Excelsa</v>
      </c>
      <c r="Q903" t="str" cm="1">
        <f t="array" ref="Q903">_xlfn.IFS(L903="M","Medium",L903="L","Light",L903="D","Dark")</f>
        <v>Medium</v>
      </c>
      <c r="R903" t="str">
        <f>_xlfn.XLOOKUP(Orders[[#This Row],[Customer ID]],customers!$A$1:$A$1001,customers!$I$1:$I$1001)</f>
        <v>Yes</v>
      </c>
    </row>
    <row r="904" spans="1:18" x14ac:dyDescent="0.35">
      <c r="A904" s="2" t="s">
        <v>1860</v>
      </c>
      <c r="B904" s="4">
        <v>44114</v>
      </c>
      <c r="C904" s="23">
        <f>Orders[[#This Row],[Order Date]]</f>
        <v>44114</v>
      </c>
      <c r="D904" s="2">
        <f>YEAR(Orders[[#This Row],[Order Date]])</f>
        <v>2020</v>
      </c>
      <c r="E904" s="2" t="s">
        <v>1861</v>
      </c>
      <c r="F904" t="s">
        <v>6144</v>
      </c>
      <c r="G904" s="20">
        <v>4</v>
      </c>
      <c r="H904" s="2" t="str">
        <f>INDEX(customers!$A$1:$I$1001,MATCH($E904,customers!$A$1:$A$1001,),MATCH($H$1,customers!$A$1:$I$1,0))</f>
        <v>Tammie Drynan</v>
      </c>
      <c r="I904" s="2" t="str">
        <f>IF(INDEX(customers!$A$1:$I$1001,MATCH($E904,customers!$A$1:$A$1001,0),3)=0,"",INDEX(customers!$A$1:$I$1001,MATCH($E904,customers!$A$1:$A$1001,0),3))</f>
        <v>tdrynan6r@deviantart.com</v>
      </c>
      <c r="J904" s="2" t="str">
        <f>_xlfn.XLOOKUP(E904,customers!$A$1:$A$1001,customers!$G$1:$G$1001)</f>
        <v>United States</v>
      </c>
      <c r="K904" t="str">
        <f>INDEX(products!$A$1:$G$49,MATCH($F904,products!$A$1:$A$49,0),MATCH(K$1,products!$A$1:$G$1,0))</f>
        <v>Exc</v>
      </c>
      <c r="L904" t="str">
        <f>INDEX(products!$A$1:$G$49,MATCH($F904,products!$A$1:$A$49,0),MATCH(L$1,products!$A$1:$G$1,0))</f>
        <v>D</v>
      </c>
      <c r="M904" s="5">
        <f>INDEX(products!$A$1:$G$49,MATCH($F904,products!$A$1:$A$49,0),MATCH(M$1,products!$A$1:$G$1,0))</f>
        <v>0.5</v>
      </c>
      <c r="N904" s="7">
        <f>INDEX(products!$A$1:$G$49,MATCH($F904,products!$A$1:$A$49,0),MATCH(N$1,products!$A$1:$G$1,0))</f>
        <v>7.29</v>
      </c>
      <c r="O904" s="7">
        <f t="shared" si="14"/>
        <v>29.16</v>
      </c>
      <c r="P904" t="str" cm="1">
        <f t="array" ref="P904">_xlfn.IFS(K904="Rob","Robusta",K904="Exc","Excelsa",K904="Ara","Arabica",K904="Lib","Liberica")</f>
        <v>Excelsa</v>
      </c>
      <c r="Q904" t="str" cm="1">
        <f t="array" ref="Q904">_xlfn.IFS(L904="M","Medium",L904="L","Light",L904="D","Dark")</f>
        <v>Dark</v>
      </c>
      <c r="R904" t="str">
        <f>_xlfn.XLOOKUP(Orders[[#This Row],[Customer ID]],customers!$A$1:$A$1001,customers!$I$1:$I$1001)</f>
        <v>Yes</v>
      </c>
    </row>
    <row r="905" spans="1:18" x14ac:dyDescent="0.35">
      <c r="A905" s="2" t="s">
        <v>1958</v>
      </c>
      <c r="B905" s="4">
        <v>44156</v>
      </c>
      <c r="C905" s="23">
        <f>Orders[[#This Row],[Order Date]]</f>
        <v>44156</v>
      </c>
      <c r="D905" s="2">
        <f>YEAR(Orders[[#This Row],[Order Date]])</f>
        <v>2020</v>
      </c>
      <c r="E905" s="2" t="s">
        <v>1959</v>
      </c>
      <c r="F905" t="s">
        <v>6142</v>
      </c>
      <c r="G905" s="20">
        <v>1</v>
      </c>
      <c r="H905" s="2" t="str">
        <f>INDEX(customers!$A$1:$I$1001,MATCH($E905,customers!$A$1:$A$1001,),MATCH($H$1,customers!$A$1:$I$1,0))</f>
        <v>Tani Taffarello</v>
      </c>
      <c r="I905" s="2" t="str">
        <f>IF(INDEX(customers!$A$1:$I$1001,MATCH($E905,customers!$A$1:$A$1001,0),3)=0,"",INDEX(customers!$A$1:$I$1001,MATCH($E905,customers!$A$1:$A$1001,0),3))</f>
        <v>ttaffarello78@sciencedaily.com</v>
      </c>
      <c r="J905" s="2" t="str">
        <f>_xlfn.XLOOKUP(E905,customers!$A$1:$A$1001,customers!$G$1:$G$1001)</f>
        <v>United States</v>
      </c>
      <c r="K905" t="str">
        <f>INDEX(products!$A$1:$G$49,MATCH($F905,products!$A$1:$A$49,0),MATCH(K$1,products!$A$1:$G$1,0))</f>
        <v>Rob</v>
      </c>
      <c r="L905" t="str">
        <f>INDEX(products!$A$1:$G$49,MATCH($F905,products!$A$1:$A$49,0),MATCH(L$1,products!$A$1:$G$1,0))</f>
        <v>L</v>
      </c>
      <c r="M905" s="5">
        <f>INDEX(products!$A$1:$G$49,MATCH($F905,products!$A$1:$A$49,0),MATCH(M$1,products!$A$1:$G$1,0))</f>
        <v>2.5</v>
      </c>
      <c r="N905" s="7">
        <f>INDEX(products!$A$1:$G$49,MATCH($F905,products!$A$1:$A$49,0),MATCH(N$1,products!$A$1:$G$1,0))</f>
        <v>27.484999999999996</v>
      </c>
      <c r="O905" s="7">
        <f t="shared" si="14"/>
        <v>27.484999999999996</v>
      </c>
      <c r="P905" t="str" cm="1">
        <f t="array" ref="P905">_xlfn.IFS(K905="Rob","Robusta",K905="Exc","Excelsa",K905="Ara","Arabica",K905="Lib","Liberica")</f>
        <v>Robusta</v>
      </c>
      <c r="Q905" t="str" cm="1">
        <f t="array" ref="Q905">_xlfn.IFS(L905="M","Medium",L905="L","Light",L905="D","Dark")</f>
        <v>Light</v>
      </c>
      <c r="R905" t="str">
        <f>_xlfn.XLOOKUP(Orders[[#This Row],[Customer ID]],customers!$A$1:$A$1001,customers!$I$1:$I$1001)</f>
        <v>Yes</v>
      </c>
    </row>
    <row r="906" spans="1:18" x14ac:dyDescent="0.35">
      <c r="A906" s="2" t="s">
        <v>2769</v>
      </c>
      <c r="B906" s="4">
        <v>43971</v>
      </c>
      <c r="C906" s="23">
        <f>Orders[[#This Row],[Order Date]]</f>
        <v>43971</v>
      </c>
      <c r="D906" s="2">
        <f>YEAR(Orders[[#This Row],[Order Date]])</f>
        <v>2020</v>
      </c>
      <c r="E906" s="2" t="s">
        <v>2770</v>
      </c>
      <c r="F906" t="s">
        <v>6147</v>
      </c>
      <c r="G906" s="20">
        <v>4</v>
      </c>
      <c r="H906" s="2" t="str">
        <f>INDEX(customers!$A$1:$I$1001,MATCH($E906,customers!$A$1:$A$1001,),MATCH($H$1,customers!$A$1:$I$1,0))</f>
        <v>Tania Craggs</v>
      </c>
      <c r="I906" s="2" t="str">
        <f>IF(INDEX(customers!$A$1:$I$1001,MATCH($E906,customers!$A$1:$A$1001,0),3)=0,"",INDEX(customers!$A$1:$I$1001,MATCH($E906,customers!$A$1:$A$1001,0),3))</f>
        <v>tcraggsb8@house.gov</v>
      </c>
      <c r="J906" s="2" t="str">
        <f>_xlfn.XLOOKUP(E906,customers!$A$1:$A$1001,customers!$G$1:$G$1001)</f>
        <v>Ireland</v>
      </c>
      <c r="K906" t="str">
        <f>INDEX(products!$A$1:$G$49,MATCH($F906,products!$A$1:$A$49,0),MATCH(K$1,products!$A$1:$G$1,0))</f>
        <v>Ara</v>
      </c>
      <c r="L906" t="str">
        <f>INDEX(products!$A$1:$G$49,MATCH($F906,products!$A$1:$A$49,0),MATCH(L$1,products!$A$1:$G$1,0))</f>
        <v>D</v>
      </c>
      <c r="M906" s="5">
        <f>INDEX(products!$A$1:$G$49,MATCH($F906,products!$A$1:$A$49,0),MATCH(M$1,products!$A$1:$G$1,0))</f>
        <v>1</v>
      </c>
      <c r="N906" s="7">
        <f>INDEX(products!$A$1:$G$49,MATCH($F906,products!$A$1:$A$49,0),MATCH(N$1,products!$A$1:$G$1,0))</f>
        <v>9.9499999999999993</v>
      </c>
      <c r="O906" s="7">
        <f t="shared" si="14"/>
        <v>39.799999999999997</v>
      </c>
      <c r="P906" t="str" cm="1">
        <f t="array" ref="P906">_xlfn.IFS(K906="Rob","Robusta",K906="Exc","Excelsa",K906="Ara","Arabica",K906="Lib","Liberica")</f>
        <v>Arabica</v>
      </c>
      <c r="Q906" t="str" cm="1">
        <f t="array" ref="Q906">_xlfn.IFS(L906="M","Medium",L906="L","Light",L906="D","Dark")</f>
        <v>Dark</v>
      </c>
      <c r="R906" t="str">
        <f>_xlfn.XLOOKUP(Orders[[#This Row],[Customer ID]],customers!$A$1:$A$1001,customers!$I$1:$I$1001)</f>
        <v>No</v>
      </c>
    </row>
    <row r="907" spans="1:18" x14ac:dyDescent="0.35">
      <c r="A907" s="2" t="s">
        <v>5620</v>
      </c>
      <c r="B907" s="4">
        <v>44449</v>
      </c>
      <c r="C907" s="23">
        <f>Orders[[#This Row],[Order Date]]</f>
        <v>44449</v>
      </c>
      <c r="D907" s="2">
        <f>YEAR(Orders[[#This Row],[Order Date]])</f>
        <v>2021</v>
      </c>
      <c r="E907" s="2" t="s">
        <v>5621</v>
      </c>
      <c r="F907" t="s">
        <v>6143</v>
      </c>
      <c r="G907" s="20">
        <v>3</v>
      </c>
      <c r="H907" s="2" t="str">
        <f>INDEX(customers!$A$1:$I$1001,MATCH($E907,customers!$A$1:$A$1001,),MATCH($H$1,customers!$A$1:$I$1,0))</f>
        <v>Tawnya Menary</v>
      </c>
      <c r="I907" s="2" t="str">
        <f>IF(INDEX(customers!$A$1:$I$1001,MATCH($E907,customers!$A$1:$A$1001,0),3)=0,"",INDEX(customers!$A$1:$I$1001,MATCH($E907,customers!$A$1:$A$1001,0),3))</f>
        <v>tmenaryp7@phoca.cz</v>
      </c>
      <c r="J907" s="2" t="str">
        <f>_xlfn.XLOOKUP(E907,customers!$A$1:$A$1001,customers!$G$1:$G$1001)</f>
        <v>United States</v>
      </c>
      <c r="K907" t="str">
        <f>INDEX(products!$A$1:$G$49,MATCH($F907,products!$A$1:$A$49,0),MATCH(K$1,products!$A$1:$G$1,0))</f>
        <v>Lib</v>
      </c>
      <c r="L907" t="str">
        <f>INDEX(products!$A$1:$G$49,MATCH($F907,products!$A$1:$A$49,0),MATCH(L$1,products!$A$1:$G$1,0))</f>
        <v>D</v>
      </c>
      <c r="M907" s="5">
        <f>INDEX(products!$A$1:$G$49,MATCH($F907,products!$A$1:$A$49,0),MATCH(M$1,products!$A$1:$G$1,0))</f>
        <v>1</v>
      </c>
      <c r="N907" s="7">
        <f>INDEX(products!$A$1:$G$49,MATCH($F907,products!$A$1:$A$49,0),MATCH(N$1,products!$A$1:$G$1,0))</f>
        <v>12.95</v>
      </c>
      <c r="O907" s="7">
        <f t="shared" si="14"/>
        <v>38.849999999999994</v>
      </c>
      <c r="P907" t="str" cm="1">
        <f t="array" ref="P907">_xlfn.IFS(K907="Rob","Robusta",K907="Exc","Excelsa",K907="Ara","Arabica",K907="Lib","Liberica")</f>
        <v>Liberica</v>
      </c>
      <c r="Q907" t="str" cm="1">
        <f t="array" ref="Q907">_xlfn.IFS(L907="M","Medium",L907="L","Light",L907="D","Dark")</f>
        <v>Dark</v>
      </c>
      <c r="R907" t="str">
        <f>_xlfn.XLOOKUP(Orders[[#This Row],[Customer ID]],customers!$A$1:$A$1001,customers!$I$1:$I$1001)</f>
        <v>No</v>
      </c>
    </row>
    <row r="908" spans="1:18" x14ac:dyDescent="0.35">
      <c r="A908" s="2" t="s">
        <v>2044</v>
      </c>
      <c r="B908" s="4">
        <v>44725</v>
      </c>
      <c r="C908" s="23">
        <f>Orders[[#This Row],[Order Date]]</f>
        <v>44725</v>
      </c>
      <c r="D908" s="2">
        <f>YEAR(Orders[[#This Row],[Order Date]])</f>
        <v>2022</v>
      </c>
      <c r="E908" s="2" t="s">
        <v>2045</v>
      </c>
      <c r="F908" t="s">
        <v>6148</v>
      </c>
      <c r="G908" s="20">
        <v>6</v>
      </c>
      <c r="H908" s="2" t="str">
        <f>INDEX(customers!$A$1:$I$1001,MATCH($E908,customers!$A$1:$A$1001,),MATCH($H$1,customers!$A$1:$I$1,0))</f>
        <v>Teddi Crowthe</v>
      </c>
      <c r="I908" s="2" t="str">
        <f>IF(INDEX(customers!$A$1:$I$1001,MATCH($E908,customers!$A$1:$A$1001,0),3)=0,"",INDEX(customers!$A$1:$I$1001,MATCH($E908,customers!$A$1:$A$1001,0),3))</f>
        <v>tcrowthe7n@europa.eu</v>
      </c>
      <c r="J908" s="2" t="str">
        <f>_xlfn.XLOOKUP(E908,customers!$A$1:$A$1001,customers!$G$1:$G$1001)</f>
        <v>United States</v>
      </c>
      <c r="K908" t="str">
        <f>INDEX(products!$A$1:$G$49,MATCH($F908,products!$A$1:$A$49,0),MATCH(K$1,products!$A$1:$G$1,0))</f>
        <v>Exc</v>
      </c>
      <c r="L908" t="str">
        <f>INDEX(products!$A$1:$G$49,MATCH($F908,products!$A$1:$A$49,0),MATCH(L$1,products!$A$1:$G$1,0))</f>
        <v>L</v>
      </c>
      <c r="M908" s="5">
        <f>INDEX(products!$A$1:$G$49,MATCH($F908,products!$A$1:$A$49,0),MATCH(M$1,products!$A$1:$G$1,0))</f>
        <v>2.5</v>
      </c>
      <c r="N908" s="7">
        <f>INDEX(products!$A$1:$G$49,MATCH($F908,products!$A$1:$A$49,0),MATCH(N$1,products!$A$1:$G$1,0))</f>
        <v>34.154999999999994</v>
      </c>
      <c r="O908" s="7">
        <f t="shared" si="14"/>
        <v>204.92999999999995</v>
      </c>
      <c r="P908" t="str" cm="1">
        <f t="array" ref="P908">_xlfn.IFS(K908="Rob","Robusta",K908="Exc","Excelsa",K908="Ara","Arabica",K908="Lib","Liberica")</f>
        <v>Excelsa</v>
      </c>
      <c r="Q908" t="str" cm="1">
        <f t="array" ref="Q908">_xlfn.IFS(L908="M","Medium",L908="L","Light",L908="D","Dark")</f>
        <v>Light</v>
      </c>
      <c r="R908" t="str">
        <f>_xlfn.XLOOKUP(Orders[[#This Row],[Customer ID]],customers!$A$1:$A$1001,customers!$I$1:$I$1001)</f>
        <v>No</v>
      </c>
    </row>
    <row r="909" spans="1:18" x14ac:dyDescent="0.35">
      <c r="A909" s="2" t="s">
        <v>4711</v>
      </c>
      <c r="B909" s="4">
        <v>43501</v>
      </c>
      <c r="C909" s="23">
        <f>Orders[[#This Row],[Order Date]]</f>
        <v>43501</v>
      </c>
      <c r="D909" s="2">
        <f>YEAR(Orders[[#This Row],[Order Date]])</f>
        <v>2019</v>
      </c>
      <c r="E909" s="2" t="s">
        <v>4712</v>
      </c>
      <c r="F909" t="s">
        <v>6160</v>
      </c>
      <c r="G909" s="20">
        <v>4</v>
      </c>
      <c r="H909" s="2" t="str">
        <f>INDEX(customers!$A$1:$I$1001,MATCH($E909,customers!$A$1:$A$1001,),MATCH($H$1,customers!$A$1:$I$1,0))</f>
        <v>Teddi Quadri</v>
      </c>
      <c r="I909" s="2" t="str">
        <f>IF(INDEX(customers!$A$1:$I$1001,MATCH($E909,customers!$A$1:$A$1001,0),3)=0,"",INDEX(customers!$A$1:$I$1001,MATCH($E909,customers!$A$1:$A$1001,0),3))</f>
        <v>tquadrikr@opensource.org</v>
      </c>
      <c r="J909" s="2" t="str">
        <f>_xlfn.XLOOKUP(E909,customers!$A$1:$A$1001,customers!$G$1:$G$1001)</f>
        <v>Ireland</v>
      </c>
      <c r="K909" t="str">
        <f>INDEX(products!$A$1:$G$49,MATCH($F909,products!$A$1:$A$49,0),MATCH(K$1,products!$A$1:$G$1,0))</f>
        <v>Lib</v>
      </c>
      <c r="L909" t="str">
        <f>INDEX(products!$A$1:$G$49,MATCH($F909,products!$A$1:$A$49,0),MATCH(L$1,products!$A$1:$G$1,0))</f>
        <v>M</v>
      </c>
      <c r="M909" s="5">
        <f>INDEX(products!$A$1:$G$49,MATCH($F909,products!$A$1:$A$49,0),MATCH(M$1,products!$A$1:$G$1,0))</f>
        <v>0.5</v>
      </c>
      <c r="N909" s="7">
        <f>INDEX(products!$A$1:$G$49,MATCH($F909,products!$A$1:$A$49,0),MATCH(N$1,products!$A$1:$G$1,0))</f>
        <v>8.73</v>
      </c>
      <c r="O909" s="7">
        <f t="shared" si="14"/>
        <v>34.92</v>
      </c>
      <c r="P909" t="str" cm="1">
        <f t="array" ref="P909">_xlfn.IFS(K909="Rob","Robusta",K909="Exc","Excelsa",K909="Ara","Arabica",K909="Lib","Liberica")</f>
        <v>Liberica</v>
      </c>
      <c r="Q909" t="str" cm="1">
        <f t="array" ref="Q909">_xlfn.IFS(L909="M","Medium",L909="L","Light",L909="D","Dark")</f>
        <v>Medium</v>
      </c>
      <c r="R909" t="str">
        <f>_xlfn.XLOOKUP(Orders[[#This Row],[Customer ID]],customers!$A$1:$A$1001,customers!$I$1:$I$1001)</f>
        <v>Yes</v>
      </c>
    </row>
    <row r="910" spans="1:18" x14ac:dyDescent="0.35">
      <c r="A910" s="2" t="s">
        <v>3939</v>
      </c>
      <c r="B910" s="4">
        <v>43739</v>
      </c>
      <c r="C910" s="23">
        <f>Orders[[#This Row],[Order Date]]</f>
        <v>43739</v>
      </c>
      <c r="D910" s="2">
        <f>YEAR(Orders[[#This Row],[Order Date]])</f>
        <v>2019</v>
      </c>
      <c r="E910" s="2" t="s">
        <v>3940</v>
      </c>
      <c r="F910" t="s">
        <v>6148</v>
      </c>
      <c r="G910" s="20">
        <v>2</v>
      </c>
      <c r="H910" s="2" t="str">
        <f>INDEX(customers!$A$1:$I$1001,MATCH($E910,customers!$A$1:$A$1001,),MATCH($H$1,customers!$A$1:$I$1,0))</f>
        <v>Temple Castiglione</v>
      </c>
      <c r="I910" s="2" t="str">
        <f>IF(INDEX(customers!$A$1:$I$1001,MATCH($E910,customers!$A$1:$A$1001,0),3)=0,"",INDEX(customers!$A$1:$I$1001,MATCH($E910,customers!$A$1:$A$1001,0),3))</f>
        <v>tcastiglionegz@xing.com</v>
      </c>
      <c r="J910" s="2" t="str">
        <f>_xlfn.XLOOKUP(E910,customers!$A$1:$A$1001,customers!$G$1:$G$1001)</f>
        <v>United States</v>
      </c>
      <c r="K910" t="str">
        <f>INDEX(products!$A$1:$G$49,MATCH($F910,products!$A$1:$A$49,0),MATCH(K$1,products!$A$1:$G$1,0))</f>
        <v>Exc</v>
      </c>
      <c r="L910" t="str">
        <f>INDEX(products!$A$1:$G$49,MATCH($F910,products!$A$1:$A$49,0),MATCH(L$1,products!$A$1:$G$1,0))</f>
        <v>L</v>
      </c>
      <c r="M910" s="5">
        <f>INDEX(products!$A$1:$G$49,MATCH($F910,products!$A$1:$A$49,0),MATCH(M$1,products!$A$1:$G$1,0))</f>
        <v>2.5</v>
      </c>
      <c r="N910" s="7">
        <f>INDEX(products!$A$1:$G$49,MATCH($F910,products!$A$1:$A$49,0),MATCH(N$1,products!$A$1:$G$1,0))</f>
        <v>34.154999999999994</v>
      </c>
      <c r="O910" s="7">
        <f t="shared" si="14"/>
        <v>68.309999999999988</v>
      </c>
      <c r="P910" t="str" cm="1">
        <f t="array" ref="P910">_xlfn.IFS(K910="Rob","Robusta",K910="Exc","Excelsa",K910="Ara","Arabica",K910="Lib","Liberica")</f>
        <v>Excelsa</v>
      </c>
      <c r="Q910" t="str" cm="1">
        <f t="array" ref="Q910">_xlfn.IFS(L910="M","Medium",L910="L","Light",L910="D","Dark")</f>
        <v>Light</v>
      </c>
      <c r="R910" t="str">
        <f>_xlfn.XLOOKUP(Orders[[#This Row],[Customer ID]],customers!$A$1:$A$1001,customers!$I$1:$I$1001)</f>
        <v>No</v>
      </c>
    </row>
    <row r="911" spans="1:18" x14ac:dyDescent="0.35">
      <c r="A911" s="2" t="s">
        <v>565</v>
      </c>
      <c r="B911" s="4">
        <v>43973</v>
      </c>
      <c r="C911" s="23">
        <f>Orders[[#This Row],[Order Date]]</f>
        <v>43973</v>
      </c>
      <c r="D911" s="2">
        <f>YEAR(Orders[[#This Row],[Order Date]])</f>
        <v>2020</v>
      </c>
      <c r="E911" s="2" t="s">
        <v>566</v>
      </c>
      <c r="F911" t="s">
        <v>6149</v>
      </c>
      <c r="G911" s="20">
        <v>2</v>
      </c>
      <c r="H911" s="2" t="str">
        <f>INDEX(customers!$A$1:$I$1001,MATCH($E911,customers!$A$1:$A$1001,),MATCH($H$1,customers!$A$1:$I$1,0))</f>
        <v>Terence Vanyutin</v>
      </c>
      <c r="I911" s="2" t="str">
        <f>IF(INDEX(customers!$A$1:$I$1001,MATCH($E911,customers!$A$1:$A$1001,0),3)=0,"",INDEX(customers!$A$1:$I$1001,MATCH($E911,customers!$A$1:$A$1001,0),3))</f>
        <v>tvanyutind@wix.com</v>
      </c>
      <c r="J911" s="2" t="str">
        <f>_xlfn.XLOOKUP(E911,customers!$A$1:$A$1001,customers!$G$1:$G$1001)</f>
        <v>United States</v>
      </c>
      <c r="K911" t="str">
        <f>INDEX(products!$A$1:$G$49,MATCH($F911,products!$A$1:$A$49,0),MATCH(K$1,products!$A$1:$G$1,0))</f>
        <v>Rob</v>
      </c>
      <c r="L911" t="str">
        <f>INDEX(products!$A$1:$G$49,MATCH($F911,products!$A$1:$A$49,0),MATCH(L$1,products!$A$1:$G$1,0))</f>
        <v>D</v>
      </c>
      <c r="M911" s="5">
        <f>INDEX(products!$A$1:$G$49,MATCH($F911,products!$A$1:$A$49,0),MATCH(M$1,products!$A$1:$G$1,0))</f>
        <v>2.5</v>
      </c>
      <c r="N911" s="7">
        <f>INDEX(products!$A$1:$G$49,MATCH($F911,products!$A$1:$A$49,0),MATCH(N$1,products!$A$1:$G$1,0))</f>
        <v>20.584999999999997</v>
      </c>
      <c r="O911" s="7">
        <f t="shared" si="14"/>
        <v>41.169999999999995</v>
      </c>
      <c r="P911" t="str" cm="1">
        <f t="array" ref="P911">_xlfn.IFS(K911="Rob","Robusta",K911="Exc","Excelsa",K911="Ara","Arabica",K911="Lib","Liberica")</f>
        <v>Robusta</v>
      </c>
      <c r="Q911" t="str" cm="1">
        <f t="array" ref="Q911">_xlfn.IFS(L911="M","Medium",L911="L","Light",L911="D","Dark")</f>
        <v>Dark</v>
      </c>
      <c r="R911" t="str">
        <f>_xlfn.XLOOKUP(Orders[[#This Row],[Customer ID]],customers!$A$1:$A$1001,customers!$I$1:$I$1001)</f>
        <v>No</v>
      </c>
    </row>
    <row r="912" spans="1:18" x14ac:dyDescent="0.35">
      <c r="A912" s="2" t="s">
        <v>2385</v>
      </c>
      <c r="B912" s="4">
        <v>44434</v>
      </c>
      <c r="C912" s="23">
        <f>Orders[[#This Row],[Order Date]]</f>
        <v>44434</v>
      </c>
      <c r="D912" s="2">
        <f>YEAR(Orders[[#This Row],[Order Date]])</f>
        <v>2021</v>
      </c>
      <c r="E912" s="2" t="s">
        <v>2386</v>
      </c>
      <c r="F912" t="s">
        <v>6155</v>
      </c>
      <c r="G912" s="20">
        <v>4</v>
      </c>
      <c r="H912" s="2" t="str">
        <f>INDEX(customers!$A$1:$I$1001,MATCH($E912,customers!$A$1:$A$1001,),MATCH($H$1,customers!$A$1:$I$1,0))</f>
        <v>Terencio O'Moylan</v>
      </c>
      <c r="I912" s="2" t="str">
        <f>IF(INDEX(customers!$A$1:$I$1001,MATCH($E912,customers!$A$1:$A$1001,0),3)=0,"",INDEX(customers!$A$1:$I$1001,MATCH($E912,customers!$A$1:$A$1001,0),3))</f>
        <v>tomoylan9c@liveinternet.ru</v>
      </c>
      <c r="J912" s="2" t="str">
        <f>_xlfn.XLOOKUP(E912,customers!$A$1:$A$1001,customers!$G$1:$G$1001)</f>
        <v>United Kingdom</v>
      </c>
      <c r="K912" t="str">
        <f>INDEX(products!$A$1:$G$49,MATCH($F912,products!$A$1:$A$49,0),MATCH(K$1,products!$A$1:$G$1,0))</f>
        <v>Ara</v>
      </c>
      <c r="L912" t="str">
        <f>INDEX(products!$A$1:$G$49,MATCH($F912,products!$A$1:$A$49,0),MATCH(L$1,products!$A$1:$G$1,0))</f>
        <v>M</v>
      </c>
      <c r="M912" s="5">
        <f>INDEX(products!$A$1:$G$49,MATCH($F912,products!$A$1:$A$49,0),MATCH(M$1,products!$A$1:$G$1,0))</f>
        <v>1</v>
      </c>
      <c r="N912" s="7">
        <f>INDEX(products!$A$1:$G$49,MATCH($F912,products!$A$1:$A$49,0),MATCH(N$1,products!$A$1:$G$1,0))</f>
        <v>11.25</v>
      </c>
      <c r="O912" s="7">
        <f t="shared" si="14"/>
        <v>45</v>
      </c>
      <c r="P912" t="str" cm="1">
        <f t="array" ref="P912">_xlfn.IFS(K912="Rob","Robusta",K912="Exc","Excelsa",K912="Ara","Arabica",K912="Lib","Liberica")</f>
        <v>Arabica</v>
      </c>
      <c r="Q912" t="str" cm="1">
        <f t="array" ref="Q912">_xlfn.IFS(L912="M","Medium",L912="L","Light",L912="D","Dark")</f>
        <v>Medium</v>
      </c>
      <c r="R912" t="str">
        <f>_xlfn.XLOOKUP(Orders[[#This Row],[Customer ID]],customers!$A$1:$A$1001,customers!$I$1:$I$1001)</f>
        <v>No</v>
      </c>
    </row>
    <row r="913" spans="1:18" x14ac:dyDescent="0.35">
      <c r="A913" s="2" t="s">
        <v>2905</v>
      </c>
      <c r="B913" s="4">
        <v>44367</v>
      </c>
      <c r="C913" s="23">
        <f>Orders[[#This Row],[Order Date]]</f>
        <v>44367</v>
      </c>
      <c r="D913" s="2">
        <f>YEAR(Orders[[#This Row],[Order Date]])</f>
        <v>2021</v>
      </c>
      <c r="E913" s="2" t="s">
        <v>2586</v>
      </c>
      <c r="F913" t="s">
        <v>6140</v>
      </c>
      <c r="G913" s="20">
        <v>6</v>
      </c>
      <c r="H913" s="2" t="str">
        <f>INDEX(customers!$A$1:$I$1001,MATCH($E913,customers!$A$1:$A$1001,),MATCH($H$1,customers!$A$1:$I$1,0))</f>
        <v>Terri Farra</v>
      </c>
      <c r="I913" s="2" t="str">
        <f>IF(INDEX(customers!$A$1:$I$1001,MATCH($E913,customers!$A$1:$A$1001,0),3)=0,"",INDEX(customers!$A$1:$I$1001,MATCH($E913,customers!$A$1:$A$1001,0),3))</f>
        <v>tfarraac@behance.net</v>
      </c>
      <c r="J913" s="2" t="str">
        <f>_xlfn.XLOOKUP(E913,customers!$A$1:$A$1001,customers!$G$1:$G$1001)</f>
        <v>United States</v>
      </c>
      <c r="K913" t="str">
        <f>INDEX(products!$A$1:$G$49,MATCH($F913,products!$A$1:$A$49,0),MATCH(K$1,products!$A$1:$G$1,0))</f>
        <v>Ara</v>
      </c>
      <c r="L913" t="str">
        <f>INDEX(products!$A$1:$G$49,MATCH($F913,products!$A$1:$A$49,0),MATCH(L$1,products!$A$1:$G$1,0))</f>
        <v>L</v>
      </c>
      <c r="M913" s="5">
        <f>INDEX(products!$A$1:$G$49,MATCH($F913,products!$A$1:$A$49,0),MATCH(M$1,products!$A$1:$G$1,0))</f>
        <v>1</v>
      </c>
      <c r="N913" s="7">
        <f>INDEX(products!$A$1:$G$49,MATCH($F913,products!$A$1:$A$49,0),MATCH(N$1,products!$A$1:$G$1,0))</f>
        <v>12.95</v>
      </c>
      <c r="O913" s="7">
        <f t="shared" si="14"/>
        <v>77.699999999999989</v>
      </c>
      <c r="P913" t="str" cm="1">
        <f t="array" ref="P913">_xlfn.IFS(K913="Rob","Robusta",K913="Exc","Excelsa",K913="Ara","Arabica",K913="Lib","Liberica")</f>
        <v>Arabica</v>
      </c>
      <c r="Q913" t="str" cm="1">
        <f t="array" ref="Q913">_xlfn.IFS(L913="M","Medium",L913="L","Light",L913="D","Dark")</f>
        <v>Light</v>
      </c>
      <c r="R913" t="str">
        <f>_xlfn.XLOOKUP(Orders[[#This Row],[Customer ID]],customers!$A$1:$A$1001,customers!$I$1:$I$1001)</f>
        <v>No</v>
      </c>
    </row>
    <row r="914" spans="1:18" x14ac:dyDescent="0.35">
      <c r="A914" s="2" t="s">
        <v>2585</v>
      </c>
      <c r="B914" s="4">
        <v>44108</v>
      </c>
      <c r="C914" s="23">
        <f>Orders[[#This Row],[Order Date]]</f>
        <v>44108</v>
      </c>
      <c r="D914" s="2">
        <f>YEAR(Orders[[#This Row],[Order Date]])</f>
        <v>2020</v>
      </c>
      <c r="E914" s="2" t="s">
        <v>2586</v>
      </c>
      <c r="F914" t="s">
        <v>6173</v>
      </c>
      <c r="G914" s="20">
        <v>6</v>
      </c>
      <c r="H914" s="2" t="str">
        <f>INDEX(customers!$A$1:$I$1001,MATCH($E914,customers!$A$1:$A$1001,),MATCH($H$1,customers!$A$1:$I$1,0))</f>
        <v>Terri Farra</v>
      </c>
      <c r="I914" s="2" t="str">
        <f>IF(INDEX(customers!$A$1:$I$1001,MATCH($E914,customers!$A$1:$A$1001,0),3)=0,"",INDEX(customers!$A$1:$I$1001,MATCH($E914,customers!$A$1:$A$1001,0),3))</f>
        <v>tfarraac@behance.net</v>
      </c>
      <c r="J914" s="2" t="str">
        <f>_xlfn.XLOOKUP(E914,customers!$A$1:$A$1001,customers!$G$1:$G$1001)</f>
        <v>United States</v>
      </c>
      <c r="K914" t="str">
        <f>INDEX(products!$A$1:$G$49,MATCH($F914,products!$A$1:$A$49,0),MATCH(K$1,products!$A$1:$G$1,0))</f>
        <v>Rob</v>
      </c>
      <c r="L914" t="str">
        <f>INDEX(products!$A$1:$G$49,MATCH($F914,products!$A$1:$A$49,0),MATCH(L$1,products!$A$1:$G$1,0))</f>
        <v>L</v>
      </c>
      <c r="M914" s="5">
        <f>INDEX(products!$A$1:$G$49,MATCH($F914,products!$A$1:$A$49,0),MATCH(M$1,products!$A$1:$G$1,0))</f>
        <v>0.5</v>
      </c>
      <c r="N914" s="7">
        <f>INDEX(products!$A$1:$G$49,MATCH($F914,products!$A$1:$A$49,0),MATCH(N$1,products!$A$1:$G$1,0))</f>
        <v>7.169999999999999</v>
      </c>
      <c r="O914" s="7">
        <f t="shared" si="14"/>
        <v>43.019999999999996</v>
      </c>
      <c r="P914" t="str" cm="1">
        <f t="array" ref="P914">_xlfn.IFS(K914="Rob","Robusta",K914="Exc","Excelsa",K914="Ara","Arabica",K914="Lib","Liberica")</f>
        <v>Robusta</v>
      </c>
      <c r="Q914" t="str" cm="1">
        <f t="array" ref="Q914">_xlfn.IFS(L914="M","Medium",L914="L","Light",L914="D","Dark")</f>
        <v>Light</v>
      </c>
      <c r="R914" t="str">
        <f>_xlfn.XLOOKUP(Orders[[#This Row],[Customer ID]],customers!$A$1:$A$1001,customers!$I$1:$I$1001)</f>
        <v>No</v>
      </c>
    </row>
    <row r="915" spans="1:18" x14ac:dyDescent="0.35">
      <c r="A915" s="2" t="s">
        <v>2855</v>
      </c>
      <c r="B915" s="4">
        <v>43866</v>
      </c>
      <c r="C915" s="23">
        <f>Orders[[#This Row],[Order Date]]</f>
        <v>43866</v>
      </c>
      <c r="D915" s="2">
        <f>YEAR(Orders[[#This Row],[Order Date]])</f>
        <v>2020</v>
      </c>
      <c r="E915" s="2" t="s">
        <v>2586</v>
      </c>
      <c r="F915" t="s">
        <v>6169</v>
      </c>
      <c r="G915" s="20">
        <v>4</v>
      </c>
      <c r="H915" s="2" t="str">
        <f>INDEX(customers!$A$1:$I$1001,MATCH($E915,customers!$A$1:$A$1001,),MATCH($H$1,customers!$A$1:$I$1,0))</f>
        <v>Terri Farra</v>
      </c>
      <c r="I915" s="2" t="str">
        <f>IF(INDEX(customers!$A$1:$I$1001,MATCH($E915,customers!$A$1:$A$1001,0),3)=0,"",INDEX(customers!$A$1:$I$1001,MATCH($E915,customers!$A$1:$A$1001,0),3))</f>
        <v>tfarraac@behance.net</v>
      </c>
      <c r="J915" s="2" t="str">
        <f>_xlfn.XLOOKUP(E915,customers!$A$1:$A$1001,customers!$G$1:$G$1001)</f>
        <v>United States</v>
      </c>
      <c r="K915" t="str">
        <f>INDEX(products!$A$1:$G$49,MATCH($F915,products!$A$1:$A$49,0),MATCH(K$1,products!$A$1:$G$1,0))</f>
        <v>Lib</v>
      </c>
      <c r="L915" t="str">
        <f>INDEX(products!$A$1:$G$49,MATCH($F915,products!$A$1:$A$49,0),MATCH(L$1,products!$A$1:$G$1,0))</f>
        <v>D</v>
      </c>
      <c r="M915" s="5">
        <f>INDEX(products!$A$1:$G$49,MATCH($F915,products!$A$1:$A$49,0),MATCH(M$1,products!$A$1:$G$1,0))</f>
        <v>0.5</v>
      </c>
      <c r="N915" s="7">
        <f>INDEX(products!$A$1:$G$49,MATCH($F915,products!$A$1:$A$49,0),MATCH(N$1,products!$A$1:$G$1,0))</f>
        <v>7.77</v>
      </c>
      <c r="O915" s="7">
        <f t="shared" si="14"/>
        <v>31.08</v>
      </c>
      <c r="P915" t="str" cm="1">
        <f t="array" ref="P915">_xlfn.IFS(K915="Rob","Robusta",K915="Exc","Excelsa",K915="Ara","Arabica",K915="Lib","Liberica")</f>
        <v>Liberica</v>
      </c>
      <c r="Q915" t="str" cm="1">
        <f t="array" ref="Q915">_xlfn.IFS(L915="M","Medium",L915="L","Light",L915="D","Dark")</f>
        <v>Dark</v>
      </c>
      <c r="R915" t="str">
        <f>_xlfn.XLOOKUP(Orders[[#This Row],[Customer ID]],customers!$A$1:$A$1001,customers!$I$1:$I$1001)</f>
        <v>No</v>
      </c>
    </row>
    <row r="916" spans="1:18" x14ac:dyDescent="0.35">
      <c r="A916" s="2" t="s">
        <v>2855</v>
      </c>
      <c r="B916" s="4">
        <v>43866</v>
      </c>
      <c r="C916" s="23">
        <f>Orders[[#This Row],[Order Date]]</f>
        <v>43866</v>
      </c>
      <c r="D916" s="2">
        <f>YEAR(Orders[[#This Row],[Order Date]])</f>
        <v>2020</v>
      </c>
      <c r="E916" s="2" t="s">
        <v>2586</v>
      </c>
      <c r="F916" t="s">
        <v>6168</v>
      </c>
      <c r="G916" s="20">
        <v>6</v>
      </c>
      <c r="H916" s="2" t="str">
        <f>INDEX(customers!$A$1:$I$1001,MATCH($E916,customers!$A$1:$A$1001,),MATCH($H$1,customers!$A$1:$I$1,0))</f>
        <v>Terri Farra</v>
      </c>
      <c r="I916" s="2" t="str">
        <f>IF(INDEX(customers!$A$1:$I$1001,MATCH($E916,customers!$A$1:$A$1001,0),3)=0,"",INDEX(customers!$A$1:$I$1001,MATCH($E916,customers!$A$1:$A$1001,0),3))</f>
        <v>tfarraac@behance.net</v>
      </c>
      <c r="J916" s="2" t="str">
        <f>_xlfn.XLOOKUP(E916,customers!$A$1:$A$1001,customers!$G$1:$G$1001)</f>
        <v>United States</v>
      </c>
      <c r="K916" t="str">
        <f>INDEX(products!$A$1:$G$49,MATCH($F916,products!$A$1:$A$49,0),MATCH(K$1,products!$A$1:$G$1,0))</f>
        <v>Ara</v>
      </c>
      <c r="L916" t="str">
        <f>INDEX(products!$A$1:$G$49,MATCH($F916,products!$A$1:$A$49,0),MATCH(L$1,products!$A$1:$G$1,0))</f>
        <v>D</v>
      </c>
      <c r="M916" s="5">
        <f>INDEX(products!$A$1:$G$49,MATCH($F916,products!$A$1:$A$49,0),MATCH(M$1,products!$A$1:$G$1,0))</f>
        <v>2.5</v>
      </c>
      <c r="N916" s="7">
        <f>INDEX(products!$A$1:$G$49,MATCH($F916,products!$A$1:$A$49,0),MATCH(N$1,products!$A$1:$G$1,0))</f>
        <v>22.884999999999998</v>
      </c>
      <c r="O916" s="7">
        <f t="shared" si="14"/>
        <v>137.31</v>
      </c>
      <c r="P916" t="str" cm="1">
        <f t="array" ref="P916">_xlfn.IFS(K916="Rob","Robusta",K916="Exc","Excelsa",K916="Ara","Arabica",K916="Lib","Liberica")</f>
        <v>Arabica</v>
      </c>
      <c r="Q916" t="str" cm="1">
        <f t="array" ref="Q916">_xlfn.IFS(L916="M","Medium",L916="L","Light",L916="D","Dark")</f>
        <v>Dark</v>
      </c>
      <c r="R916" t="str">
        <f>_xlfn.XLOOKUP(Orders[[#This Row],[Customer ID]],customers!$A$1:$A$1001,customers!$I$1:$I$1001)</f>
        <v>No</v>
      </c>
    </row>
    <row r="917" spans="1:18" x14ac:dyDescent="0.35">
      <c r="A917" s="2" t="s">
        <v>4303</v>
      </c>
      <c r="B917" s="4">
        <v>44263</v>
      </c>
      <c r="C917" s="23">
        <f>Orders[[#This Row],[Order Date]]</f>
        <v>44263</v>
      </c>
      <c r="D917" s="2">
        <f>YEAR(Orders[[#This Row],[Order Date]])</f>
        <v>2021</v>
      </c>
      <c r="E917" s="2" t="s">
        <v>4304</v>
      </c>
      <c r="F917" t="s">
        <v>6165</v>
      </c>
      <c r="G917" s="20">
        <v>4</v>
      </c>
      <c r="H917" s="2" t="str">
        <f>INDEX(customers!$A$1:$I$1001,MATCH($E917,customers!$A$1:$A$1001,),MATCH($H$1,customers!$A$1:$I$1,0))</f>
        <v>Terri Lyford</v>
      </c>
      <c r="I917" s="2" t="str">
        <f>IF(INDEX(customers!$A$1:$I$1001,MATCH($E917,customers!$A$1:$A$1001,0),3)=0,"",INDEX(customers!$A$1:$I$1001,MATCH($E917,customers!$A$1:$A$1001,0),3))</f>
        <v/>
      </c>
      <c r="J917" s="2" t="str">
        <f>_xlfn.XLOOKUP(E917,customers!$A$1:$A$1001,customers!$G$1:$G$1001)</f>
        <v>United States</v>
      </c>
      <c r="K917" t="str">
        <f>INDEX(products!$A$1:$G$49,MATCH($F917,products!$A$1:$A$49,0),MATCH(K$1,products!$A$1:$G$1,0))</f>
        <v>Lib</v>
      </c>
      <c r="L917" t="str">
        <f>INDEX(products!$A$1:$G$49,MATCH($F917,products!$A$1:$A$49,0),MATCH(L$1,products!$A$1:$G$1,0))</f>
        <v>D</v>
      </c>
      <c r="M917" s="5">
        <f>INDEX(products!$A$1:$G$49,MATCH($F917,products!$A$1:$A$49,0),MATCH(M$1,products!$A$1:$G$1,0))</f>
        <v>2.5</v>
      </c>
      <c r="N917" s="7">
        <f>INDEX(products!$A$1:$G$49,MATCH($F917,products!$A$1:$A$49,0),MATCH(N$1,products!$A$1:$G$1,0))</f>
        <v>29.784999999999997</v>
      </c>
      <c r="O917" s="7">
        <f t="shared" si="14"/>
        <v>119.13999999999999</v>
      </c>
      <c r="P917" t="str" cm="1">
        <f t="array" ref="P917">_xlfn.IFS(K917="Rob","Robusta",K917="Exc","Excelsa",K917="Ara","Arabica",K917="Lib","Liberica")</f>
        <v>Liberica</v>
      </c>
      <c r="Q917" t="str" cm="1">
        <f t="array" ref="Q917">_xlfn.IFS(L917="M","Medium",L917="L","Light",L917="D","Dark")</f>
        <v>Dark</v>
      </c>
      <c r="R917" t="str">
        <f>_xlfn.XLOOKUP(Orders[[#This Row],[Customer ID]],customers!$A$1:$A$1001,customers!$I$1:$I$1001)</f>
        <v>Yes</v>
      </c>
    </row>
    <row r="918" spans="1:18" x14ac:dyDescent="0.35">
      <c r="A918" s="2" t="s">
        <v>1100</v>
      </c>
      <c r="B918" s="4">
        <v>43811</v>
      </c>
      <c r="C918" s="23">
        <f>Orders[[#This Row],[Order Date]]</f>
        <v>43811</v>
      </c>
      <c r="D918" s="2">
        <f>YEAR(Orders[[#This Row],[Order Date]])</f>
        <v>2019</v>
      </c>
      <c r="E918" s="2" t="s">
        <v>1101</v>
      </c>
      <c r="F918" t="s">
        <v>6169</v>
      </c>
      <c r="G918" s="20">
        <v>1</v>
      </c>
      <c r="H918" s="2" t="str">
        <f>INDEX(customers!$A$1:$I$1001,MATCH($E918,customers!$A$1:$A$1001,),MATCH($H$1,customers!$A$1:$I$1,0))</f>
        <v>Terry Sheryn</v>
      </c>
      <c r="I918" s="2" t="str">
        <f>IF(INDEX(customers!$A$1:$I$1001,MATCH($E918,customers!$A$1:$A$1001,0),3)=0,"",INDEX(customers!$A$1:$I$1001,MATCH($E918,customers!$A$1:$A$1001,0),3))</f>
        <v>tsheryn31@mtv.com</v>
      </c>
      <c r="J918" s="2" t="str">
        <f>_xlfn.XLOOKUP(E918,customers!$A$1:$A$1001,customers!$G$1:$G$1001)</f>
        <v>United States</v>
      </c>
      <c r="K918" t="str">
        <f>INDEX(products!$A$1:$G$49,MATCH($F918,products!$A$1:$A$49,0),MATCH(K$1,products!$A$1:$G$1,0))</f>
        <v>Lib</v>
      </c>
      <c r="L918" t="str">
        <f>INDEX(products!$A$1:$G$49,MATCH($F918,products!$A$1:$A$49,0),MATCH(L$1,products!$A$1:$G$1,0))</f>
        <v>D</v>
      </c>
      <c r="M918" s="5">
        <f>INDEX(products!$A$1:$G$49,MATCH($F918,products!$A$1:$A$49,0),MATCH(M$1,products!$A$1:$G$1,0))</f>
        <v>0.5</v>
      </c>
      <c r="N918" s="7">
        <f>INDEX(products!$A$1:$G$49,MATCH($F918,products!$A$1:$A$49,0),MATCH(N$1,products!$A$1:$G$1,0))</f>
        <v>7.77</v>
      </c>
      <c r="O918" s="7">
        <f t="shared" si="14"/>
        <v>7.77</v>
      </c>
      <c r="P918" t="str" cm="1">
        <f t="array" ref="P918">_xlfn.IFS(K918="Rob","Robusta",K918="Exc","Excelsa",K918="Ara","Arabica",K918="Lib","Liberica")</f>
        <v>Liberica</v>
      </c>
      <c r="Q918" t="str" cm="1">
        <f t="array" ref="Q918">_xlfn.IFS(L918="M","Medium",L918="L","Light",L918="D","Dark")</f>
        <v>Dark</v>
      </c>
      <c r="R918" t="str">
        <f>_xlfn.XLOOKUP(Orders[[#This Row],[Customer ID]],customers!$A$1:$A$1001,customers!$I$1:$I$1001)</f>
        <v>Yes</v>
      </c>
    </row>
    <row r="919" spans="1:18" x14ac:dyDescent="0.35">
      <c r="A919" s="2" t="s">
        <v>4688</v>
      </c>
      <c r="B919" s="4">
        <v>44042</v>
      </c>
      <c r="C919" s="23">
        <f>Orders[[#This Row],[Order Date]]</f>
        <v>44042</v>
      </c>
      <c r="D919" s="2">
        <f>YEAR(Orders[[#This Row],[Order Date]])</f>
        <v>2020</v>
      </c>
      <c r="E919" s="2" t="s">
        <v>4689</v>
      </c>
      <c r="F919" t="s">
        <v>6158</v>
      </c>
      <c r="G919" s="20">
        <v>3</v>
      </c>
      <c r="H919" s="2" t="str">
        <f>INDEX(customers!$A$1:$I$1001,MATCH($E919,customers!$A$1:$A$1001,),MATCH($H$1,customers!$A$1:$I$1,0))</f>
        <v>Tersina Castagne</v>
      </c>
      <c r="I919" s="2" t="str">
        <f>IF(INDEX(customers!$A$1:$I$1001,MATCH($E919,customers!$A$1:$A$1001,0),3)=0,"",INDEX(customers!$A$1:$I$1001,MATCH($E919,customers!$A$1:$A$1001,0),3))</f>
        <v>tcastagnekn@wikia.com</v>
      </c>
      <c r="J919" s="2" t="str">
        <f>_xlfn.XLOOKUP(E919,customers!$A$1:$A$1001,customers!$G$1:$G$1001)</f>
        <v>United States</v>
      </c>
      <c r="K919" t="str">
        <f>INDEX(products!$A$1:$G$49,MATCH($F919,products!$A$1:$A$49,0),MATCH(K$1,products!$A$1:$G$1,0))</f>
        <v>Ara</v>
      </c>
      <c r="L919" t="str">
        <f>INDEX(products!$A$1:$G$49,MATCH($F919,products!$A$1:$A$49,0),MATCH(L$1,products!$A$1:$G$1,0))</f>
        <v>D</v>
      </c>
      <c r="M919" s="5">
        <f>INDEX(products!$A$1:$G$49,MATCH($F919,products!$A$1:$A$49,0),MATCH(M$1,products!$A$1:$G$1,0))</f>
        <v>0.5</v>
      </c>
      <c r="N919" s="7">
        <f>INDEX(products!$A$1:$G$49,MATCH($F919,products!$A$1:$A$49,0),MATCH(N$1,products!$A$1:$G$1,0))</f>
        <v>5.97</v>
      </c>
      <c r="O919" s="7">
        <f t="shared" si="14"/>
        <v>17.91</v>
      </c>
      <c r="P919" t="str" cm="1">
        <f t="array" ref="P919">_xlfn.IFS(K919="Rob","Robusta",K919="Exc","Excelsa",K919="Ara","Arabica",K919="Lib","Liberica")</f>
        <v>Arabica</v>
      </c>
      <c r="Q919" t="str" cm="1">
        <f t="array" ref="Q919">_xlfn.IFS(L919="M","Medium",L919="L","Light",L919="D","Dark")</f>
        <v>Dark</v>
      </c>
      <c r="R919" t="str">
        <f>_xlfn.XLOOKUP(Orders[[#This Row],[Customer ID]],customers!$A$1:$A$1001,customers!$I$1:$I$1001)</f>
        <v>No</v>
      </c>
    </row>
    <row r="920" spans="1:18" x14ac:dyDescent="0.35">
      <c r="A920" s="2" t="s">
        <v>5141</v>
      </c>
      <c r="B920" s="4">
        <v>44134</v>
      </c>
      <c r="C920" s="23">
        <f>Orders[[#This Row],[Order Date]]</f>
        <v>44134</v>
      </c>
      <c r="D920" s="2">
        <f>YEAR(Orders[[#This Row],[Order Date]])</f>
        <v>2020</v>
      </c>
      <c r="E920" s="2" t="s">
        <v>5142</v>
      </c>
      <c r="F920" t="s">
        <v>6170</v>
      </c>
      <c r="G920" s="20">
        <v>3</v>
      </c>
      <c r="H920" s="2" t="str">
        <f>INDEX(customers!$A$1:$I$1001,MATCH($E920,customers!$A$1:$A$1001,),MATCH($H$1,customers!$A$1:$I$1,0))</f>
        <v>Tess Benediktovich</v>
      </c>
      <c r="I920" s="2" t="str">
        <f>IF(INDEX(customers!$A$1:$I$1001,MATCH($E920,customers!$A$1:$A$1001,0),3)=0,"",INDEX(customers!$A$1:$I$1001,MATCH($E920,customers!$A$1:$A$1001,0),3))</f>
        <v>tbenediktovichmv@ebay.com</v>
      </c>
      <c r="J920" s="2" t="str">
        <f>_xlfn.XLOOKUP(E920,customers!$A$1:$A$1001,customers!$G$1:$G$1001)</f>
        <v>United States</v>
      </c>
      <c r="K920" t="str">
        <f>INDEX(products!$A$1:$G$49,MATCH($F920,products!$A$1:$A$49,0),MATCH(K$1,products!$A$1:$G$1,0))</f>
        <v>Lib</v>
      </c>
      <c r="L920" t="str">
        <f>INDEX(products!$A$1:$G$49,MATCH($F920,products!$A$1:$A$49,0),MATCH(L$1,products!$A$1:$G$1,0))</f>
        <v>L</v>
      </c>
      <c r="M920" s="5">
        <f>INDEX(products!$A$1:$G$49,MATCH($F920,products!$A$1:$A$49,0),MATCH(M$1,products!$A$1:$G$1,0))</f>
        <v>1</v>
      </c>
      <c r="N920" s="7">
        <f>INDEX(products!$A$1:$G$49,MATCH($F920,products!$A$1:$A$49,0),MATCH(N$1,products!$A$1:$G$1,0))</f>
        <v>15.85</v>
      </c>
      <c r="O920" s="7">
        <f t="shared" si="14"/>
        <v>47.55</v>
      </c>
      <c r="P920" t="str" cm="1">
        <f t="array" ref="P920">_xlfn.IFS(K920="Rob","Robusta",K920="Exc","Excelsa",K920="Ara","Arabica",K920="Lib","Liberica")</f>
        <v>Liberica</v>
      </c>
      <c r="Q920" t="str" cm="1">
        <f t="array" ref="Q920">_xlfn.IFS(L920="M","Medium",L920="L","Light",L920="D","Dark")</f>
        <v>Light</v>
      </c>
      <c r="R920" t="str">
        <f>_xlfn.XLOOKUP(Orders[[#This Row],[Customer ID]],customers!$A$1:$A$1001,customers!$I$1:$I$1001)</f>
        <v>Yes</v>
      </c>
    </row>
    <row r="921" spans="1:18" x14ac:dyDescent="0.35">
      <c r="A921" s="2" t="s">
        <v>2285</v>
      </c>
      <c r="B921" s="4">
        <v>44563</v>
      </c>
      <c r="C921" s="23">
        <f>Orders[[#This Row],[Order Date]]</f>
        <v>44563</v>
      </c>
      <c r="D921" s="2">
        <f>YEAR(Orders[[#This Row],[Order Date]])</f>
        <v>2022</v>
      </c>
      <c r="E921" s="2" t="s">
        <v>2286</v>
      </c>
      <c r="F921" t="s">
        <v>6175</v>
      </c>
      <c r="G921" s="20">
        <v>2</v>
      </c>
      <c r="H921" s="2" t="str">
        <f>INDEX(customers!$A$1:$I$1001,MATCH($E921,customers!$A$1:$A$1001,),MATCH($H$1,customers!$A$1:$I$1,0))</f>
        <v>Tess Bennison</v>
      </c>
      <c r="I921" s="2" t="str">
        <f>IF(INDEX(customers!$A$1:$I$1001,MATCH($E921,customers!$A$1:$A$1001,0),3)=0,"",INDEX(customers!$A$1:$I$1001,MATCH($E921,customers!$A$1:$A$1001,0),3))</f>
        <v>tbennison8u@google.cn</v>
      </c>
      <c r="J921" s="2" t="str">
        <f>_xlfn.XLOOKUP(E921,customers!$A$1:$A$1001,customers!$G$1:$G$1001)</f>
        <v>United States</v>
      </c>
      <c r="K921" t="str">
        <f>INDEX(products!$A$1:$G$49,MATCH($F921,products!$A$1:$A$49,0),MATCH(K$1,products!$A$1:$G$1,0))</f>
        <v>Ara</v>
      </c>
      <c r="L921" t="str">
        <f>INDEX(products!$A$1:$G$49,MATCH($F921,products!$A$1:$A$49,0),MATCH(L$1,products!$A$1:$G$1,0))</f>
        <v>M</v>
      </c>
      <c r="M921" s="5">
        <f>INDEX(products!$A$1:$G$49,MATCH($F921,products!$A$1:$A$49,0),MATCH(M$1,products!$A$1:$G$1,0))</f>
        <v>2.5</v>
      </c>
      <c r="N921" s="7">
        <f>INDEX(products!$A$1:$G$49,MATCH($F921,products!$A$1:$A$49,0),MATCH(N$1,products!$A$1:$G$1,0))</f>
        <v>25.874999999999996</v>
      </c>
      <c r="O921" s="7">
        <f t="shared" si="14"/>
        <v>51.749999999999993</v>
      </c>
      <c r="P921" t="str" cm="1">
        <f t="array" ref="P921">_xlfn.IFS(K921="Rob","Robusta",K921="Exc","Excelsa",K921="Ara","Arabica",K921="Lib","Liberica")</f>
        <v>Arabica</v>
      </c>
      <c r="Q921" t="str" cm="1">
        <f t="array" ref="Q921">_xlfn.IFS(L921="M","Medium",L921="L","Light",L921="D","Dark")</f>
        <v>Medium</v>
      </c>
      <c r="R921" t="str">
        <f>_xlfn.XLOOKUP(Orders[[#This Row],[Customer ID]],customers!$A$1:$A$1001,customers!$I$1:$I$1001)</f>
        <v>Yes</v>
      </c>
    </row>
    <row r="922" spans="1:18" x14ac:dyDescent="0.35">
      <c r="A922" s="2" t="s">
        <v>805</v>
      </c>
      <c r="B922" s="4">
        <v>43857</v>
      </c>
      <c r="C922" s="23">
        <f>Orders[[#This Row],[Order Date]]</f>
        <v>43857</v>
      </c>
      <c r="D922" s="2">
        <f>YEAR(Orders[[#This Row],[Order Date]])</f>
        <v>2020</v>
      </c>
      <c r="E922" s="2" t="s">
        <v>806</v>
      </c>
      <c r="F922" t="s">
        <v>6153</v>
      </c>
      <c r="G922" s="20">
        <v>3</v>
      </c>
      <c r="H922" s="2" t="str">
        <f>INDEX(customers!$A$1:$I$1001,MATCH($E922,customers!$A$1:$A$1001,),MATCH($H$1,customers!$A$1:$I$1,0))</f>
        <v>Theda Grizard</v>
      </c>
      <c r="I922" s="2" t="str">
        <f>IF(INDEX(customers!$A$1:$I$1001,MATCH($E922,customers!$A$1:$A$1001,0),3)=0,"",INDEX(customers!$A$1:$I$1001,MATCH($E922,customers!$A$1:$A$1001,0),3))</f>
        <v>tgrizard1k@odnoklassniki.ru</v>
      </c>
      <c r="J922" s="2" t="str">
        <f>_xlfn.XLOOKUP(E922,customers!$A$1:$A$1001,customers!$G$1:$G$1001)</f>
        <v>United States</v>
      </c>
      <c r="K922" t="str">
        <f>INDEX(products!$A$1:$G$49,MATCH($F922,products!$A$1:$A$49,0),MATCH(K$1,products!$A$1:$G$1,0))</f>
        <v>Exc</v>
      </c>
      <c r="L922" t="str">
        <f>INDEX(products!$A$1:$G$49,MATCH($F922,products!$A$1:$A$49,0),MATCH(L$1,products!$A$1:$G$1,0))</f>
        <v>D</v>
      </c>
      <c r="M922" s="5">
        <f>INDEX(products!$A$1:$G$49,MATCH($F922,products!$A$1:$A$49,0),MATCH(M$1,products!$A$1:$G$1,0))</f>
        <v>0.2</v>
      </c>
      <c r="N922" s="7">
        <f>INDEX(products!$A$1:$G$49,MATCH($F922,products!$A$1:$A$49,0),MATCH(N$1,products!$A$1:$G$1,0))</f>
        <v>3.645</v>
      </c>
      <c r="O922" s="7">
        <f t="shared" si="14"/>
        <v>10.935</v>
      </c>
      <c r="P922" t="str" cm="1">
        <f t="array" ref="P922">_xlfn.IFS(K922="Rob","Robusta",K922="Exc","Excelsa",K922="Ara","Arabica",K922="Lib","Liberica")</f>
        <v>Excelsa</v>
      </c>
      <c r="Q922" t="str" cm="1">
        <f t="array" ref="Q922">_xlfn.IFS(L922="M","Medium",L922="L","Light",L922="D","Dark")</f>
        <v>Dark</v>
      </c>
      <c r="R922" t="str">
        <f>_xlfn.XLOOKUP(Orders[[#This Row],[Customer ID]],customers!$A$1:$A$1001,customers!$I$1:$I$1001)</f>
        <v>Yes</v>
      </c>
    </row>
    <row r="923" spans="1:18" x14ac:dyDescent="0.35">
      <c r="A923" s="2" t="s">
        <v>2986</v>
      </c>
      <c r="B923" s="4">
        <v>44250</v>
      </c>
      <c r="C923" s="23">
        <f>Orders[[#This Row],[Order Date]]</f>
        <v>44250</v>
      </c>
      <c r="D923" s="2">
        <f>YEAR(Orders[[#This Row],[Order Date]])</f>
        <v>2021</v>
      </c>
      <c r="E923" s="2" t="s">
        <v>2987</v>
      </c>
      <c r="F923" t="s">
        <v>6184</v>
      </c>
      <c r="G923" s="20">
        <v>5</v>
      </c>
      <c r="H923" s="2" t="str">
        <f>INDEX(customers!$A$1:$I$1001,MATCH($E923,customers!$A$1:$A$1001,),MATCH($H$1,customers!$A$1:$I$1,0))</f>
        <v>Theo Bowne</v>
      </c>
      <c r="I923" s="2" t="str">
        <f>IF(INDEX(customers!$A$1:$I$1001,MATCH($E923,customers!$A$1:$A$1001,0),3)=0,"",INDEX(customers!$A$1:$I$1001,MATCH($E923,customers!$A$1:$A$1001,0),3))</f>
        <v>tbownecb@unicef.org</v>
      </c>
      <c r="J923" s="2" t="str">
        <f>_xlfn.XLOOKUP(E923,customers!$A$1:$A$1001,customers!$G$1:$G$1001)</f>
        <v>Ireland</v>
      </c>
      <c r="K923" t="str">
        <f>INDEX(products!$A$1:$G$49,MATCH($F923,products!$A$1:$A$49,0),MATCH(K$1,products!$A$1:$G$1,0))</f>
        <v>Exc</v>
      </c>
      <c r="L923" t="str">
        <f>INDEX(products!$A$1:$G$49,MATCH($F923,products!$A$1:$A$49,0),MATCH(L$1,products!$A$1:$G$1,0))</f>
        <v>L</v>
      </c>
      <c r="M923" s="5">
        <f>INDEX(products!$A$1:$G$49,MATCH($F923,products!$A$1:$A$49,0),MATCH(M$1,products!$A$1:$G$1,0))</f>
        <v>0.2</v>
      </c>
      <c r="N923" s="7">
        <f>INDEX(products!$A$1:$G$49,MATCH($F923,products!$A$1:$A$49,0),MATCH(N$1,products!$A$1:$G$1,0))</f>
        <v>4.4550000000000001</v>
      </c>
      <c r="O923" s="7">
        <f t="shared" si="14"/>
        <v>22.274999999999999</v>
      </c>
      <c r="P923" t="str" cm="1">
        <f t="array" ref="P923">_xlfn.IFS(K923="Rob","Robusta",K923="Exc","Excelsa",K923="Ara","Arabica",K923="Lib","Liberica")</f>
        <v>Excelsa</v>
      </c>
      <c r="Q923" t="str" cm="1">
        <f t="array" ref="Q923">_xlfn.IFS(L923="M","Medium",L923="L","Light",L923="D","Dark")</f>
        <v>Light</v>
      </c>
      <c r="R923" t="str">
        <f>_xlfn.XLOOKUP(Orders[[#This Row],[Customer ID]],customers!$A$1:$A$1001,customers!$I$1:$I$1001)</f>
        <v>Yes</v>
      </c>
    </row>
    <row r="924" spans="1:18" x14ac:dyDescent="0.35">
      <c r="A924" s="2" t="s">
        <v>4348</v>
      </c>
      <c r="B924" s="4">
        <v>43941</v>
      </c>
      <c r="C924" s="23">
        <f>Orders[[#This Row],[Order Date]]</f>
        <v>43941</v>
      </c>
      <c r="D924" s="2">
        <f>YEAR(Orders[[#This Row],[Order Date]])</f>
        <v>2020</v>
      </c>
      <c r="E924" s="2" t="s">
        <v>4349</v>
      </c>
      <c r="F924" t="s">
        <v>6169</v>
      </c>
      <c r="G924" s="20">
        <v>6</v>
      </c>
      <c r="H924" s="2" t="str">
        <f>INDEX(customers!$A$1:$I$1001,MATCH($E924,customers!$A$1:$A$1001,),MATCH($H$1,customers!$A$1:$I$1,0))</f>
        <v>Theo Jacobovitz</v>
      </c>
      <c r="I924" s="2" t="str">
        <f>IF(INDEX(customers!$A$1:$I$1001,MATCH($E924,customers!$A$1:$A$1001,0),3)=0,"",INDEX(customers!$A$1:$I$1001,MATCH($E924,customers!$A$1:$A$1001,0),3))</f>
        <v>tjacobovitziz@cbc.ca</v>
      </c>
      <c r="J924" s="2" t="str">
        <f>_xlfn.XLOOKUP(E924,customers!$A$1:$A$1001,customers!$G$1:$G$1001)</f>
        <v>United States</v>
      </c>
      <c r="K924" t="str">
        <f>INDEX(products!$A$1:$G$49,MATCH($F924,products!$A$1:$A$49,0),MATCH(K$1,products!$A$1:$G$1,0))</f>
        <v>Lib</v>
      </c>
      <c r="L924" t="str">
        <f>INDEX(products!$A$1:$G$49,MATCH($F924,products!$A$1:$A$49,0),MATCH(L$1,products!$A$1:$G$1,0))</f>
        <v>D</v>
      </c>
      <c r="M924" s="5">
        <f>INDEX(products!$A$1:$G$49,MATCH($F924,products!$A$1:$A$49,0),MATCH(M$1,products!$A$1:$G$1,0))</f>
        <v>0.5</v>
      </c>
      <c r="N924" s="7">
        <f>INDEX(products!$A$1:$G$49,MATCH($F924,products!$A$1:$A$49,0),MATCH(N$1,products!$A$1:$G$1,0))</f>
        <v>7.77</v>
      </c>
      <c r="O924" s="7">
        <f t="shared" si="14"/>
        <v>46.62</v>
      </c>
      <c r="P924" t="str" cm="1">
        <f t="array" ref="P924">_xlfn.IFS(K924="Rob","Robusta",K924="Exc","Excelsa",K924="Ara","Arabica",K924="Lib","Liberica")</f>
        <v>Liberica</v>
      </c>
      <c r="Q924" t="str" cm="1">
        <f t="array" ref="Q924">_xlfn.IFS(L924="M","Medium",L924="L","Light",L924="D","Dark")</f>
        <v>Dark</v>
      </c>
      <c r="R924" t="str">
        <f>_xlfn.XLOOKUP(Orders[[#This Row],[Customer ID]],customers!$A$1:$A$1001,customers!$I$1:$I$1001)</f>
        <v>No</v>
      </c>
    </row>
    <row r="925" spans="1:18" x14ac:dyDescent="0.35">
      <c r="A925" s="2" t="s">
        <v>649</v>
      </c>
      <c r="B925" s="4">
        <v>44775</v>
      </c>
      <c r="C925" s="23">
        <f>Orders[[#This Row],[Order Date]]</f>
        <v>44775</v>
      </c>
      <c r="D925" s="2">
        <f>YEAR(Orders[[#This Row],[Order Date]])</f>
        <v>2022</v>
      </c>
      <c r="E925" s="2" t="s">
        <v>650</v>
      </c>
      <c r="F925" t="s">
        <v>6158</v>
      </c>
      <c r="G925" s="20">
        <v>3</v>
      </c>
      <c r="H925" s="2" t="str">
        <f>INDEX(customers!$A$1:$I$1001,MATCH($E925,customers!$A$1:$A$1001,),MATCH($H$1,customers!$A$1:$I$1,0))</f>
        <v>Theresita Newbury</v>
      </c>
      <c r="I925" s="2" t="str">
        <f>IF(INDEX(customers!$A$1:$I$1001,MATCH($E925,customers!$A$1:$A$1001,0),3)=0,"",INDEX(customers!$A$1:$I$1001,MATCH($E925,customers!$A$1:$A$1001,0),3))</f>
        <v>tnewburys@usda.gov</v>
      </c>
      <c r="J925" s="2" t="str">
        <f>_xlfn.XLOOKUP(E925,customers!$A$1:$A$1001,customers!$G$1:$G$1001)</f>
        <v>Ireland</v>
      </c>
      <c r="K925" t="str">
        <f>INDEX(products!$A$1:$G$49,MATCH($F925,products!$A$1:$A$49,0),MATCH(K$1,products!$A$1:$G$1,0))</f>
        <v>Ara</v>
      </c>
      <c r="L925" t="str">
        <f>INDEX(products!$A$1:$G$49,MATCH($F925,products!$A$1:$A$49,0),MATCH(L$1,products!$A$1:$G$1,0))</f>
        <v>D</v>
      </c>
      <c r="M925" s="5">
        <f>INDEX(products!$A$1:$G$49,MATCH($F925,products!$A$1:$A$49,0),MATCH(M$1,products!$A$1:$G$1,0))</f>
        <v>0.5</v>
      </c>
      <c r="N925" s="7">
        <f>INDEX(products!$A$1:$G$49,MATCH($F925,products!$A$1:$A$49,0),MATCH(N$1,products!$A$1:$G$1,0))</f>
        <v>5.97</v>
      </c>
      <c r="O925" s="7">
        <f t="shared" si="14"/>
        <v>17.91</v>
      </c>
      <c r="P925" t="str" cm="1">
        <f t="array" ref="P925">_xlfn.IFS(K925="Rob","Robusta",K925="Exc","Excelsa",K925="Ara","Arabica",K925="Lib","Liberica")</f>
        <v>Arabica</v>
      </c>
      <c r="Q925" t="str" cm="1">
        <f t="array" ref="Q925">_xlfn.IFS(L925="M","Medium",L925="L","Light",L925="D","Dark")</f>
        <v>Dark</v>
      </c>
      <c r="R925" t="str">
        <f>_xlfn.XLOOKUP(Orders[[#This Row],[Customer ID]],customers!$A$1:$A$1001,customers!$I$1:$I$1001)</f>
        <v>No</v>
      </c>
    </row>
    <row r="926" spans="1:18" x14ac:dyDescent="0.35">
      <c r="A926" s="2" t="s">
        <v>1498</v>
      </c>
      <c r="B926" s="4">
        <v>43830</v>
      </c>
      <c r="C926" s="23">
        <f>Orders[[#This Row],[Order Date]]</f>
        <v>43830</v>
      </c>
      <c r="D926" s="2">
        <f>YEAR(Orders[[#This Row],[Order Date]])</f>
        <v>2019</v>
      </c>
      <c r="E926" s="2" t="s">
        <v>1499</v>
      </c>
      <c r="F926" t="s">
        <v>6154</v>
      </c>
      <c r="G926" s="20">
        <v>1</v>
      </c>
      <c r="H926" s="2" t="str">
        <f>INDEX(customers!$A$1:$I$1001,MATCH($E926,customers!$A$1:$A$1001,),MATCH($H$1,customers!$A$1:$I$1,0))</f>
        <v>Tiffany Scardafield</v>
      </c>
      <c r="I926" s="2" t="str">
        <f>IF(INDEX(customers!$A$1:$I$1001,MATCH($E926,customers!$A$1:$A$1001,0),3)=0,"",INDEX(customers!$A$1:$I$1001,MATCH($E926,customers!$A$1:$A$1001,0),3))</f>
        <v/>
      </c>
      <c r="J926" s="2" t="str">
        <f>_xlfn.XLOOKUP(E926,customers!$A$1:$A$1001,customers!$G$1:$G$1001)</f>
        <v>Ireland</v>
      </c>
      <c r="K926" t="str">
        <f>INDEX(products!$A$1:$G$49,MATCH($F926,products!$A$1:$A$49,0),MATCH(K$1,products!$A$1:$G$1,0))</f>
        <v>Ara</v>
      </c>
      <c r="L926" t="str">
        <f>INDEX(products!$A$1:$G$49,MATCH($F926,products!$A$1:$A$49,0),MATCH(L$1,products!$A$1:$G$1,0))</f>
        <v>D</v>
      </c>
      <c r="M926" s="5">
        <f>INDEX(products!$A$1:$G$49,MATCH($F926,products!$A$1:$A$49,0),MATCH(M$1,products!$A$1:$G$1,0))</f>
        <v>0.2</v>
      </c>
      <c r="N926" s="7">
        <f>INDEX(products!$A$1:$G$49,MATCH($F926,products!$A$1:$A$49,0),MATCH(N$1,products!$A$1:$G$1,0))</f>
        <v>2.9849999999999999</v>
      </c>
      <c r="O926" s="7">
        <f t="shared" si="14"/>
        <v>2.9849999999999999</v>
      </c>
      <c r="P926" t="str" cm="1">
        <f t="array" ref="P926">_xlfn.IFS(K926="Rob","Robusta",K926="Exc","Excelsa",K926="Ara","Arabica",K926="Lib","Liberica")</f>
        <v>Arabica</v>
      </c>
      <c r="Q926" t="str" cm="1">
        <f t="array" ref="Q926">_xlfn.IFS(L926="M","Medium",L926="L","Light",L926="D","Dark")</f>
        <v>Dark</v>
      </c>
      <c r="R926" t="str">
        <f>_xlfn.XLOOKUP(Orders[[#This Row],[Customer ID]],customers!$A$1:$A$1001,customers!$I$1:$I$1001)</f>
        <v>No</v>
      </c>
    </row>
    <row r="927" spans="1:18" x14ac:dyDescent="0.35">
      <c r="A927" s="2" t="s">
        <v>3402</v>
      </c>
      <c r="B927" s="4">
        <v>44673</v>
      </c>
      <c r="C927" s="23">
        <f>Orders[[#This Row],[Order Date]]</f>
        <v>44673</v>
      </c>
      <c r="D927" s="2">
        <f>YEAR(Orders[[#This Row],[Order Date]])</f>
        <v>2022</v>
      </c>
      <c r="E927" s="2" t="s">
        <v>3403</v>
      </c>
      <c r="F927" t="s">
        <v>6173</v>
      </c>
      <c r="G927" s="20">
        <v>3</v>
      </c>
      <c r="H927" s="2" t="str">
        <f>INDEX(customers!$A$1:$I$1001,MATCH($E927,customers!$A$1:$A$1001,),MATCH($H$1,customers!$A$1:$I$1,0))</f>
        <v>Tildie Tilzey</v>
      </c>
      <c r="I927" s="2" t="str">
        <f>IF(INDEX(customers!$A$1:$I$1001,MATCH($E927,customers!$A$1:$A$1001,0),3)=0,"",INDEX(customers!$A$1:$I$1001,MATCH($E927,customers!$A$1:$A$1001,0),3))</f>
        <v>ttilzeyeb@hostgator.com</v>
      </c>
      <c r="J927" s="2" t="str">
        <f>_xlfn.XLOOKUP(E927,customers!$A$1:$A$1001,customers!$G$1:$G$1001)</f>
        <v>United States</v>
      </c>
      <c r="K927" t="str">
        <f>INDEX(products!$A$1:$G$49,MATCH($F927,products!$A$1:$A$49,0),MATCH(K$1,products!$A$1:$G$1,0))</f>
        <v>Rob</v>
      </c>
      <c r="L927" t="str">
        <f>INDEX(products!$A$1:$G$49,MATCH($F927,products!$A$1:$A$49,0),MATCH(L$1,products!$A$1:$G$1,0))</f>
        <v>L</v>
      </c>
      <c r="M927" s="5">
        <f>INDEX(products!$A$1:$G$49,MATCH($F927,products!$A$1:$A$49,0),MATCH(M$1,products!$A$1:$G$1,0))</f>
        <v>0.5</v>
      </c>
      <c r="N927" s="7">
        <f>INDEX(products!$A$1:$G$49,MATCH($F927,products!$A$1:$A$49,0),MATCH(N$1,products!$A$1:$G$1,0))</f>
        <v>7.169999999999999</v>
      </c>
      <c r="O927" s="7">
        <f t="shared" si="14"/>
        <v>21.509999999999998</v>
      </c>
      <c r="P927" t="str" cm="1">
        <f t="array" ref="P927">_xlfn.IFS(K927="Rob","Robusta",K927="Exc","Excelsa",K927="Ara","Arabica",K927="Lib","Liberica")</f>
        <v>Robusta</v>
      </c>
      <c r="Q927" t="str" cm="1">
        <f t="array" ref="Q927">_xlfn.IFS(L927="M","Medium",L927="L","Light",L927="D","Dark")</f>
        <v>Light</v>
      </c>
      <c r="R927" t="str">
        <f>_xlfn.XLOOKUP(Orders[[#This Row],[Customer ID]],customers!$A$1:$A$1001,customers!$I$1:$I$1001)</f>
        <v>No</v>
      </c>
    </row>
    <row r="928" spans="1:18" x14ac:dyDescent="0.35">
      <c r="A928" s="2" t="s">
        <v>1210</v>
      </c>
      <c r="B928" s="4">
        <v>44439</v>
      </c>
      <c r="C928" s="23">
        <f>Orders[[#This Row],[Order Date]]</f>
        <v>44439</v>
      </c>
      <c r="D928" s="2">
        <f>YEAR(Orders[[#This Row],[Order Date]])</f>
        <v>2021</v>
      </c>
      <c r="E928" s="2" t="s">
        <v>1211</v>
      </c>
      <c r="F928" t="s">
        <v>6157</v>
      </c>
      <c r="G928" s="20">
        <v>1</v>
      </c>
      <c r="H928" s="2" t="str">
        <f>INDEX(customers!$A$1:$I$1001,MATCH($E928,customers!$A$1:$A$1001,),MATCH($H$1,customers!$A$1:$I$1,0))</f>
        <v>Timofei Woofinden</v>
      </c>
      <c r="I928" s="2" t="str">
        <f>IF(INDEX(customers!$A$1:$I$1001,MATCH($E928,customers!$A$1:$A$1001,0),3)=0,"",INDEX(customers!$A$1:$I$1001,MATCH($E928,customers!$A$1:$A$1001,0),3))</f>
        <v>twoofinden3k@businesswire.com</v>
      </c>
      <c r="J928" s="2" t="str">
        <f>_xlfn.XLOOKUP(E928,customers!$A$1:$A$1001,customers!$G$1:$G$1001)</f>
        <v>United States</v>
      </c>
      <c r="K928" t="str">
        <f>INDEX(products!$A$1:$G$49,MATCH($F928,products!$A$1:$A$49,0),MATCH(K$1,products!$A$1:$G$1,0))</f>
        <v>Ara</v>
      </c>
      <c r="L928" t="str">
        <f>INDEX(products!$A$1:$G$49,MATCH($F928,products!$A$1:$A$49,0),MATCH(L$1,products!$A$1:$G$1,0))</f>
        <v>M</v>
      </c>
      <c r="M928" s="5">
        <f>INDEX(products!$A$1:$G$49,MATCH($F928,products!$A$1:$A$49,0),MATCH(M$1,products!$A$1:$G$1,0))</f>
        <v>0.5</v>
      </c>
      <c r="N928" s="7">
        <f>INDEX(products!$A$1:$G$49,MATCH($F928,products!$A$1:$A$49,0),MATCH(N$1,products!$A$1:$G$1,0))</f>
        <v>6.75</v>
      </c>
      <c r="O928" s="7">
        <f t="shared" si="14"/>
        <v>6.75</v>
      </c>
      <c r="P928" t="str" cm="1">
        <f t="array" ref="P928">_xlfn.IFS(K928="Rob","Robusta",K928="Exc","Excelsa",K928="Ara","Arabica",K928="Lib","Liberica")</f>
        <v>Arabica</v>
      </c>
      <c r="Q928" t="str" cm="1">
        <f t="array" ref="Q928">_xlfn.IFS(L928="M","Medium",L928="L","Light",L928="D","Dark")</f>
        <v>Medium</v>
      </c>
      <c r="R928" t="str">
        <f>_xlfn.XLOOKUP(Orders[[#This Row],[Customer ID]],customers!$A$1:$A$1001,customers!$I$1:$I$1001)</f>
        <v>No</v>
      </c>
    </row>
    <row r="929" spans="1:18" x14ac:dyDescent="0.35">
      <c r="A929" s="2" t="s">
        <v>3516</v>
      </c>
      <c r="B929" s="4">
        <v>44585</v>
      </c>
      <c r="C929" s="23">
        <f>Orders[[#This Row],[Order Date]]</f>
        <v>44585</v>
      </c>
      <c r="D929" s="2">
        <f>YEAR(Orders[[#This Row],[Order Date]])</f>
        <v>2022</v>
      </c>
      <c r="E929" s="2" t="s">
        <v>3517</v>
      </c>
      <c r="F929" t="s">
        <v>6145</v>
      </c>
      <c r="G929" s="20">
        <v>2</v>
      </c>
      <c r="H929" s="2" t="str">
        <f>INDEX(customers!$A$1:$I$1001,MATCH($E929,customers!$A$1:$A$1001,),MATCH($H$1,customers!$A$1:$I$1,0))</f>
        <v>Timoteo Glisane</v>
      </c>
      <c r="I929" s="2" t="str">
        <f>IF(INDEX(customers!$A$1:$I$1001,MATCH($E929,customers!$A$1:$A$1001,0),3)=0,"",INDEX(customers!$A$1:$I$1001,MATCH($E929,customers!$A$1:$A$1001,0),3))</f>
        <v/>
      </c>
      <c r="J929" s="2" t="str">
        <f>_xlfn.XLOOKUP(E929,customers!$A$1:$A$1001,customers!$G$1:$G$1001)</f>
        <v>Ireland</v>
      </c>
      <c r="K929" t="str">
        <f>INDEX(products!$A$1:$G$49,MATCH($F929,products!$A$1:$A$49,0),MATCH(K$1,products!$A$1:$G$1,0))</f>
        <v>Lib</v>
      </c>
      <c r="L929" t="str">
        <f>INDEX(products!$A$1:$G$49,MATCH($F929,products!$A$1:$A$49,0),MATCH(L$1,products!$A$1:$G$1,0))</f>
        <v>L</v>
      </c>
      <c r="M929" s="5">
        <f>INDEX(products!$A$1:$G$49,MATCH($F929,products!$A$1:$A$49,0),MATCH(M$1,products!$A$1:$G$1,0))</f>
        <v>0.2</v>
      </c>
      <c r="N929" s="7">
        <f>INDEX(products!$A$1:$G$49,MATCH($F929,products!$A$1:$A$49,0),MATCH(N$1,products!$A$1:$G$1,0))</f>
        <v>4.7549999999999999</v>
      </c>
      <c r="O929" s="7">
        <f t="shared" si="14"/>
        <v>9.51</v>
      </c>
      <c r="P929" t="str" cm="1">
        <f t="array" ref="P929">_xlfn.IFS(K929="Rob","Robusta",K929="Exc","Excelsa",K929="Ara","Arabica",K929="Lib","Liberica")</f>
        <v>Liberica</v>
      </c>
      <c r="Q929" t="str" cm="1">
        <f t="array" ref="Q929">_xlfn.IFS(L929="M","Medium",L929="L","Light",L929="D","Dark")</f>
        <v>Light</v>
      </c>
      <c r="R929" t="str">
        <f>_xlfn.XLOOKUP(Orders[[#This Row],[Customer ID]],customers!$A$1:$A$1001,customers!$I$1:$I$1001)</f>
        <v>No</v>
      </c>
    </row>
    <row r="930" spans="1:18" x14ac:dyDescent="0.35">
      <c r="A930" s="2" t="s">
        <v>1812</v>
      </c>
      <c r="B930" s="4">
        <v>44602</v>
      </c>
      <c r="C930" s="23">
        <f>Orders[[#This Row],[Order Date]]</f>
        <v>44602</v>
      </c>
      <c r="D930" s="2">
        <f>YEAR(Orders[[#This Row],[Order Date]])</f>
        <v>2022</v>
      </c>
      <c r="E930" s="2" t="s">
        <v>1813</v>
      </c>
      <c r="F930" t="s">
        <v>6164</v>
      </c>
      <c r="G930" s="20">
        <v>1</v>
      </c>
      <c r="H930" s="2" t="str">
        <f>INDEX(customers!$A$1:$I$1001,MATCH($E930,customers!$A$1:$A$1001,),MATCH($H$1,customers!$A$1:$I$1,0))</f>
        <v>Tomas Sutty</v>
      </c>
      <c r="I930" s="2" t="str">
        <f>IF(INDEX(customers!$A$1:$I$1001,MATCH($E930,customers!$A$1:$A$1001,0),3)=0,"",INDEX(customers!$A$1:$I$1001,MATCH($E930,customers!$A$1:$A$1001,0),3))</f>
        <v>tsutty6i@google.es</v>
      </c>
      <c r="J930" s="2" t="str">
        <f>_xlfn.XLOOKUP(E930,customers!$A$1:$A$1001,customers!$G$1:$G$1001)</f>
        <v>United States</v>
      </c>
      <c r="K930" t="str">
        <f>INDEX(products!$A$1:$G$49,MATCH($F930,products!$A$1:$A$49,0),MATCH(K$1,products!$A$1:$G$1,0))</f>
        <v>Lib</v>
      </c>
      <c r="L930" t="str">
        <f>INDEX(products!$A$1:$G$49,MATCH($F930,products!$A$1:$A$49,0),MATCH(L$1,products!$A$1:$G$1,0))</f>
        <v>L</v>
      </c>
      <c r="M930" s="5">
        <f>INDEX(products!$A$1:$G$49,MATCH($F930,products!$A$1:$A$49,0),MATCH(M$1,products!$A$1:$G$1,0))</f>
        <v>2.5</v>
      </c>
      <c r="N930" s="7">
        <f>INDEX(products!$A$1:$G$49,MATCH($F930,products!$A$1:$A$49,0),MATCH(N$1,products!$A$1:$G$1,0))</f>
        <v>36.454999999999998</v>
      </c>
      <c r="O930" s="7">
        <f t="shared" si="14"/>
        <v>36.454999999999998</v>
      </c>
      <c r="P930" t="str" cm="1">
        <f t="array" ref="P930">_xlfn.IFS(K930="Rob","Robusta",K930="Exc","Excelsa",K930="Ara","Arabica",K930="Lib","Liberica")</f>
        <v>Liberica</v>
      </c>
      <c r="Q930" t="str" cm="1">
        <f t="array" ref="Q930">_xlfn.IFS(L930="M","Medium",L930="L","Light",L930="D","Dark")</f>
        <v>Light</v>
      </c>
      <c r="R930" t="str">
        <f>_xlfn.XLOOKUP(Orders[[#This Row],[Customer ID]],customers!$A$1:$A$1001,customers!$I$1:$I$1001)</f>
        <v>No</v>
      </c>
    </row>
    <row r="931" spans="1:18" x14ac:dyDescent="0.35">
      <c r="A931" s="2" t="s">
        <v>2509</v>
      </c>
      <c r="B931" s="4">
        <v>43599</v>
      </c>
      <c r="C931" s="23">
        <f>Orders[[#This Row],[Order Date]]</f>
        <v>43599</v>
      </c>
      <c r="D931" s="2">
        <f>YEAR(Orders[[#This Row],[Order Date]])</f>
        <v>2019</v>
      </c>
      <c r="E931" s="2" t="s">
        <v>2510</v>
      </c>
      <c r="F931" t="s">
        <v>6182</v>
      </c>
      <c r="G931" s="20">
        <v>1</v>
      </c>
      <c r="H931" s="2" t="str">
        <f>INDEX(customers!$A$1:$I$1001,MATCH($E931,customers!$A$1:$A$1001,),MATCH($H$1,customers!$A$1:$I$1,0))</f>
        <v>Tomasina Cotmore</v>
      </c>
      <c r="I931" s="2" t="str">
        <f>IF(INDEX(customers!$A$1:$I$1001,MATCH($E931,customers!$A$1:$A$1001,0),3)=0,"",INDEX(customers!$A$1:$I$1001,MATCH($E931,customers!$A$1:$A$1001,0),3))</f>
        <v>tcotmore9y@amazonaws.com</v>
      </c>
      <c r="J931" s="2" t="str">
        <f>_xlfn.XLOOKUP(E931,customers!$A$1:$A$1001,customers!$G$1:$G$1001)</f>
        <v>United States</v>
      </c>
      <c r="K931" t="str">
        <f>INDEX(products!$A$1:$G$49,MATCH($F931,products!$A$1:$A$49,0),MATCH(K$1,products!$A$1:$G$1,0))</f>
        <v>Ara</v>
      </c>
      <c r="L931" t="str">
        <f>INDEX(products!$A$1:$G$49,MATCH($F931,products!$A$1:$A$49,0),MATCH(L$1,products!$A$1:$G$1,0))</f>
        <v>L</v>
      </c>
      <c r="M931" s="5">
        <f>INDEX(products!$A$1:$G$49,MATCH($F931,products!$A$1:$A$49,0),MATCH(M$1,products!$A$1:$G$1,0))</f>
        <v>2.5</v>
      </c>
      <c r="N931" s="7">
        <f>INDEX(products!$A$1:$G$49,MATCH($F931,products!$A$1:$A$49,0),MATCH(N$1,products!$A$1:$G$1,0))</f>
        <v>29.784999999999997</v>
      </c>
      <c r="O931" s="7">
        <f t="shared" si="14"/>
        <v>29.784999999999997</v>
      </c>
      <c r="P931" t="str" cm="1">
        <f t="array" ref="P931">_xlfn.IFS(K931="Rob","Robusta",K931="Exc","Excelsa",K931="Ara","Arabica",K931="Lib","Liberica")</f>
        <v>Arabica</v>
      </c>
      <c r="Q931" t="str" cm="1">
        <f t="array" ref="Q931">_xlfn.IFS(L931="M","Medium",L931="L","Light",L931="D","Dark")</f>
        <v>Light</v>
      </c>
      <c r="R931" t="str">
        <f>_xlfn.XLOOKUP(Orders[[#This Row],[Customer ID]],customers!$A$1:$A$1001,customers!$I$1:$I$1001)</f>
        <v>No</v>
      </c>
    </row>
    <row r="932" spans="1:18" x14ac:dyDescent="0.35">
      <c r="A932" s="2" t="s">
        <v>990</v>
      </c>
      <c r="B932" s="4">
        <v>44545</v>
      </c>
      <c r="C932" s="23">
        <f>Orders[[#This Row],[Order Date]]</f>
        <v>44545</v>
      </c>
      <c r="D932" s="2">
        <f>YEAR(Orders[[#This Row],[Order Date]])</f>
        <v>2021</v>
      </c>
      <c r="E932" s="2" t="s">
        <v>991</v>
      </c>
      <c r="F932" t="s">
        <v>6140</v>
      </c>
      <c r="G932" s="20">
        <v>6</v>
      </c>
      <c r="H932" s="2" t="str">
        <f>INDEX(customers!$A$1:$I$1001,MATCH($E932,customers!$A$1:$A$1001,),MATCH($H$1,customers!$A$1:$I$1,0))</f>
        <v>Torie Gottelier</v>
      </c>
      <c r="I932" s="2" t="str">
        <f>IF(INDEX(customers!$A$1:$I$1001,MATCH($E932,customers!$A$1:$A$1001,0),3)=0,"",INDEX(customers!$A$1:$I$1001,MATCH($E932,customers!$A$1:$A$1001,0),3))</f>
        <v>tgottelier2h@vistaprint.com</v>
      </c>
      <c r="J932" s="2" t="str">
        <f>_xlfn.XLOOKUP(E932,customers!$A$1:$A$1001,customers!$G$1:$G$1001)</f>
        <v>United States</v>
      </c>
      <c r="K932" t="str">
        <f>INDEX(products!$A$1:$G$49,MATCH($F932,products!$A$1:$A$49,0),MATCH(K$1,products!$A$1:$G$1,0))</f>
        <v>Ara</v>
      </c>
      <c r="L932" t="str">
        <f>INDEX(products!$A$1:$G$49,MATCH($F932,products!$A$1:$A$49,0),MATCH(L$1,products!$A$1:$G$1,0))</f>
        <v>L</v>
      </c>
      <c r="M932" s="5">
        <f>INDEX(products!$A$1:$G$49,MATCH($F932,products!$A$1:$A$49,0),MATCH(M$1,products!$A$1:$G$1,0))</f>
        <v>1</v>
      </c>
      <c r="N932" s="7">
        <f>INDEX(products!$A$1:$G$49,MATCH($F932,products!$A$1:$A$49,0),MATCH(N$1,products!$A$1:$G$1,0))</f>
        <v>12.95</v>
      </c>
      <c r="O932" s="7">
        <f t="shared" si="14"/>
        <v>77.699999999999989</v>
      </c>
      <c r="P932" t="str" cm="1">
        <f t="array" ref="P932">_xlfn.IFS(K932="Rob","Robusta",K932="Exc","Excelsa",K932="Ara","Arabica",K932="Lib","Liberica")</f>
        <v>Arabica</v>
      </c>
      <c r="Q932" t="str" cm="1">
        <f t="array" ref="Q932">_xlfn.IFS(L932="M","Medium",L932="L","Light",L932="D","Dark")</f>
        <v>Light</v>
      </c>
      <c r="R932" t="str">
        <f>_xlfn.XLOOKUP(Orders[[#This Row],[Customer ID]],customers!$A$1:$A$1001,customers!$I$1:$I$1001)</f>
        <v>No</v>
      </c>
    </row>
    <row r="933" spans="1:18" x14ac:dyDescent="0.35">
      <c r="A933" s="2" t="s">
        <v>1520</v>
      </c>
      <c r="B933" s="4">
        <v>44512</v>
      </c>
      <c r="C933" s="23">
        <f>Orders[[#This Row],[Order Date]]</f>
        <v>44512</v>
      </c>
      <c r="D933" s="2">
        <f>YEAR(Orders[[#This Row],[Order Date]])</f>
        <v>2021</v>
      </c>
      <c r="E933" s="2" t="s">
        <v>1521</v>
      </c>
      <c r="F933" t="s">
        <v>6156</v>
      </c>
      <c r="G933" s="20">
        <v>2</v>
      </c>
      <c r="H933" s="2" t="str">
        <f>INDEX(customers!$A$1:$I$1001,MATCH($E933,customers!$A$1:$A$1001,),MATCH($H$1,customers!$A$1:$I$1,0))</f>
        <v>Tory Walas</v>
      </c>
      <c r="I933" s="2" t="str">
        <f>IF(INDEX(customers!$A$1:$I$1001,MATCH($E933,customers!$A$1:$A$1001,0),3)=0,"",INDEX(customers!$A$1:$I$1001,MATCH($E933,customers!$A$1:$A$1001,0),3))</f>
        <v>twalas53@google.ca</v>
      </c>
      <c r="J933" s="2" t="str">
        <f>_xlfn.XLOOKUP(E933,customers!$A$1:$A$1001,customers!$G$1:$G$1001)</f>
        <v>United States</v>
      </c>
      <c r="K933" t="str">
        <f>INDEX(products!$A$1:$G$49,MATCH($F933,products!$A$1:$A$49,0),MATCH(K$1,products!$A$1:$G$1,0))</f>
        <v>Exc</v>
      </c>
      <c r="L933" t="str">
        <f>INDEX(products!$A$1:$G$49,MATCH($F933,products!$A$1:$A$49,0),MATCH(L$1,products!$A$1:$G$1,0))</f>
        <v>M</v>
      </c>
      <c r="M933" s="5">
        <f>INDEX(products!$A$1:$G$49,MATCH($F933,products!$A$1:$A$49,0),MATCH(M$1,products!$A$1:$G$1,0))</f>
        <v>0.2</v>
      </c>
      <c r="N933" s="7">
        <f>INDEX(products!$A$1:$G$49,MATCH($F933,products!$A$1:$A$49,0),MATCH(N$1,products!$A$1:$G$1,0))</f>
        <v>4.125</v>
      </c>
      <c r="O933" s="7">
        <f t="shared" si="14"/>
        <v>8.25</v>
      </c>
      <c r="P933" t="str" cm="1">
        <f t="array" ref="P933">_xlfn.IFS(K933="Rob","Robusta",K933="Exc","Excelsa",K933="Ara","Arabica",K933="Lib","Liberica")</f>
        <v>Excelsa</v>
      </c>
      <c r="Q933" t="str" cm="1">
        <f t="array" ref="Q933">_xlfn.IFS(L933="M","Medium",L933="L","Light",L933="D","Dark")</f>
        <v>Medium</v>
      </c>
      <c r="R933" t="str">
        <f>_xlfn.XLOOKUP(Orders[[#This Row],[Customer ID]],customers!$A$1:$A$1001,customers!$I$1:$I$1001)</f>
        <v>No</v>
      </c>
    </row>
    <row r="934" spans="1:18" x14ac:dyDescent="0.35">
      <c r="A934" s="2" t="s">
        <v>2187</v>
      </c>
      <c r="B934" s="4">
        <v>44102</v>
      </c>
      <c r="C934" s="23">
        <f>Orders[[#This Row],[Order Date]]</f>
        <v>44102</v>
      </c>
      <c r="D934" s="2">
        <f>YEAR(Orders[[#This Row],[Order Date]])</f>
        <v>2020</v>
      </c>
      <c r="E934" s="2" t="s">
        <v>2188</v>
      </c>
      <c r="F934" t="s">
        <v>6150</v>
      </c>
      <c r="G934" s="20">
        <v>4</v>
      </c>
      <c r="H934" s="2" t="str">
        <f>INDEX(customers!$A$1:$I$1001,MATCH($E934,customers!$A$1:$A$1001,),MATCH($H$1,customers!$A$1:$I$1,0))</f>
        <v>Trescha Jedrachowicz</v>
      </c>
      <c r="I934" s="2" t="str">
        <f>IF(INDEX(customers!$A$1:$I$1001,MATCH($E934,customers!$A$1:$A$1001,0),3)=0,"",INDEX(customers!$A$1:$I$1001,MATCH($E934,customers!$A$1:$A$1001,0),3))</f>
        <v>tjedrachowicz8d@acquirethisname.com</v>
      </c>
      <c r="J934" s="2" t="str">
        <f>_xlfn.XLOOKUP(E934,customers!$A$1:$A$1001,customers!$G$1:$G$1001)</f>
        <v>United States</v>
      </c>
      <c r="K934" t="str">
        <f>INDEX(products!$A$1:$G$49,MATCH($F934,products!$A$1:$A$49,0),MATCH(K$1,products!$A$1:$G$1,0))</f>
        <v>Lib</v>
      </c>
      <c r="L934" t="str">
        <f>INDEX(products!$A$1:$G$49,MATCH($F934,products!$A$1:$A$49,0),MATCH(L$1,products!$A$1:$G$1,0))</f>
        <v>D</v>
      </c>
      <c r="M934" s="5">
        <f>INDEX(products!$A$1:$G$49,MATCH($F934,products!$A$1:$A$49,0),MATCH(M$1,products!$A$1:$G$1,0))</f>
        <v>0.2</v>
      </c>
      <c r="N934" s="7">
        <f>INDEX(products!$A$1:$G$49,MATCH($F934,products!$A$1:$A$49,0),MATCH(N$1,products!$A$1:$G$1,0))</f>
        <v>3.8849999999999998</v>
      </c>
      <c r="O934" s="7">
        <f t="shared" si="14"/>
        <v>15.54</v>
      </c>
      <c r="P934" t="str" cm="1">
        <f t="array" ref="P934">_xlfn.IFS(K934="Rob","Robusta",K934="Exc","Excelsa",K934="Ara","Arabica",K934="Lib","Liberica")</f>
        <v>Liberica</v>
      </c>
      <c r="Q934" t="str" cm="1">
        <f t="array" ref="Q934">_xlfn.IFS(L934="M","Medium",L934="L","Light",L934="D","Dark")</f>
        <v>Dark</v>
      </c>
      <c r="R934" t="str">
        <f>_xlfn.XLOOKUP(Orders[[#This Row],[Customer ID]],customers!$A$1:$A$1001,customers!$I$1:$I$1001)</f>
        <v>Yes</v>
      </c>
    </row>
    <row r="935" spans="1:18" x14ac:dyDescent="0.35">
      <c r="A935" s="2" t="s">
        <v>2324</v>
      </c>
      <c r="B935" s="4">
        <v>44756</v>
      </c>
      <c r="C935" s="23">
        <f>Orders[[#This Row],[Order Date]]</f>
        <v>44756</v>
      </c>
      <c r="D935" s="2">
        <f>YEAR(Orders[[#This Row],[Order Date]])</f>
        <v>2022</v>
      </c>
      <c r="E935" s="2" t="s">
        <v>2325</v>
      </c>
      <c r="F935" t="s">
        <v>6182</v>
      </c>
      <c r="G935" s="20">
        <v>1</v>
      </c>
      <c r="H935" s="2" t="str">
        <f>INDEX(customers!$A$1:$I$1001,MATCH($E935,customers!$A$1:$A$1001,),MATCH($H$1,customers!$A$1:$I$1,0))</f>
        <v>Trina Le Sarr</v>
      </c>
      <c r="I935" s="2" t="str">
        <f>IF(INDEX(customers!$A$1:$I$1001,MATCH($E935,customers!$A$1:$A$1001,0),3)=0,"",INDEX(customers!$A$1:$I$1001,MATCH($E935,customers!$A$1:$A$1001,0),3))</f>
        <v>tle91@epa.gov</v>
      </c>
      <c r="J935" s="2" t="str">
        <f>_xlfn.XLOOKUP(E935,customers!$A$1:$A$1001,customers!$G$1:$G$1001)</f>
        <v>United States</v>
      </c>
      <c r="K935" t="str">
        <f>INDEX(products!$A$1:$G$49,MATCH($F935,products!$A$1:$A$49,0),MATCH(K$1,products!$A$1:$G$1,0))</f>
        <v>Ara</v>
      </c>
      <c r="L935" t="str">
        <f>INDEX(products!$A$1:$G$49,MATCH($F935,products!$A$1:$A$49,0),MATCH(L$1,products!$A$1:$G$1,0))</f>
        <v>L</v>
      </c>
      <c r="M935" s="5">
        <f>INDEX(products!$A$1:$G$49,MATCH($F935,products!$A$1:$A$49,0),MATCH(M$1,products!$A$1:$G$1,0))</f>
        <v>2.5</v>
      </c>
      <c r="N935" s="7">
        <f>INDEX(products!$A$1:$G$49,MATCH($F935,products!$A$1:$A$49,0),MATCH(N$1,products!$A$1:$G$1,0))</f>
        <v>29.784999999999997</v>
      </c>
      <c r="O935" s="7">
        <f t="shared" si="14"/>
        <v>29.784999999999997</v>
      </c>
      <c r="P935" t="str" cm="1">
        <f t="array" ref="P935">_xlfn.IFS(K935="Rob","Robusta",K935="Exc","Excelsa",K935="Ara","Arabica",K935="Lib","Liberica")</f>
        <v>Arabica</v>
      </c>
      <c r="Q935" t="str" cm="1">
        <f t="array" ref="Q935">_xlfn.IFS(L935="M","Medium",L935="L","Light",L935="D","Dark")</f>
        <v>Light</v>
      </c>
      <c r="R935" t="str">
        <f>_xlfn.XLOOKUP(Orders[[#This Row],[Customer ID]],customers!$A$1:$A$1001,customers!$I$1:$I$1001)</f>
        <v>Yes</v>
      </c>
    </row>
    <row r="936" spans="1:18" x14ac:dyDescent="0.35">
      <c r="A936" s="2" t="s">
        <v>5246</v>
      </c>
      <c r="B936" s="4">
        <v>44755</v>
      </c>
      <c r="C936" s="23">
        <f>Orders[[#This Row],[Order Date]]</f>
        <v>44755</v>
      </c>
      <c r="D936" s="2">
        <f>YEAR(Orders[[#This Row],[Order Date]])</f>
        <v>2022</v>
      </c>
      <c r="E936" s="2" t="s">
        <v>5247</v>
      </c>
      <c r="F936" t="s">
        <v>6159</v>
      </c>
      <c r="G936" s="20">
        <v>1</v>
      </c>
      <c r="H936" s="2" t="str">
        <f>INDEX(customers!$A$1:$I$1001,MATCH($E936,customers!$A$1:$A$1001,),MATCH($H$1,customers!$A$1:$I$1,0))</f>
        <v>Trumaine Tewelson</v>
      </c>
      <c r="I936" s="2" t="str">
        <f>IF(INDEX(customers!$A$1:$I$1001,MATCH($E936,customers!$A$1:$A$1001,0),3)=0,"",INDEX(customers!$A$1:$I$1001,MATCH($E936,customers!$A$1:$A$1001,0),3))</f>
        <v>ttewelsonnd@cdbaby.com</v>
      </c>
      <c r="J936" s="2" t="str">
        <f>_xlfn.XLOOKUP(E936,customers!$A$1:$A$1001,customers!$G$1:$G$1001)</f>
        <v>United States</v>
      </c>
      <c r="K936" t="str">
        <f>INDEX(products!$A$1:$G$49,MATCH($F936,products!$A$1:$A$49,0),MATCH(K$1,products!$A$1:$G$1,0))</f>
        <v>Lib</v>
      </c>
      <c r="L936" t="str">
        <f>INDEX(products!$A$1:$G$49,MATCH($F936,products!$A$1:$A$49,0),MATCH(L$1,products!$A$1:$G$1,0))</f>
        <v>M</v>
      </c>
      <c r="M936" s="5">
        <f>INDEX(products!$A$1:$G$49,MATCH($F936,products!$A$1:$A$49,0),MATCH(M$1,products!$A$1:$G$1,0))</f>
        <v>0.2</v>
      </c>
      <c r="N936" s="7">
        <f>INDEX(products!$A$1:$G$49,MATCH($F936,products!$A$1:$A$49,0),MATCH(N$1,products!$A$1:$G$1,0))</f>
        <v>4.3650000000000002</v>
      </c>
      <c r="O936" s="7">
        <f t="shared" si="14"/>
        <v>4.3650000000000002</v>
      </c>
      <c r="P936" t="str" cm="1">
        <f t="array" ref="P936">_xlfn.IFS(K936="Rob","Robusta",K936="Exc","Excelsa",K936="Ara","Arabica",K936="Lib","Liberica")</f>
        <v>Liberica</v>
      </c>
      <c r="Q936" t="str" cm="1">
        <f t="array" ref="Q936">_xlfn.IFS(L936="M","Medium",L936="L","Light",L936="D","Dark")</f>
        <v>Medium</v>
      </c>
      <c r="R936" t="str">
        <f>_xlfn.XLOOKUP(Orders[[#This Row],[Customer ID]],customers!$A$1:$A$1001,customers!$I$1:$I$1001)</f>
        <v>No</v>
      </c>
    </row>
    <row r="937" spans="1:18" x14ac:dyDescent="0.35">
      <c r="A937" s="2" t="s">
        <v>4104</v>
      </c>
      <c r="B937" s="4">
        <v>44547</v>
      </c>
      <c r="C937" s="23">
        <f>Orders[[#This Row],[Order Date]]</f>
        <v>44547</v>
      </c>
      <c r="D937" s="2">
        <f>YEAR(Orders[[#This Row],[Order Date]])</f>
        <v>2021</v>
      </c>
      <c r="E937" s="2" t="s">
        <v>4152</v>
      </c>
      <c r="F937" t="s">
        <v>6142</v>
      </c>
      <c r="G937" s="20">
        <v>5</v>
      </c>
      <c r="H937" s="2" t="str">
        <f>INDEX(customers!$A$1:$I$1001,MATCH($E937,customers!$A$1:$A$1001,),MATCH($H$1,customers!$A$1:$I$1,0))</f>
        <v>Tuckie Mathonnet</v>
      </c>
      <c r="I937" s="2" t="str">
        <f>IF(INDEX(customers!$A$1:$I$1001,MATCH($E937,customers!$A$1:$A$1001,0),3)=0,"",INDEX(customers!$A$1:$I$1001,MATCH($E937,customers!$A$1:$A$1001,0),3))</f>
        <v>tmathonneti0@google.co.jp</v>
      </c>
      <c r="J937" s="2" t="str">
        <f>_xlfn.XLOOKUP(E937,customers!$A$1:$A$1001,customers!$G$1:$G$1001)</f>
        <v>United States</v>
      </c>
      <c r="K937" t="str">
        <f>INDEX(products!$A$1:$G$49,MATCH($F937,products!$A$1:$A$49,0),MATCH(K$1,products!$A$1:$G$1,0))</f>
        <v>Rob</v>
      </c>
      <c r="L937" t="str">
        <f>INDEX(products!$A$1:$G$49,MATCH($F937,products!$A$1:$A$49,0),MATCH(L$1,products!$A$1:$G$1,0))</f>
        <v>L</v>
      </c>
      <c r="M937" s="5">
        <f>INDEX(products!$A$1:$G$49,MATCH($F937,products!$A$1:$A$49,0),MATCH(M$1,products!$A$1:$G$1,0))</f>
        <v>2.5</v>
      </c>
      <c r="N937" s="7">
        <f>INDEX(products!$A$1:$G$49,MATCH($F937,products!$A$1:$A$49,0),MATCH(N$1,products!$A$1:$G$1,0))</f>
        <v>27.484999999999996</v>
      </c>
      <c r="O937" s="7">
        <f t="shared" si="14"/>
        <v>137.42499999999998</v>
      </c>
      <c r="P937" t="str" cm="1">
        <f t="array" ref="P937">_xlfn.IFS(K937="Rob","Robusta",K937="Exc","Excelsa",K937="Ara","Arabica",K937="Lib","Liberica")</f>
        <v>Robusta</v>
      </c>
      <c r="Q937" t="str" cm="1">
        <f t="array" ref="Q937">_xlfn.IFS(L937="M","Medium",L937="L","Light",L937="D","Dark")</f>
        <v>Light</v>
      </c>
      <c r="R937" t="str">
        <f>_xlfn.XLOOKUP(Orders[[#This Row],[Customer ID]],customers!$A$1:$A$1001,customers!$I$1:$I$1001)</f>
        <v>No</v>
      </c>
    </row>
    <row r="938" spans="1:18" x14ac:dyDescent="0.35">
      <c r="A938" s="2" t="s">
        <v>4151</v>
      </c>
      <c r="B938" s="4">
        <v>43884</v>
      </c>
      <c r="C938" s="23">
        <f>Orders[[#This Row],[Order Date]]</f>
        <v>43884</v>
      </c>
      <c r="D938" s="2">
        <f>YEAR(Orders[[#This Row],[Order Date]])</f>
        <v>2020</v>
      </c>
      <c r="E938" s="2" t="s">
        <v>4152</v>
      </c>
      <c r="F938" t="s">
        <v>6163</v>
      </c>
      <c r="G938" s="20">
        <v>6</v>
      </c>
      <c r="H938" s="2" t="str">
        <f>INDEX(customers!$A$1:$I$1001,MATCH($E938,customers!$A$1:$A$1001,),MATCH($H$1,customers!$A$1:$I$1,0))</f>
        <v>Tuckie Mathonnet</v>
      </c>
      <c r="I938" s="2" t="str">
        <f>IF(INDEX(customers!$A$1:$I$1001,MATCH($E938,customers!$A$1:$A$1001,0),3)=0,"",INDEX(customers!$A$1:$I$1001,MATCH($E938,customers!$A$1:$A$1001,0),3))</f>
        <v>tmathonneti0@google.co.jp</v>
      </c>
      <c r="J938" s="2" t="str">
        <f>_xlfn.XLOOKUP(E938,customers!$A$1:$A$1001,customers!$G$1:$G$1001)</f>
        <v>United States</v>
      </c>
      <c r="K938" t="str">
        <f>INDEX(products!$A$1:$G$49,MATCH($F938,products!$A$1:$A$49,0),MATCH(K$1,products!$A$1:$G$1,0))</f>
        <v>Rob</v>
      </c>
      <c r="L938" t="str">
        <f>INDEX(products!$A$1:$G$49,MATCH($F938,products!$A$1:$A$49,0),MATCH(L$1,products!$A$1:$G$1,0))</f>
        <v>D</v>
      </c>
      <c r="M938" s="5">
        <f>INDEX(products!$A$1:$G$49,MATCH($F938,products!$A$1:$A$49,0),MATCH(M$1,products!$A$1:$G$1,0))</f>
        <v>0.2</v>
      </c>
      <c r="N938" s="7">
        <f>INDEX(products!$A$1:$G$49,MATCH($F938,products!$A$1:$A$49,0),MATCH(N$1,products!$A$1:$G$1,0))</f>
        <v>2.6849999999999996</v>
      </c>
      <c r="O938" s="7">
        <f t="shared" si="14"/>
        <v>16.11</v>
      </c>
      <c r="P938" t="str" cm="1">
        <f t="array" ref="P938">_xlfn.IFS(K938="Rob","Robusta",K938="Exc","Excelsa",K938="Ara","Arabica",K938="Lib","Liberica")</f>
        <v>Robusta</v>
      </c>
      <c r="Q938" t="str" cm="1">
        <f t="array" ref="Q938">_xlfn.IFS(L938="M","Medium",L938="L","Light",L938="D","Dark")</f>
        <v>Dark</v>
      </c>
      <c r="R938" t="str">
        <f>_xlfn.XLOOKUP(Orders[[#This Row],[Customer ID]],customers!$A$1:$A$1001,customers!$I$1:$I$1001)</f>
        <v>No</v>
      </c>
    </row>
    <row r="939" spans="1:18" x14ac:dyDescent="0.35">
      <c r="A939" s="2" t="s">
        <v>3756</v>
      </c>
      <c r="B939" s="4">
        <v>44720</v>
      </c>
      <c r="C939" s="23">
        <f>Orders[[#This Row],[Order Date]]</f>
        <v>44720</v>
      </c>
      <c r="D939" s="2">
        <f>YEAR(Orders[[#This Row],[Order Date]])</f>
        <v>2022</v>
      </c>
      <c r="E939" s="2" t="s">
        <v>3757</v>
      </c>
      <c r="F939" t="s">
        <v>6184</v>
      </c>
      <c r="G939" s="20">
        <v>3</v>
      </c>
      <c r="H939" s="2" t="str">
        <f>INDEX(customers!$A$1:$I$1001,MATCH($E939,customers!$A$1:$A$1001,),MATCH($H$1,customers!$A$1:$I$1,0))</f>
        <v>Tymon Zanetti</v>
      </c>
      <c r="I939" s="2" t="str">
        <f>IF(INDEX(customers!$A$1:$I$1001,MATCH($E939,customers!$A$1:$A$1001,0),3)=0,"",INDEX(customers!$A$1:$I$1001,MATCH($E939,customers!$A$1:$A$1001,0),3))</f>
        <v>tzanettig2@gravatar.com</v>
      </c>
      <c r="J939" s="2" t="str">
        <f>_xlfn.XLOOKUP(E939,customers!$A$1:$A$1001,customers!$G$1:$G$1001)</f>
        <v>Ireland</v>
      </c>
      <c r="K939" t="str">
        <f>INDEX(products!$A$1:$G$49,MATCH($F939,products!$A$1:$A$49,0),MATCH(K$1,products!$A$1:$G$1,0))</f>
        <v>Exc</v>
      </c>
      <c r="L939" t="str">
        <f>INDEX(products!$A$1:$G$49,MATCH($F939,products!$A$1:$A$49,0),MATCH(L$1,products!$A$1:$G$1,0))</f>
        <v>L</v>
      </c>
      <c r="M939" s="5">
        <f>INDEX(products!$A$1:$G$49,MATCH($F939,products!$A$1:$A$49,0),MATCH(M$1,products!$A$1:$G$1,0))</f>
        <v>0.2</v>
      </c>
      <c r="N939" s="7">
        <f>INDEX(products!$A$1:$G$49,MATCH($F939,products!$A$1:$A$49,0),MATCH(N$1,products!$A$1:$G$1,0))</f>
        <v>4.4550000000000001</v>
      </c>
      <c r="O939" s="7">
        <f t="shared" si="14"/>
        <v>13.365</v>
      </c>
      <c r="P939" t="str" cm="1">
        <f t="array" ref="P939">_xlfn.IFS(K939="Rob","Robusta",K939="Exc","Excelsa",K939="Ara","Arabica",K939="Lib","Liberica")</f>
        <v>Excelsa</v>
      </c>
      <c r="Q939" t="str" cm="1">
        <f t="array" ref="Q939">_xlfn.IFS(L939="M","Medium",L939="L","Light",L939="D","Dark")</f>
        <v>Light</v>
      </c>
      <c r="R939" t="str">
        <f>_xlfn.XLOOKUP(Orders[[#This Row],[Customer ID]],customers!$A$1:$A$1001,customers!$I$1:$I$1001)</f>
        <v>No</v>
      </c>
    </row>
    <row r="940" spans="1:18" x14ac:dyDescent="0.35">
      <c r="A940" s="2" t="s">
        <v>3756</v>
      </c>
      <c r="B940" s="4">
        <v>44720</v>
      </c>
      <c r="C940" s="23">
        <f>Orders[[#This Row],[Order Date]]</f>
        <v>44720</v>
      </c>
      <c r="D940" s="2">
        <f>YEAR(Orders[[#This Row],[Order Date]])</f>
        <v>2022</v>
      </c>
      <c r="E940" s="2" t="s">
        <v>3757</v>
      </c>
      <c r="F940" t="s">
        <v>6157</v>
      </c>
      <c r="G940" s="20">
        <v>5</v>
      </c>
      <c r="H940" s="2" t="str">
        <f>INDEX(customers!$A$1:$I$1001,MATCH($E940,customers!$A$1:$A$1001,),MATCH($H$1,customers!$A$1:$I$1,0))</f>
        <v>Tymon Zanetti</v>
      </c>
      <c r="I940" s="2" t="str">
        <f>IF(INDEX(customers!$A$1:$I$1001,MATCH($E940,customers!$A$1:$A$1001,0),3)=0,"",INDEX(customers!$A$1:$I$1001,MATCH($E940,customers!$A$1:$A$1001,0),3))</f>
        <v>tzanettig2@gravatar.com</v>
      </c>
      <c r="J940" s="2" t="str">
        <f>_xlfn.XLOOKUP(E940,customers!$A$1:$A$1001,customers!$G$1:$G$1001)</f>
        <v>Ireland</v>
      </c>
      <c r="K940" t="str">
        <f>INDEX(products!$A$1:$G$49,MATCH($F940,products!$A$1:$A$49,0),MATCH(K$1,products!$A$1:$G$1,0))</f>
        <v>Ara</v>
      </c>
      <c r="L940" t="str">
        <f>INDEX(products!$A$1:$G$49,MATCH($F940,products!$A$1:$A$49,0),MATCH(L$1,products!$A$1:$G$1,0))</f>
        <v>M</v>
      </c>
      <c r="M940" s="5">
        <f>INDEX(products!$A$1:$G$49,MATCH($F940,products!$A$1:$A$49,0),MATCH(M$1,products!$A$1:$G$1,0))</f>
        <v>0.5</v>
      </c>
      <c r="N940" s="7">
        <f>INDEX(products!$A$1:$G$49,MATCH($F940,products!$A$1:$A$49,0),MATCH(N$1,products!$A$1:$G$1,0))</f>
        <v>6.75</v>
      </c>
      <c r="O940" s="7">
        <f t="shared" si="14"/>
        <v>33.75</v>
      </c>
      <c r="P940" t="str" cm="1">
        <f t="array" ref="P940">_xlfn.IFS(K940="Rob","Robusta",K940="Exc","Excelsa",K940="Ara","Arabica",K940="Lib","Liberica")</f>
        <v>Arabica</v>
      </c>
      <c r="Q940" t="str" cm="1">
        <f t="array" ref="Q940">_xlfn.IFS(L940="M","Medium",L940="L","Light",L940="D","Dark")</f>
        <v>Medium</v>
      </c>
      <c r="R940" t="str">
        <f>_xlfn.XLOOKUP(Orders[[#This Row],[Customer ID]],customers!$A$1:$A$1001,customers!$I$1:$I$1001)</f>
        <v>No</v>
      </c>
    </row>
    <row r="941" spans="1:18" x14ac:dyDescent="0.35">
      <c r="A941" s="2" t="s">
        <v>4892</v>
      </c>
      <c r="B941" s="4">
        <v>43985</v>
      </c>
      <c r="C941" s="23">
        <f>Orders[[#This Row],[Order Date]]</f>
        <v>43985</v>
      </c>
      <c r="D941" s="2">
        <f>YEAR(Orders[[#This Row],[Order Date]])</f>
        <v>2020</v>
      </c>
      <c r="E941" s="2" t="s">
        <v>4893</v>
      </c>
      <c r="F941" t="s">
        <v>6143</v>
      </c>
      <c r="G941" s="20">
        <v>6</v>
      </c>
      <c r="H941" s="2" t="str">
        <f>INDEX(customers!$A$1:$I$1001,MATCH($E941,customers!$A$1:$A$1001,),MATCH($H$1,customers!$A$1:$I$1,0))</f>
        <v>Ugo Southerden</v>
      </c>
      <c r="I941" s="2" t="str">
        <f>IF(INDEX(customers!$A$1:$I$1001,MATCH($E941,customers!$A$1:$A$1001,0),3)=0,"",INDEX(customers!$A$1:$I$1001,MATCH($E941,customers!$A$1:$A$1001,0),3))</f>
        <v>usoutherdenln@hao123.com</v>
      </c>
      <c r="J941" s="2" t="str">
        <f>_xlfn.XLOOKUP(E941,customers!$A$1:$A$1001,customers!$G$1:$G$1001)</f>
        <v>United States</v>
      </c>
      <c r="K941" t="str">
        <f>INDEX(products!$A$1:$G$49,MATCH($F941,products!$A$1:$A$49,0),MATCH(K$1,products!$A$1:$G$1,0))</f>
        <v>Lib</v>
      </c>
      <c r="L941" t="str">
        <f>INDEX(products!$A$1:$G$49,MATCH($F941,products!$A$1:$A$49,0),MATCH(L$1,products!$A$1:$G$1,0))</f>
        <v>D</v>
      </c>
      <c r="M941" s="5">
        <f>INDEX(products!$A$1:$G$49,MATCH($F941,products!$A$1:$A$49,0),MATCH(M$1,products!$A$1:$G$1,0))</f>
        <v>1</v>
      </c>
      <c r="N941" s="7">
        <f>INDEX(products!$A$1:$G$49,MATCH($F941,products!$A$1:$A$49,0),MATCH(N$1,products!$A$1:$G$1,0))</f>
        <v>12.95</v>
      </c>
      <c r="O941" s="7">
        <f t="shared" si="14"/>
        <v>77.699999999999989</v>
      </c>
      <c r="P941" t="str" cm="1">
        <f t="array" ref="P941">_xlfn.IFS(K941="Rob","Robusta",K941="Exc","Excelsa",K941="Ara","Arabica",K941="Lib","Liberica")</f>
        <v>Liberica</v>
      </c>
      <c r="Q941" t="str" cm="1">
        <f t="array" ref="Q941">_xlfn.IFS(L941="M","Medium",L941="L","Light",L941="D","Dark")</f>
        <v>Dark</v>
      </c>
      <c r="R941" t="str">
        <f>_xlfn.XLOOKUP(Orders[[#This Row],[Customer ID]],customers!$A$1:$A$1001,customers!$I$1:$I$1001)</f>
        <v>Yes</v>
      </c>
    </row>
    <row r="942" spans="1:18" x14ac:dyDescent="0.35">
      <c r="A942" s="2" t="s">
        <v>681</v>
      </c>
      <c r="B942" s="4">
        <v>44011</v>
      </c>
      <c r="C942" s="23">
        <f>Orders[[#This Row],[Order Date]]</f>
        <v>44011</v>
      </c>
      <c r="D942" s="2">
        <f>YEAR(Orders[[#This Row],[Order Date]])</f>
        <v>2020</v>
      </c>
      <c r="E942" s="2" t="s">
        <v>682</v>
      </c>
      <c r="F942" t="s">
        <v>6161</v>
      </c>
      <c r="G942" s="20">
        <v>6</v>
      </c>
      <c r="H942" s="2" t="str">
        <f>INDEX(customers!$A$1:$I$1001,MATCH($E942,customers!$A$1:$A$1001,),MATCH($H$1,customers!$A$1:$I$1,0))</f>
        <v>Una Welberry</v>
      </c>
      <c r="I942" s="2" t="str">
        <f>IF(INDEX(customers!$A$1:$I$1001,MATCH($E942,customers!$A$1:$A$1001,0),3)=0,"",INDEX(customers!$A$1:$I$1001,MATCH($E942,customers!$A$1:$A$1001,0),3))</f>
        <v>uwelberryy@ebay.co.uk</v>
      </c>
      <c r="J942" s="2" t="str">
        <f>_xlfn.XLOOKUP(E942,customers!$A$1:$A$1001,customers!$G$1:$G$1001)</f>
        <v>United Kingdom</v>
      </c>
      <c r="K942" t="str">
        <f>INDEX(products!$A$1:$G$49,MATCH($F942,products!$A$1:$A$49,0),MATCH(K$1,products!$A$1:$G$1,0))</f>
        <v>Lib</v>
      </c>
      <c r="L942" t="str">
        <f>INDEX(products!$A$1:$G$49,MATCH($F942,products!$A$1:$A$49,0),MATCH(L$1,products!$A$1:$G$1,0))</f>
        <v>L</v>
      </c>
      <c r="M942" s="5">
        <f>INDEX(products!$A$1:$G$49,MATCH($F942,products!$A$1:$A$49,0),MATCH(M$1,products!$A$1:$G$1,0))</f>
        <v>0.5</v>
      </c>
      <c r="N942" s="7">
        <f>INDEX(products!$A$1:$G$49,MATCH($F942,products!$A$1:$A$49,0),MATCH(N$1,products!$A$1:$G$1,0))</f>
        <v>9.51</v>
      </c>
      <c r="O942" s="7">
        <f t="shared" si="14"/>
        <v>57.06</v>
      </c>
      <c r="P942" t="str" cm="1">
        <f t="array" ref="P942">_xlfn.IFS(K942="Rob","Robusta",K942="Exc","Excelsa",K942="Ara","Arabica",K942="Lib","Liberica")</f>
        <v>Liberica</v>
      </c>
      <c r="Q942" t="str" cm="1">
        <f t="array" ref="Q942">_xlfn.IFS(L942="M","Medium",L942="L","Light",L942="D","Dark")</f>
        <v>Light</v>
      </c>
      <c r="R942" t="str">
        <f>_xlfn.XLOOKUP(Orders[[#This Row],[Customer ID]],customers!$A$1:$A$1001,customers!$I$1:$I$1001)</f>
        <v>Yes</v>
      </c>
    </row>
    <row r="943" spans="1:18" x14ac:dyDescent="0.35">
      <c r="A943" s="2" t="s">
        <v>3271</v>
      </c>
      <c r="B943" s="4">
        <v>44620</v>
      </c>
      <c r="C943" s="23">
        <f>Orders[[#This Row],[Order Date]]</f>
        <v>44620</v>
      </c>
      <c r="D943" s="2">
        <f>YEAR(Orders[[#This Row],[Order Date]])</f>
        <v>2022</v>
      </c>
      <c r="E943" s="2" t="s">
        <v>3272</v>
      </c>
      <c r="F943" t="s">
        <v>6156</v>
      </c>
      <c r="G943" s="20">
        <v>1</v>
      </c>
      <c r="H943" s="2" t="str">
        <f>INDEX(customers!$A$1:$I$1001,MATCH($E943,customers!$A$1:$A$1001,),MATCH($H$1,customers!$A$1:$I$1,0))</f>
        <v>Uriah Lethbrig</v>
      </c>
      <c r="I943" s="2" t="str">
        <f>IF(INDEX(customers!$A$1:$I$1001,MATCH($E943,customers!$A$1:$A$1001,0),3)=0,"",INDEX(customers!$A$1:$I$1001,MATCH($E943,customers!$A$1:$A$1001,0),3))</f>
        <v>ulethbrigdo@hc360.com</v>
      </c>
      <c r="J943" s="2" t="str">
        <f>_xlfn.XLOOKUP(E943,customers!$A$1:$A$1001,customers!$G$1:$G$1001)</f>
        <v>United States</v>
      </c>
      <c r="K943" t="str">
        <f>INDEX(products!$A$1:$G$49,MATCH($F943,products!$A$1:$A$49,0),MATCH(K$1,products!$A$1:$G$1,0))</f>
        <v>Exc</v>
      </c>
      <c r="L943" t="str">
        <f>INDEX(products!$A$1:$G$49,MATCH($F943,products!$A$1:$A$49,0),MATCH(L$1,products!$A$1:$G$1,0))</f>
        <v>M</v>
      </c>
      <c r="M943" s="5">
        <f>INDEX(products!$A$1:$G$49,MATCH($F943,products!$A$1:$A$49,0),MATCH(M$1,products!$A$1:$G$1,0))</f>
        <v>0.2</v>
      </c>
      <c r="N943" s="7">
        <f>INDEX(products!$A$1:$G$49,MATCH($F943,products!$A$1:$A$49,0),MATCH(N$1,products!$A$1:$G$1,0))</f>
        <v>4.125</v>
      </c>
      <c r="O943" s="7">
        <f t="shared" si="14"/>
        <v>4.125</v>
      </c>
      <c r="P943" t="str" cm="1">
        <f t="array" ref="P943">_xlfn.IFS(K943="Rob","Robusta",K943="Exc","Excelsa",K943="Ara","Arabica",K943="Lib","Liberica")</f>
        <v>Excelsa</v>
      </c>
      <c r="Q943" t="str" cm="1">
        <f t="array" ref="Q943">_xlfn.IFS(L943="M","Medium",L943="L","Light",L943="D","Dark")</f>
        <v>Medium</v>
      </c>
      <c r="R943" t="str">
        <f>_xlfn.XLOOKUP(Orders[[#This Row],[Customer ID]],customers!$A$1:$A$1001,customers!$I$1:$I$1001)</f>
        <v>Yes</v>
      </c>
    </row>
    <row r="944" spans="1:18" x14ac:dyDescent="0.35">
      <c r="A944" s="2" t="s">
        <v>4217</v>
      </c>
      <c r="B944" s="4">
        <v>44084</v>
      </c>
      <c r="C944" s="23">
        <f>Orders[[#This Row],[Order Date]]</f>
        <v>44084</v>
      </c>
      <c r="D944" s="2">
        <f>YEAR(Orders[[#This Row],[Order Date]])</f>
        <v>2020</v>
      </c>
      <c r="E944" s="2" t="s">
        <v>4218</v>
      </c>
      <c r="F944" t="s">
        <v>6176</v>
      </c>
      <c r="G944" s="20">
        <v>6</v>
      </c>
      <c r="H944" s="2" t="str">
        <f>INDEX(customers!$A$1:$I$1001,MATCH($E944,customers!$A$1:$A$1001,),MATCH($H$1,customers!$A$1:$I$1,0))</f>
        <v>Val Wakelin</v>
      </c>
      <c r="I944" s="2" t="str">
        <f>IF(INDEX(customers!$A$1:$I$1001,MATCH($E944,customers!$A$1:$A$1001,0),3)=0,"",INDEX(customers!$A$1:$I$1001,MATCH($E944,customers!$A$1:$A$1001,0),3))</f>
        <v>vwakelinic@unesco.org</v>
      </c>
      <c r="J944" s="2" t="str">
        <f>_xlfn.XLOOKUP(E944,customers!$A$1:$A$1001,customers!$G$1:$G$1001)</f>
        <v>United States</v>
      </c>
      <c r="K944" t="str">
        <f>INDEX(products!$A$1:$G$49,MATCH($F944,products!$A$1:$A$49,0),MATCH(K$1,products!$A$1:$G$1,0))</f>
        <v>Exc</v>
      </c>
      <c r="L944" t="str">
        <f>INDEX(products!$A$1:$G$49,MATCH($F944,products!$A$1:$A$49,0),MATCH(L$1,products!$A$1:$G$1,0))</f>
        <v>L</v>
      </c>
      <c r="M944" s="5">
        <f>INDEX(products!$A$1:$G$49,MATCH($F944,products!$A$1:$A$49,0),MATCH(M$1,products!$A$1:$G$1,0))</f>
        <v>0.5</v>
      </c>
      <c r="N944" s="7">
        <f>INDEX(products!$A$1:$G$49,MATCH($F944,products!$A$1:$A$49,0),MATCH(N$1,products!$A$1:$G$1,0))</f>
        <v>8.91</v>
      </c>
      <c r="O944" s="7">
        <f t="shared" si="14"/>
        <v>53.46</v>
      </c>
      <c r="P944" t="str" cm="1">
        <f t="array" ref="P944">_xlfn.IFS(K944="Rob","Robusta",K944="Exc","Excelsa",K944="Ara","Arabica",K944="Lib","Liberica")</f>
        <v>Excelsa</v>
      </c>
      <c r="Q944" t="str" cm="1">
        <f t="array" ref="Q944">_xlfn.IFS(L944="M","Medium",L944="L","Light",L944="D","Dark")</f>
        <v>Light</v>
      </c>
      <c r="R944" t="str">
        <f>_xlfn.XLOOKUP(Orders[[#This Row],[Customer ID]],customers!$A$1:$A$1001,customers!$I$1:$I$1001)</f>
        <v>No</v>
      </c>
    </row>
    <row r="945" spans="1:18" x14ac:dyDescent="0.35">
      <c r="A945" s="2" t="s">
        <v>3812</v>
      </c>
      <c r="B945" s="4">
        <v>44046</v>
      </c>
      <c r="C945" s="23">
        <f>Orders[[#This Row],[Order Date]]</f>
        <v>44046</v>
      </c>
      <c r="D945" s="2">
        <f>YEAR(Orders[[#This Row],[Order Date]])</f>
        <v>2020</v>
      </c>
      <c r="E945" s="2" t="s">
        <v>3813</v>
      </c>
      <c r="F945" t="s">
        <v>6146</v>
      </c>
      <c r="G945" s="20">
        <v>2</v>
      </c>
      <c r="H945" s="2" t="str">
        <f>INDEX(customers!$A$1:$I$1001,MATCH($E945,customers!$A$1:$A$1001,),MATCH($H$1,customers!$A$1:$I$1,0))</f>
        <v>Valenka Stansbury</v>
      </c>
      <c r="I945" s="2" t="str">
        <f>IF(INDEX(customers!$A$1:$I$1001,MATCH($E945,customers!$A$1:$A$1001,0),3)=0,"",INDEX(customers!$A$1:$I$1001,MATCH($E945,customers!$A$1:$A$1001,0),3))</f>
        <v>vstansburygc@unblog.fr</v>
      </c>
      <c r="J945" s="2" t="str">
        <f>_xlfn.XLOOKUP(E945,customers!$A$1:$A$1001,customers!$G$1:$G$1001)</f>
        <v>United States</v>
      </c>
      <c r="K945" t="str">
        <f>INDEX(products!$A$1:$G$49,MATCH($F945,products!$A$1:$A$49,0),MATCH(K$1,products!$A$1:$G$1,0))</f>
        <v>Rob</v>
      </c>
      <c r="L945" t="str">
        <f>INDEX(products!$A$1:$G$49,MATCH($F945,products!$A$1:$A$49,0),MATCH(L$1,products!$A$1:$G$1,0))</f>
        <v>M</v>
      </c>
      <c r="M945" s="5">
        <f>INDEX(products!$A$1:$G$49,MATCH($F945,products!$A$1:$A$49,0),MATCH(M$1,products!$A$1:$G$1,0))</f>
        <v>0.5</v>
      </c>
      <c r="N945" s="7">
        <f>INDEX(products!$A$1:$G$49,MATCH($F945,products!$A$1:$A$49,0),MATCH(N$1,products!$A$1:$G$1,0))</f>
        <v>5.97</v>
      </c>
      <c r="O945" s="7">
        <f t="shared" si="14"/>
        <v>11.94</v>
      </c>
      <c r="P945" t="str" cm="1">
        <f t="array" ref="P945">_xlfn.IFS(K945="Rob","Robusta",K945="Exc","Excelsa",K945="Ara","Arabica",K945="Lib","Liberica")</f>
        <v>Robusta</v>
      </c>
      <c r="Q945" t="str" cm="1">
        <f t="array" ref="Q945">_xlfn.IFS(L945="M","Medium",L945="L","Light",L945="D","Dark")</f>
        <v>Medium</v>
      </c>
      <c r="R945" t="str">
        <f>_xlfn.XLOOKUP(Orders[[#This Row],[Customer ID]],customers!$A$1:$A$1001,customers!$I$1:$I$1001)</f>
        <v>Yes</v>
      </c>
    </row>
    <row r="946" spans="1:18" x14ac:dyDescent="0.35">
      <c r="A946" s="2" t="s">
        <v>1276</v>
      </c>
      <c r="B946" s="4">
        <v>44694</v>
      </c>
      <c r="C946" s="23">
        <f>Orders[[#This Row],[Order Date]]</f>
        <v>44694</v>
      </c>
      <c r="D946" s="2">
        <f>YEAR(Orders[[#This Row],[Order Date]])</f>
        <v>2022</v>
      </c>
      <c r="E946" s="2" t="s">
        <v>1277</v>
      </c>
      <c r="F946" t="s">
        <v>6165</v>
      </c>
      <c r="G946" s="20">
        <v>1</v>
      </c>
      <c r="H946" s="2" t="str">
        <f>INDEX(customers!$A$1:$I$1001,MATCH($E946,customers!$A$1:$A$1001,),MATCH($H$1,customers!$A$1:$I$1,0))</f>
        <v>Vallie Kundt</v>
      </c>
      <c r="I946" s="2" t="str">
        <f>IF(INDEX(customers!$A$1:$I$1001,MATCH($E946,customers!$A$1:$A$1001,0),3)=0,"",INDEX(customers!$A$1:$I$1001,MATCH($E946,customers!$A$1:$A$1001,0),3))</f>
        <v>vkundt3w@bigcartel.com</v>
      </c>
      <c r="J946" s="2" t="str">
        <f>_xlfn.XLOOKUP(E946,customers!$A$1:$A$1001,customers!$G$1:$G$1001)</f>
        <v>Ireland</v>
      </c>
      <c r="K946" t="str">
        <f>INDEX(products!$A$1:$G$49,MATCH($F946,products!$A$1:$A$49,0),MATCH(K$1,products!$A$1:$G$1,0))</f>
        <v>Lib</v>
      </c>
      <c r="L946" t="str">
        <f>INDEX(products!$A$1:$G$49,MATCH($F946,products!$A$1:$A$49,0),MATCH(L$1,products!$A$1:$G$1,0))</f>
        <v>D</v>
      </c>
      <c r="M946" s="5">
        <f>INDEX(products!$A$1:$G$49,MATCH($F946,products!$A$1:$A$49,0),MATCH(M$1,products!$A$1:$G$1,0))</f>
        <v>2.5</v>
      </c>
      <c r="N946" s="7">
        <f>INDEX(products!$A$1:$G$49,MATCH($F946,products!$A$1:$A$49,0),MATCH(N$1,products!$A$1:$G$1,0))</f>
        <v>29.784999999999997</v>
      </c>
      <c r="O946" s="7">
        <f t="shared" si="14"/>
        <v>29.784999999999997</v>
      </c>
      <c r="P946" t="str" cm="1">
        <f t="array" ref="P946">_xlfn.IFS(K946="Rob","Robusta",K946="Exc","Excelsa",K946="Ara","Arabica",K946="Lib","Liberica")</f>
        <v>Liberica</v>
      </c>
      <c r="Q946" t="str" cm="1">
        <f t="array" ref="Q946">_xlfn.IFS(L946="M","Medium",L946="L","Light",L946="D","Dark")</f>
        <v>Dark</v>
      </c>
      <c r="R946" t="str">
        <f>_xlfn.XLOOKUP(Orders[[#This Row],[Customer ID]],customers!$A$1:$A$1001,customers!$I$1:$I$1001)</f>
        <v>Yes</v>
      </c>
    </row>
    <row r="947" spans="1:18" x14ac:dyDescent="0.35">
      <c r="A947" s="2" t="s">
        <v>1632</v>
      </c>
      <c r="B947" s="4">
        <v>44608</v>
      </c>
      <c r="C947" s="23">
        <f>Orders[[#This Row],[Order Date]]</f>
        <v>44608</v>
      </c>
      <c r="D947" s="2">
        <f>YEAR(Orders[[#This Row],[Order Date]])</f>
        <v>2022</v>
      </c>
      <c r="E947" s="2" t="s">
        <v>1633</v>
      </c>
      <c r="F947" t="s">
        <v>6145</v>
      </c>
      <c r="G947" s="20">
        <v>1</v>
      </c>
      <c r="H947" s="2" t="str">
        <f>INDEX(customers!$A$1:$I$1001,MATCH($E947,customers!$A$1:$A$1001,),MATCH($H$1,customers!$A$1:$I$1,0))</f>
        <v>Vanna Le - Count</v>
      </c>
      <c r="I947" s="2" t="str">
        <f>IF(INDEX(customers!$A$1:$I$1001,MATCH($E947,customers!$A$1:$A$1001,0),3)=0,"",INDEX(customers!$A$1:$I$1001,MATCH($E947,customers!$A$1:$A$1001,0),3))</f>
        <v>vle5n@disqus.com</v>
      </c>
      <c r="J947" s="2" t="str">
        <f>_xlfn.XLOOKUP(E947,customers!$A$1:$A$1001,customers!$G$1:$G$1001)</f>
        <v>United States</v>
      </c>
      <c r="K947" t="str">
        <f>INDEX(products!$A$1:$G$49,MATCH($F947,products!$A$1:$A$49,0),MATCH(K$1,products!$A$1:$G$1,0))</f>
        <v>Lib</v>
      </c>
      <c r="L947" t="str">
        <f>INDEX(products!$A$1:$G$49,MATCH($F947,products!$A$1:$A$49,0),MATCH(L$1,products!$A$1:$G$1,0))</f>
        <v>L</v>
      </c>
      <c r="M947" s="5">
        <f>INDEX(products!$A$1:$G$49,MATCH($F947,products!$A$1:$A$49,0),MATCH(M$1,products!$A$1:$G$1,0))</f>
        <v>0.2</v>
      </c>
      <c r="N947" s="7">
        <f>INDEX(products!$A$1:$G$49,MATCH($F947,products!$A$1:$A$49,0),MATCH(N$1,products!$A$1:$G$1,0))</f>
        <v>4.7549999999999999</v>
      </c>
      <c r="O947" s="7">
        <f t="shared" si="14"/>
        <v>4.7549999999999999</v>
      </c>
      <c r="P947" t="str" cm="1">
        <f t="array" ref="P947">_xlfn.IFS(K947="Rob","Robusta",K947="Exc","Excelsa",K947="Ara","Arabica",K947="Lib","Liberica")</f>
        <v>Liberica</v>
      </c>
      <c r="Q947" t="str" cm="1">
        <f t="array" ref="Q947">_xlfn.IFS(L947="M","Medium",L947="L","Light",L947="D","Dark")</f>
        <v>Light</v>
      </c>
      <c r="R947" t="str">
        <f>_xlfn.XLOOKUP(Orders[[#This Row],[Customer ID]],customers!$A$1:$A$1001,customers!$I$1:$I$1001)</f>
        <v>No</v>
      </c>
    </row>
    <row r="948" spans="1:18" x14ac:dyDescent="0.35">
      <c r="A948" s="2" t="s">
        <v>2615</v>
      </c>
      <c r="B948" s="4">
        <v>43532</v>
      </c>
      <c r="C948" s="23">
        <f>Orders[[#This Row],[Order Date]]</f>
        <v>43532</v>
      </c>
      <c r="D948" s="2">
        <f>YEAR(Orders[[#This Row],[Order Date]])</f>
        <v>2019</v>
      </c>
      <c r="E948" s="2" t="s">
        <v>2616</v>
      </c>
      <c r="F948" t="s">
        <v>6163</v>
      </c>
      <c r="G948" s="20">
        <v>3</v>
      </c>
      <c r="H948" s="2" t="str">
        <f>INDEX(customers!$A$1:$I$1001,MATCH($E948,customers!$A$1:$A$1001,),MATCH($H$1,customers!$A$1:$I$1,0))</f>
        <v>Vanya Skullet</v>
      </c>
      <c r="I948" s="2" t="str">
        <f>IF(INDEX(customers!$A$1:$I$1001,MATCH($E948,customers!$A$1:$A$1001,0),3)=0,"",INDEX(customers!$A$1:$I$1001,MATCH($E948,customers!$A$1:$A$1001,0),3))</f>
        <v>vskulletah@tinyurl.com</v>
      </c>
      <c r="J948" s="2" t="str">
        <f>_xlfn.XLOOKUP(E948,customers!$A$1:$A$1001,customers!$G$1:$G$1001)</f>
        <v>Ireland</v>
      </c>
      <c r="K948" t="str">
        <f>INDEX(products!$A$1:$G$49,MATCH($F948,products!$A$1:$A$49,0),MATCH(K$1,products!$A$1:$G$1,0))</f>
        <v>Rob</v>
      </c>
      <c r="L948" t="str">
        <f>INDEX(products!$A$1:$G$49,MATCH($F948,products!$A$1:$A$49,0),MATCH(L$1,products!$A$1:$G$1,0))</f>
        <v>D</v>
      </c>
      <c r="M948" s="5">
        <f>INDEX(products!$A$1:$G$49,MATCH($F948,products!$A$1:$A$49,0),MATCH(M$1,products!$A$1:$G$1,0))</f>
        <v>0.2</v>
      </c>
      <c r="N948" s="7">
        <f>INDEX(products!$A$1:$G$49,MATCH($F948,products!$A$1:$A$49,0),MATCH(N$1,products!$A$1:$G$1,0))</f>
        <v>2.6849999999999996</v>
      </c>
      <c r="O948" s="7">
        <f t="shared" si="14"/>
        <v>8.0549999999999997</v>
      </c>
      <c r="P948" t="str" cm="1">
        <f t="array" ref="P948">_xlfn.IFS(K948="Rob","Robusta",K948="Exc","Excelsa",K948="Ara","Arabica",K948="Lib","Liberica")</f>
        <v>Robusta</v>
      </c>
      <c r="Q948" t="str" cm="1">
        <f t="array" ref="Q948">_xlfn.IFS(L948="M","Medium",L948="L","Light",L948="D","Dark")</f>
        <v>Dark</v>
      </c>
      <c r="R948" t="str">
        <f>_xlfn.XLOOKUP(Orders[[#This Row],[Customer ID]],customers!$A$1:$A$1001,customers!$I$1:$I$1001)</f>
        <v>No</v>
      </c>
    </row>
    <row r="949" spans="1:18" x14ac:dyDescent="0.35">
      <c r="A949" s="2" t="s">
        <v>3441</v>
      </c>
      <c r="B949" s="4">
        <v>43625</v>
      </c>
      <c r="C949" s="23">
        <f>Orders[[#This Row],[Order Date]]</f>
        <v>43625</v>
      </c>
      <c r="D949" s="2">
        <f>YEAR(Orders[[#This Row],[Order Date]])</f>
        <v>2019</v>
      </c>
      <c r="E949" s="2" t="s">
        <v>3442</v>
      </c>
      <c r="F949" t="s">
        <v>6146</v>
      </c>
      <c r="G949" s="20">
        <v>5</v>
      </c>
      <c r="H949" s="2" t="str">
        <f>INDEX(customers!$A$1:$I$1001,MATCH($E949,customers!$A$1:$A$1001,),MATCH($H$1,customers!$A$1:$I$1,0))</f>
        <v>Vasili Upstone</v>
      </c>
      <c r="I949" s="2" t="str">
        <f>IF(INDEX(customers!$A$1:$I$1001,MATCH($E949,customers!$A$1:$A$1001,0),3)=0,"",INDEX(customers!$A$1:$I$1001,MATCH($E949,customers!$A$1:$A$1001,0),3))</f>
        <v>vupstoneei@google.pl</v>
      </c>
      <c r="J949" s="2" t="str">
        <f>_xlfn.XLOOKUP(E949,customers!$A$1:$A$1001,customers!$G$1:$G$1001)</f>
        <v>United States</v>
      </c>
      <c r="K949" t="str">
        <f>INDEX(products!$A$1:$G$49,MATCH($F949,products!$A$1:$A$49,0),MATCH(K$1,products!$A$1:$G$1,0))</f>
        <v>Rob</v>
      </c>
      <c r="L949" t="str">
        <f>INDEX(products!$A$1:$G$49,MATCH($F949,products!$A$1:$A$49,0),MATCH(L$1,products!$A$1:$G$1,0))</f>
        <v>M</v>
      </c>
      <c r="M949" s="5">
        <f>INDEX(products!$A$1:$G$49,MATCH($F949,products!$A$1:$A$49,0),MATCH(M$1,products!$A$1:$G$1,0))</f>
        <v>0.5</v>
      </c>
      <c r="N949" s="7">
        <f>INDEX(products!$A$1:$G$49,MATCH($F949,products!$A$1:$A$49,0),MATCH(N$1,products!$A$1:$G$1,0))</f>
        <v>5.97</v>
      </c>
      <c r="O949" s="7">
        <f t="shared" si="14"/>
        <v>29.849999999999998</v>
      </c>
      <c r="P949" t="str" cm="1">
        <f t="array" ref="P949">_xlfn.IFS(K949="Rob","Robusta",K949="Exc","Excelsa",K949="Ara","Arabica",K949="Lib","Liberica")</f>
        <v>Robusta</v>
      </c>
      <c r="Q949" t="str" cm="1">
        <f t="array" ref="Q949">_xlfn.IFS(L949="M","Medium",L949="L","Light",L949="D","Dark")</f>
        <v>Medium</v>
      </c>
      <c r="R949" t="str">
        <f>_xlfn.XLOOKUP(Orders[[#This Row],[Customer ID]],customers!$A$1:$A$1001,customers!$I$1:$I$1001)</f>
        <v>No</v>
      </c>
    </row>
    <row r="950" spans="1:18" x14ac:dyDescent="0.35">
      <c r="A950" s="2" t="s">
        <v>3617</v>
      </c>
      <c r="B950" s="4">
        <v>44085</v>
      </c>
      <c r="C950" s="23">
        <f>Orders[[#This Row],[Order Date]]</f>
        <v>44085</v>
      </c>
      <c r="D950" s="2">
        <f>YEAR(Orders[[#This Row],[Order Date]])</f>
        <v>2020</v>
      </c>
      <c r="E950" s="2" t="s">
        <v>3618</v>
      </c>
      <c r="F950" t="s">
        <v>6141</v>
      </c>
      <c r="G950" s="20">
        <v>5</v>
      </c>
      <c r="H950" s="2" t="str">
        <f>INDEX(customers!$A$1:$I$1001,MATCH($E950,customers!$A$1:$A$1001,),MATCH($H$1,customers!$A$1:$I$1,0))</f>
        <v>Vasily Polglase</v>
      </c>
      <c r="I950" s="2" t="str">
        <f>IF(INDEX(customers!$A$1:$I$1001,MATCH($E950,customers!$A$1:$A$1001,0),3)=0,"",INDEX(customers!$A$1:$I$1001,MATCH($E950,customers!$A$1:$A$1001,0),3))</f>
        <v>vpolglasefd@about.me</v>
      </c>
      <c r="J950" s="2" t="str">
        <f>_xlfn.XLOOKUP(E950,customers!$A$1:$A$1001,customers!$G$1:$G$1001)</f>
        <v>United States</v>
      </c>
      <c r="K950" t="str">
        <f>INDEX(products!$A$1:$G$49,MATCH($F950,products!$A$1:$A$49,0),MATCH(K$1,products!$A$1:$G$1,0))</f>
        <v>Exc</v>
      </c>
      <c r="L950" t="str">
        <f>INDEX(products!$A$1:$G$49,MATCH($F950,products!$A$1:$A$49,0),MATCH(L$1,products!$A$1:$G$1,0))</f>
        <v>M</v>
      </c>
      <c r="M950" s="5">
        <f>INDEX(products!$A$1:$G$49,MATCH($F950,products!$A$1:$A$49,0),MATCH(M$1,products!$A$1:$G$1,0))</f>
        <v>1</v>
      </c>
      <c r="N950" s="7">
        <f>INDEX(products!$A$1:$G$49,MATCH($F950,products!$A$1:$A$49,0),MATCH(N$1,products!$A$1:$G$1,0))</f>
        <v>13.75</v>
      </c>
      <c r="O950" s="7">
        <f t="shared" si="14"/>
        <v>68.75</v>
      </c>
      <c r="P950" t="str" cm="1">
        <f t="array" ref="P950">_xlfn.IFS(K950="Rob","Robusta",K950="Exc","Excelsa",K950="Ara","Arabica",K950="Lib","Liberica")</f>
        <v>Excelsa</v>
      </c>
      <c r="Q950" t="str" cm="1">
        <f t="array" ref="Q950">_xlfn.IFS(L950="M","Medium",L950="L","Light",L950="D","Dark")</f>
        <v>Medium</v>
      </c>
      <c r="R950" t="str">
        <f>_xlfn.XLOOKUP(Orders[[#This Row],[Customer ID]],customers!$A$1:$A$1001,customers!$I$1:$I$1001)</f>
        <v>No</v>
      </c>
    </row>
    <row r="951" spans="1:18" x14ac:dyDescent="0.35">
      <c r="A951" s="2" t="s">
        <v>4898</v>
      </c>
      <c r="B951" s="4">
        <v>43883</v>
      </c>
      <c r="C951" s="23">
        <f>Orders[[#This Row],[Order Date]]</f>
        <v>43883</v>
      </c>
      <c r="D951" s="2">
        <f>YEAR(Orders[[#This Row],[Order Date]])</f>
        <v>2020</v>
      </c>
      <c r="E951" s="2" t="s">
        <v>4899</v>
      </c>
      <c r="F951" t="s">
        <v>6141</v>
      </c>
      <c r="G951" s="20">
        <v>3</v>
      </c>
      <c r="H951" s="2" t="str">
        <f>INDEX(customers!$A$1:$I$1001,MATCH($E951,customers!$A$1:$A$1001,),MATCH($H$1,customers!$A$1:$I$1,0))</f>
        <v>Verne Dunkerley</v>
      </c>
      <c r="I951" s="2" t="str">
        <f>IF(INDEX(customers!$A$1:$I$1001,MATCH($E951,customers!$A$1:$A$1001,0),3)=0,"",INDEX(customers!$A$1:$I$1001,MATCH($E951,customers!$A$1:$A$1001,0),3))</f>
        <v/>
      </c>
      <c r="J951" s="2" t="str">
        <f>_xlfn.XLOOKUP(E951,customers!$A$1:$A$1001,customers!$G$1:$G$1001)</f>
        <v>United States</v>
      </c>
      <c r="K951" t="str">
        <f>INDEX(products!$A$1:$G$49,MATCH($F951,products!$A$1:$A$49,0),MATCH(K$1,products!$A$1:$G$1,0))</f>
        <v>Exc</v>
      </c>
      <c r="L951" t="str">
        <f>INDEX(products!$A$1:$G$49,MATCH($F951,products!$A$1:$A$49,0),MATCH(L$1,products!$A$1:$G$1,0))</f>
        <v>M</v>
      </c>
      <c r="M951" s="5">
        <f>INDEX(products!$A$1:$G$49,MATCH($F951,products!$A$1:$A$49,0),MATCH(M$1,products!$A$1:$G$1,0))</f>
        <v>1</v>
      </c>
      <c r="N951" s="7">
        <f>INDEX(products!$A$1:$G$49,MATCH($F951,products!$A$1:$A$49,0),MATCH(N$1,products!$A$1:$G$1,0))</f>
        <v>13.75</v>
      </c>
      <c r="O951" s="7">
        <f t="shared" si="14"/>
        <v>41.25</v>
      </c>
      <c r="P951" t="str" cm="1">
        <f t="array" ref="P951">_xlfn.IFS(K951="Rob","Robusta",K951="Exc","Excelsa",K951="Ara","Arabica",K951="Lib","Liberica")</f>
        <v>Excelsa</v>
      </c>
      <c r="Q951" t="str" cm="1">
        <f t="array" ref="Q951">_xlfn.IFS(L951="M","Medium",L951="L","Light",L951="D","Dark")</f>
        <v>Medium</v>
      </c>
      <c r="R951" t="str">
        <f>_xlfn.XLOOKUP(Orders[[#This Row],[Customer ID]],customers!$A$1:$A$1001,customers!$I$1:$I$1001)</f>
        <v>No</v>
      </c>
    </row>
    <row r="952" spans="1:18" x14ac:dyDescent="0.35">
      <c r="A952" s="2" t="s">
        <v>5816</v>
      </c>
      <c r="B952" s="4">
        <v>44464</v>
      </c>
      <c r="C952" s="23">
        <f>Orders[[#This Row],[Order Date]]</f>
        <v>44464</v>
      </c>
      <c r="D952" s="2">
        <f>YEAR(Orders[[#This Row],[Order Date]])</f>
        <v>2021</v>
      </c>
      <c r="E952" s="2" t="s">
        <v>5817</v>
      </c>
      <c r="F952" t="s">
        <v>6179</v>
      </c>
      <c r="G952" s="20">
        <v>3</v>
      </c>
      <c r="H952" s="2" t="str">
        <f>INDEX(customers!$A$1:$I$1001,MATCH($E952,customers!$A$1:$A$1001,),MATCH($H$1,customers!$A$1:$I$1,0))</f>
        <v>Vernor Pawsey</v>
      </c>
      <c r="I952" s="2" t="str">
        <f>IF(INDEX(customers!$A$1:$I$1001,MATCH($E952,customers!$A$1:$A$1001,0),3)=0,"",INDEX(customers!$A$1:$I$1001,MATCH($E952,customers!$A$1:$A$1001,0),3))</f>
        <v>vpawseyq6@tiny.cc</v>
      </c>
      <c r="J952" s="2" t="str">
        <f>_xlfn.XLOOKUP(E952,customers!$A$1:$A$1001,customers!$G$1:$G$1001)</f>
        <v>United States</v>
      </c>
      <c r="K952" t="str">
        <f>INDEX(products!$A$1:$G$49,MATCH($F952,products!$A$1:$A$49,0),MATCH(K$1,products!$A$1:$G$1,0))</f>
        <v>Rob</v>
      </c>
      <c r="L952" t="str">
        <f>INDEX(products!$A$1:$G$49,MATCH($F952,products!$A$1:$A$49,0),MATCH(L$1,products!$A$1:$G$1,0))</f>
        <v>L</v>
      </c>
      <c r="M952" s="5">
        <f>INDEX(products!$A$1:$G$49,MATCH($F952,products!$A$1:$A$49,0),MATCH(M$1,products!$A$1:$G$1,0))</f>
        <v>1</v>
      </c>
      <c r="N952" s="7">
        <f>INDEX(products!$A$1:$G$49,MATCH($F952,products!$A$1:$A$49,0),MATCH(N$1,products!$A$1:$G$1,0))</f>
        <v>11.95</v>
      </c>
      <c r="O952" s="7">
        <f t="shared" si="14"/>
        <v>35.849999999999994</v>
      </c>
      <c r="P952" t="str" cm="1">
        <f t="array" ref="P952">_xlfn.IFS(K952="Rob","Robusta",K952="Exc","Excelsa",K952="Ara","Arabica",K952="Lib","Liberica")</f>
        <v>Robusta</v>
      </c>
      <c r="Q952" t="str" cm="1">
        <f t="array" ref="Q952">_xlfn.IFS(L952="M","Medium",L952="L","Light",L952="D","Dark")</f>
        <v>Light</v>
      </c>
      <c r="R952" t="str">
        <f>_xlfn.XLOOKUP(Orders[[#This Row],[Customer ID]],customers!$A$1:$A$1001,customers!$I$1:$I$1001)</f>
        <v>No</v>
      </c>
    </row>
    <row r="953" spans="1:18" x14ac:dyDescent="0.35">
      <c r="A953" s="2" t="s">
        <v>1027</v>
      </c>
      <c r="B953" s="4">
        <v>44171</v>
      </c>
      <c r="C953" s="23">
        <f>Orders[[#This Row],[Order Date]]</f>
        <v>44171</v>
      </c>
      <c r="D953" s="2">
        <f>YEAR(Orders[[#This Row],[Order Date]])</f>
        <v>2020</v>
      </c>
      <c r="E953" s="2" t="s">
        <v>1028</v>
      </c>
      <c r="F953" t="s">
        <v>6154</v>
      </c>
      <c r="G953" s="20">
        <v>2</v>
      </c>
      <c r="H953" s="2" t="str">
        <f>INDEX(customers!$A$1:$I$1001,MATCH($E953,customers!$A$1:$A$1001,),MATCH($H$1,customers!$A$1:$I$1,0))</f>
        <v>Vicki Kirdsch</v>
      </c>
      <c r="I953" s="2" t="str">
        <f>IF(INDEX(customers!$A$1:$I$1001,MATCH($E953,customers!$A$1:$A$1001,0),3)=0,"",INDEX(customers!$A$1:$I$1001,MATCH($E953,customers!$A$1:$A$1001,0),3))</f>
        <v>vkirdsch2o@google.fr</v>
      </c>
      <c r="J953" s="2" t="str">
        <f>_xlfn.XLOOKUP(E953,customers!$A$1:$A$1001,customers!$G$1:$G$1001)</f>
        <v>United States</v>
      </c>
      <c r="K953" t="str">
        <f>INDEX(products!$A$1:$G$49,MATCH($F953,products!$A$1:$A$49,0),MATCH(K$1,products!$A$1:$G$1,0))</f>
        <v>Ara</v>
      </c>
      <c r="L953" t="str">
        <f>INDEX(products!$A$1:$G$49,MATCH($F953,products!$A$1:$A$49,0),MATCH(L$1,products!$A$1:$G$1,0))</f>
        <v>D</v>
      </c>
      <c r="M953" s="5">
        <f>INDEX(products!$A$1:$G$49,MATCH($F953,products!$A$1:$A$49,0),MATCH(M$1,products!$A$1:$G$1,0))</f>
        <v>0.2</v>
      </c>
      <c r="N953" s="7">
        <f>INDEX(products!$A$1:$G$49,MATCH($F953,products!$A$1:$A$49,0),MATCH(N$1,products!$A$1:$G$1,0))</f>
        <v>2.9849999999999999</v>
      </c>
      <c r="O953" s="7">
        <f t="shared" si="14"/>
        <v>5.97</v>
      </c>
      <c r="P953" t="str" cm="1">
        <f t="array" ref="P953">_xlfn.IFS(K953="Rob","Robusta",K953="Exc","Excelsa",K953="Ara","Arabica",K953="Lib","Liberica")</f>
        <v>Arabica</v>
      </c>
      <c r="Q953" t="str" cm="1">
        <f t="array" ref="Q953">_xlfn.IFS(L953="M","Medium",L953="L","Light",L953="D","Dark")</f>
        <v>Dark</v>
      </c>
      <c r="R953" t="str">
        <f>_xlfn.XLOOKUP(Orders[[#This Row],[Customer ID]],customers!$A$1:$A$1001,customers!$I$1:$I$1001)</f>
        <v>No</v>
      </c>
    </row>
    <row r="954" spans="1:18" x14ac:dyDescent="0.35">
      <c r="A954" s="2" t="s">
        <v>6133</v>
      </c>
      <c r="B954" s="4">
        <v>44119</v>
      </c>
      <c r="C954" s="23">
        <f>Orders[[#This Row],[Order Date]]</f>
        <v>44119</v>
      </c>
      <c r="D954" s="2">
        <f>YEAR(Orders[[#This Row],[Order Date]])</f>
        <v>2020</v>
      </c>
      <c r="E954" s="2" t="s">
        <v>6134</v>
      </c>
      <c r="F954" t="s">
        <v>6156</v>
      </c>
      <c r="G954" s="20">
        <v>3</v>
      </c>
      <c r="H954" s="2" t="str">
        <f>INDEX(customers!$A$1:$I$1001,MATCH($E954,customers!$A$1:$A$1001,),MATCH($H$1,customers!$A$1:$I$1,0))</f>
        <v>Vidovic Antonelli</v>
      </c>
      <c r="I954" s="2" t="str">
        <f>IF(INDEX(customers!$A$1:$I$1001,MATCH($E954,customers!$A$1:$A$1001,0),3)=0,"",INDEX(customers!$A$1:$I$1001,MATCH($E954,customers!$A$1:$A$1001,0),3))</f>
        <v/>
      </c>
      <c r="J954" s="2" t="str">
        <f>_xlfn.XLOOKUP(E954,customers!$A$1:$A$1001,customers!$G$1:$G$1001)</f>
        <v>United Kingdom</v>
      </c>
      <c r="K954" t="str">
        <f>INDEX(products!$A$1:$G$49,MATCH($F954,products!$A$1:$A$49,0),MATCH(K$1,products!$A$1:$G$1,0))</f>
        <v>Exc</v>
      </c>
      <c r="L954" t="str">
        <f>INDEX(products!$A$1:$G$49,MATCH($F954,products!$A$1:$A$49,0),MATCH(L$1,products!$A$1:$G$1,0))</f>
        <v>M</v>
      </c>
      <c r="M954" s="5">
        <f>INDEX(products!$A$1:$G$49,MATCH($F954,products!$A$1:$A$49,0),MATCH(M$1,products!$A$1:$G$1,0))</f>
        <v>0.2</v>
      </c>
      <c r="N954" s="7">
        <f>INDEX(products!$A$1:$G$49,MATCH($F954,products!$A$1:$A$49,0),MATCH(N$1,products!$A$1:$G$1,0))</f>
        <v>4.125</v>
      </c>
      <c r="O954" s="7">
        <f t="shared" si="14"/>
        <v>12.375</v>
      </c>
      <c r="P954" t="str" cm="1">
        <f t="array" ref="P954">_xlfn.IFS(K954="Rob","Robusta",K954="Exc","Excelsa",K954="Ara","Arabica",K954="Lib","Liberica")</f>
        <v>Excelsa</v>
      </c>
      <c r="Q954" t="str" cm="1">
        <f t="array" ref="Q954">_xlfn.IFS(L954="M","Medium",L954="L","Light",L954="D","Dark")</f>
        <v>Medium</v>
      </c>
      <c r="R954" t="str">
        <f>_xlfn.XLOOKUP(Orders[[#This Row],[Customer ID]],customers!$A$1:$A$1001,customers!$I$1:$I$1001)</f>
        <v>Yes</v>
      </c>
    </row>
    <row r="955" spans="1:18" x14ac:dyDescent="0.35">
      <c r="A955" s="2" t="s">
        <v>4735</v>
      </c>
      <c r="B955" s="4">
        <v>43847</v>
      </c>
      <c r="C955" s="23">
        <f>Orders[[#This Row],[Order Date]]</f>
        <v>43847</v>
      </c>
      <c r="D955" s="2">
        <f>YEAR(Orders[[#This Row],[Order Date]])</f>
        <v>2020</v>
      </c>
      <c r="E955" s="2" t="s">
        <v>4736</v>
      </c>
      <c r="F955" t="s">
        <v>6161</v>
      </c>
      <c r="G955" s="20">
        <v>2</v>
      </c>
      <c r="H955" s="2" t="str">
        <f>INDEX(customers!$A$1:$I$1001,MATCH($E955,customers!$A$1:$A$1001,),MATCH($H$1,customers!$A$1:$I$1,0))</f>
        <v>Vinny Shoebotham</v>
      </c>
      <c r="I955" s="2" t="str">
        <f>IF(INDEX(customers!$A$1:$I$1001,MATCH($E955,customers!$A$1:$A$1001,0),3)=0,"",INDEX(customers!$A$1:$I$1001,MATCH($E955,customers!$A$1:$A$1001,0),3))</f>
        <v>vshoebothamkv@redcross.org</v>
      </c>
      <c r="J955" s="2" t="str">
        <f>_xlfn.XLOOKUP(E955,customers!$A$1:$A$1001,customers!$G$1:$G$1001)</f>
        <v>United States</v>
      </c>
      <c r="K955" t="str">
        <f>INDEX(products!$A$1:$G$49,MATCH($F955,products!$A$1:$A$49,0),MATCH(K$1,products!$A$1:$G$1,0))</f>
        <v>Lib</v>
      </c>
      <c r="L955" t="str">
        <f>INDEX(products!$A$1:$G$49,MATCH($F955,products!$A$1:$A$49,0),MATCH(L$1,products!$A$1:$G$1,0))</f>
        <v>L</v>
      </c>
      <c r="M955" s="5">
        <f>INDEX(products!$A$1:$G$49,MATCH($F955,products!$A$1:$A$49,0),MATCH(M$1,products!$A$1:$G$1,0))</f>
        <v>0.5</v>
      </c>
      <c r="N955" s="7">
        <f>INDEX(products!$A$1:$G$49,MATCH($F955,products!$A$1:$A$49,0),MATCH(N$1,products!$A$1:$G$1,0))</f>
        <v>9.51</v>
      </c>
      <c r="O955" s="7">
        <f t="shared" si="14"/>
        <v>19.02</v>
      </c>
      <c r="P955" t="str" cm="1">
        <f t="array" ref="P955">_xlfn.IFS(K955="Rob","Robusta",K955="Exc","Excelsa",K955="Ara","Arabica",K955="Lib","Liberica")</f>
        <v>Liberica</v>
      </c>
      <c r="Q955" t="str" cm="1">
        <f t="array" ref="Q955">_xlfn.IFS(L955="M","Medium",L955="L","Light",L955="D","Dark")</f>
        <v>Light</v>
      </c>
      <c r="R955" t="str">
        <f>_xlfn.XLOOKUP(Orders[[#This Row],[Customer ID]],customers!$A$1:$A$1001,customers!$I$1:$I$1001)</f>
        <v>No</v>
      </c>
    </row>
    <row r="956" spans="1:18" x14ac:dyDescent="0.35">
      <c r="A956" s="2" t="s">
        <v>2133</v>
      </c>
      <c r="B956" s="4">
        <v>44181</v>
      </c>
      <c r="C956" s="23">
        <f>Orders[[#This Row],[Order Date]]</f>
        <v>44181</v>
      </c>
      <c r="D956" s="2">
        <f>YEAR(Orders[[#This Row],[Order Date]])</f>
        <v>2020</v>
      </c>
      <c r="E956" s="2" t="s">
        <v>2134</v>
      </c>
      <c r="F956" t="s">
        <v>6139</v>
      </c>
      <c r="G956" s="20">
        <v>2</v>
      </c>
      <c r="H956" s="2" t="str">
        <f>INDEX(customers!$A$1:$I$1001,MATCH($E956,customers!$A$1:$A$1001,),MATCH($H$1,customers!$A$1:$I$1,0))</f>
        <v>Violante Skouling</v>
      </c>
      <c r="I956" s="2" t="str">
        <f>IF(INDEX(customers!$A$1:$I$1001,MATCH($E956,customers!$A$1:$A$1001,0),3)=0,"",INDEX(customers!$A$1:$I$1001,MATCH($E956,customers!$A$1:$A$1001,0),3))</f>
        <v/>
      </c>
      <c r="J956" s="2" t="str">
        <f>_xlfn.XLOOKUP(E956,customers!$A$1:$A$1001,customers!$G$1:$G$1001)</f>
        <v>Ireland</v>
      </c>
      <c r="K956" t="str">
        <f>INDEX(products!$A$1:$G$49,MATCH($F956,products!$A$1:$A$49,0),MATCH(K$1,products!$A$1:$G$1,0))</f>
        <v>Exc</v>
      </c>
      <c r="L956" t="str">
        <f>INDEX(products!$A$1:$G$49,MATCH($F956,products!$A$1:$A$49,0),MATCH(L$1,products!$A$1:$G$1,0))</f>
        <v>M</v>
      </c>
      <c r="M956" s="5">
        <f>INDEX(products!$A$1:$G$49,MATCH($F956,products!$A$1:$A$49,0),MATCH(M$1,products!$A$1:$G$1,0))</f>
        <v>0.5</v>
      </c>
      <c r="N956" s="7">
        <f>INDEX(products!$A$1:$G$49,MATCH($F956,products!$A$1:$A$49,0),MATCH(N$1,products!$A$1:$G$1,0))</f>
        <v>8.25</v>
      </c>
      <c r="O956" s="7">
        <f t="shared" si="14"/>
        <v>16.5</v>
      </c>
      <c r="P956" t="str" cm="1">
        <f t="array" ref="P956">_xlfn.IFS(K956="Rob","Robusta",K956="Exc","Excelsa",K956="Ara","Arabica",K956="Lib","Liberica")</f>
        <v>Excelsa</v>
      </c>
      <c r="Q956" t="str" cm="1">
        <f t="array" ref="Q956">_xlfn.IFS(L956="M","Medium",L956="L","Light",L956="D","Dark")</f>
        <v>Medium</v>
      </c>
      <c r="R956" t="str">
        <f>_xlfn.XLOOKUP(Orders[[#This Row],[Customer ID]],customers!$A$1:$A$1001,customers!$I$1:$I$1001)</f>
        <v>No</v>
      </c>
    </row>
    <row r="957" spans="1:18" x14ac:dyDescent="0.35">
      <c r="A957" s="2" t="s">
        <v>1986</v>
      </c>
      <c r="B957" s="4">
        <v>43872</v>
      </c>
      <c r="C957" s="23">
        <f>Orders[[#This Row],[Order Date]]</f>
        <v>43872</v>
      </c>
      <c r="D957" s="2">
        <f>YEAR(Orders[[#This Row],[Order Date]])</f>
        <v>2020</v>
      </c>
      <c r="E957" s="2" t="s">
        <v>1987</v>
      </c>
      <c r="F957" t="s">
        <v>6158</v>
      </c>
      <c r="G957" s="20">
        <v>1</v>
      </c>
      <c r="H957" s="2" t="str">
        <f>INDEX(customers!$A$1:$I$1001,MATCH($E957,customers!$A$1:$A$1001,),MATCH($H$1,customers!$A$1:$I$1,0))</f>
        <v>Violette Hellmore</v>
      </c>
      <c r="I957" s="2" t="str">
        <f>IF(INDEX(customers!$A$1:$I$1001,MATCH($E957,customers!$A$1:$A$1001,0),3)=0,"",INDEX(customers!$A$1:$I$1001,MATCH($E957,customers!$A$1:$A$1001,0),3))</f>
        <v>vhellmore7d@bbc.co.uk</v>
      </c>
      <c r="J957" s="2" t="str">
        <f>_xlfn.XLOOKUP(E957,customers!$A$1:$A$1001,customers!$G$1:$G$1001)</f>
        <v>United States</v>
      </c>
      <c r="K957" t="str">
        <f>INDEX(products!$A$1:$G$49,MATCH($F957,products!$A$1:$A$49,0),MATCH(K$1,products!$A$1:$G$1,0))</f>
        <v>Ara</v>
      </c>
      <c r="L957" t="str">
        <f>INDEX(products!$A$1:$G$49,MATCH($F957,products!$A$1:$A$49,0),MATCH(L$1,products!$A$1:$G$1,0))</f>
        <v>D</v>
      </c>
      <c r="M957" s="5">
        <f>INDEX(products!$A$1:$G$49,MATCH($F957,products!$A$1:$A$49,0),MATCH(M$1,products!$A$1:$G$1,0))</f>
        <v>0.5</v>
      </c>
      <c r="N957" s="7">
        <f>INDEX(products!$A$1:$G$49,MATCH($F957,products!$A$1:$A$49,0),MATCH(N$1,products!$A$1:$G$1,0))</f>
        <v>5.97</v>
      </c>
      <c r="O957" s="7">
        <f t="shared" si="14"/>
        <v>5.97</v>
      </c>
      <c r="P957" t="str" cm="1">
        <f t="array" ref="P957">_xlfn.IFS(K957="Rob","Robusta",K957="Exc","Excelsa",K957="Ara","Arabica",K957="Lib","Liberica")</f>
        <v>Arabica</v>
      </c>
      <c r="Q957" t="str" cm="1">
        <f t="array" ref="Q957">_xlfn.IFS(L957="M","Medium",L957="L","Light",L957="D","Dark")</f>
        <v>Dark</v>
      </c>
      <c r="R957" t="str">
        <f>_xlfn.XLOOKUP(Orders[[#This Row],[Customer ID]],customers!$A$1:$A$1001,customers!$I$1:$I$1001)</f>
        <v>Yes</v>
      </c>
    </row>
    <row r="958" spans="1:18" x14ac:dyDescent="0.35">
      <c r="A958" s="2" t="s">
        <v>2660</v>
      </c>
      <c r="B958" s="4">
        <v>44559</v>
      </c>
      <c r="C958" s="23">
        <f>Orders[[#This Row],[Order Date]]</f>
        <v>44559</v>
      </c>
      <c r="D958" s="2">
        <f>YEAR(Orders[[#This Row],[Order Date]])</f>
        <v>2021</v>
      </c>
      <c r="E958" s="2" t="s">
        <v>2661</v>
      </c>
      <c r="F958" t="s">
        <v>6160</v>
      </c>
      <c r="G958" s="20">
        <v>5</v>
      </c>
      <c r="H958" s="2" t="str">
        <f>INDEX(customers!$A$1:$I$1001,MATCH($E958,customers!$A$1:$A$1001,),MATCH($H$1,customers!$A$1:$I$1,0))</f>
        <v>Virgil Baumadier</v>
      </c>
      <c r="I958" s="2" t="str">
        <f>IF(INDEX(customers!$A$1:$I$1001,MATCH($E958,customers!$A$1:$A$1001,0),3)=0,"",INDEX(customers!$A$1:$I$1001,MATCH($E958,customers!$A$1:$A$1001,0),3))</f>
        <v>vbaumadierap@google.cn</v>
      </c>
      <c r="J958" s="2" t="str">
        <f>_xlfn.XLOOKUP(E958,customers!$A$1:$A$1001,customers!$G$1:$G$1001)</f>
        <v>United States</v>
      </c>
      <c r="K958" t="str">
        <f>INDEX(products!$A$1:$G$49,MATCH($F958,products!$A$1:$A$49,0),MATCH(K$1,products!$A$1:$G$1,0))</f>
        <v>Lib</v>
      </c>
      <c r="L958" t="str">
        <f>INDEX(products!$A$1:$G$49,MATCH($F958,products!$A$1:$A$49,0),MATCH(L$1,products!$A$1:$G$1,0))</f>
        <v>M</v>
      </c>
      <c r="M958" s="5">
        <f>INDEX(products!$A$1:$G$49,MATCH($F958,products!$A$1:$A$49,0),MATCH(M$1,products!$A$1:$G$1,0))</f>
        <v>0.5</v>
      </c>
      <c r="N958" s="7">
        <f>INDEX(products!$A$1:$G$49,MATCH($F958,products!$A$1:$A$49,0),MATCH(N$1,products!$A$1:$G$1,0))</f>
        <v>8.73</v>
      </c>
      <c r="O958" s="7">
        <f t="shared" si="14"/>
        <v>43.650000000000006</v>
      </c>
      <c r="P958" t="str" cm="1">
        <f t="array" ref="P958">_xlfn.IFS(K958="Rob","Robusta",K958="Exc","Excelsa",K958="Ara","Arabica",K958="Lib","Liberica")</f>
        <v>Liberica</v>
      </c>
      <c r="Q958" t="str" cm="1">
        <f t="array" ref="Q958">_xlfn.IFS(L958="M","Medium",L958="L","Light",L958="D","Dark")</f>
        <v>Medium</v>
      </c>
      <c r="R958" t="str">
        <f>_xlfn.XLOOKUP(Orders[[#This Row],[Customer ID]],customers!$A$1:$A$1001,customers!$I$1:$I$1001)</f>
        <v>Yes</v>
      </c>
    </row>
    <row r="959" spans="1:18" x14ac:dyDescent="0.35">
      <c r="A959" s="2" t="s">
        <v>643</v>
      </c>
      <c r="B959" s="4">
        <v>43746</v>
      </c>
      <c r="C959" s="23">
        <f>Orders[[#This Row],[Order Date]]</f>
        <v>43746</v>
      </c>
      <c r="D959" s="2">
        <f>YEAR(Orders[[#This Row],[Order Date]])</f>
        <v>2019</v>
      </c>
      <c r="E959" s="2" t="s">
        <v>644</v>
      </c>
      <c r="F959" t="s">
        <v>6152</v>
      </c>
      <c r="G959" s="20">
        <v>5</v>
      </c>
      <c r="H959" s="2" t="str">
        <f>INDEX(customers!$A$1:$I$1001,MATCH($E959,customers!$A$1:$A$1001,),MATCH($H$1,customers!$A$1:$I$1,0))</f>
        <v>Vivie Danneil</v>
      </c>
      <c r="I959" s="2" t="str">
        <f>IF(INDEX(customers!$A$1:$I$1001,MATCH($E959,customers!$A$1:$A$1001,0),3)=0,"",INDEX(customers!$A$1:$I$1001,MATCH($E959,customers!$A$1:$A$1001,0),3))</f>
        <v>vdanneilr@mtv.com</v>
      </c>
      <c r="J959" s="2" t="str">
        <f>_xlfn.XLOOKUP(E959,customers!$A$1:$A$1001,customers!$G$1:$G$1001)</f>
        <v>Ireland</v>
      </c>
      <c r="K959" t="str">
        <f>INDEX(products!$A$1:$G$49,MATCH($F959,products!$A$1:$A$49,0),MATCH(K$1,products!$A$1:$G$1,0))</f>
        <v>Ara</v>
      </c>
      <c r="L959" t="str">
        <f>INDEX(products!$A$1:$G$49,MATCH($F959,products!$A$1:$A$49,0),MATCH(L$1,products!$A$1:$G$1,0))</f>
        <v>M</v>
      </c>
      <c r="M959" s="5">
        <f>INDEX(products!$A$1:$G$49,MATCH($F959,products!$A$1:$A$49,0),MATCH(M$1,products!$A$1:$G$1,0))</f>
        <v>0.2</v>
      </c>
      <c r="N959" s="7">
        <f>INDEX(products!$A$1:$G$49,MATCH($F959,products!$A$1:$A$49,0),MATCH(N$1,products!$A$1:$G$1,0))</f>
        <v>3.375</v>
      </c>
      <c r="O959" s="7">
        <f t="shared" si="14"/>
        <v>16.875</v>
      </c>
      <c r="P959" t="str" cm="1">
        <f t="array" ref="P959">_xlfn.IFS(K959="Rob","Robusta",K959="Exc","Excelsa",K959="Ara","Arabica",K959="Lib","Liberica")</f>
        <v>Arabica</v>
      </c>
      <c r="Q959" t="str" cm="1">
        <f t="array" ref="Q959">_xlfn.IFS(L959="M","Medium",L959="L","Light",L959="D","Dark")</f>
        <v>Medium</v>
      </c>
      <c r="R959" t="str">
        <f>_xlfn.XLOOKUP(Orders[[#This Row],[Customer ID]],customers!$A$1:$A$1001,customers!$I$1:$I$1001)</f>
        <v>No</v>
      </c>
    </row>
    <row r="960" spans="1:18" x14ac:dyDescent="0.35">
      <c r="A960" s="2" t="s">
        <v>2369</v>
      </c>
      <c r="B960" s="4">
        <v>43712</v>
      </c>
      <c r="C960" s="23">
        <f>Orders[[#This Row],[Order Date]]</f>
        <v>43712</v>
      </c>
      <c r="D960" s="2">
        <f>YEAR(Orders[[#This Row],[Order Date]])</f>
        <v>2019</v>
      </c>
      <c r="E960" s="2" t="s">
        <v>2370</v>
      </c>
      <c r="F960" t="s">
        <v>6146</v>
      </c>
      <c r="G960" s="20">
        <v>4</v>
      </c>
      <c r="H960" s="2" t="str">
        <f>INDEX(customers!$A$1:$I$1001,MATCH($E960,customers!$A$1:$A$1001,),MATCH($H$1,customers!$A$1:$I$1,0))</f>
        <v>Vivyan Ceely</v>
      </c>
      <c r="I960" s="2" t="str">
        <f>IF(INDEX(customers!$A$1:$I$1001,MATCH($E960,customers!$A$1:$A$1001,0),3)=0,"",INDEX(customers!$A$1:$I$1001,MATCH($E960,customers!$A$1:$A$1001,0),3))</f>
        <v>vceely99@auda.org.au</v>
      </c>
      <c r="J960" s="2" t="str">
        <f>_xlfn.XLOOKUP(E960,customers!$A$1:$A$1001,customers!$G$1:$G$1001)</f>
        <v>United States</v>
      </c>
      <c r="K960" t="str">
        <f>INDEX(products!$A$1:$G$49,MATCH($F960,products!$A$1:$A$49,0),MATCH(K$1,products!$A$1:$G$1,0))</f>
        <v>Rob</v>
      </c>
      <c r="L960" t="str">
        <f>INDEX(products!$A$1:$G$49,MATCH($F960,products!$A$1:$A$49,0),MATCH(L$1,products!$A$1:$G$1,0))</f>
        <v>M</v>
      </c>
      <c r="M960" s="5">
        <f>INDEX(products!$A$1:$G$49,MATCH($F960,products!$A$1:$A$49,0),MATCH(M$1,products!$A$1:$G$1,0))</f>
        <v>0.5</v>
      </c>
      <c r="N960" s="7">
        <f>INDEX(products!$A$1:$G$49,MATCH($F960,products!$A$1:$A$49,0),MATCH(N$1,products!$A$1:$G$1,0))</f>
        <v>5.97</v>
      </c>
      <c r="O960" s="7">
        <f t="shared" si="14"/>
        <v>23.88</v>
      </c>
      <c r="P960" t="str" cm="1">
        <f t="array" ref="P960">_xlfn.IFS(K960="Rob","Robusta",K960="Exc","Excelsa",K960="Ara","Arabica",K960="Lib","Liberica")</f>
        <v>Robusta</v>
      </c>
      <c r="Q960" t="str" cm="1">
        <f t="array" ref="Q960">_xlfn.IFS(L960="M","Medium",L960="L","Light",L960="D","Dark")</f>
        <v>Medium</v>
      </c>
      <c r="R960" t="str">
        <f>_xlfn.XLOOKUP(Orders[[#This Row],[Customer ID]],customers!$A$1:$A$1001,customers!$I$1:$I$1001)</f>
        <v>Yes</v>
      </c>
    </row>
    <row r="961" spans="1:18" x14ac:dyDescent="0.35">
      <c r="A961" s="2" t="s">
        <v>4456</v>
      </c>
      <c r="B961" s="4">
        <v>43661</v>
      </c>
      <c r="C961" s="23">
        <f>Orders[[#This Row],[Order Date]]</f>
        <v>43661</v>
      </c>
      <c r="D961" s="2">
        <f>YEAR(Orders[[#This Row],[Order Date]])</f>
        <v>2019</v>
      </c>
      <c r="E961" s="2" t="s">
        <v>4457</v>
      </c>
      <c r="F961" t="s">
        <v>6180</v>
      </c>
      <c r="G961" s="20">
        <v>1</v>
      </c>
      <c r="H961" s="2" t="str">
        <f>INDEX(customers!$A$1:$I$1001,MATCH($E961,customers!$A$1:$A$1001,),MATCH($H$1,customers!$A$1:$I$1,0))</f>
        <v>Vivyan Dunning</v>
      </c>
      <c r="I961" s="2" t="str">
        <f>IF(INDEX(customers!$A$1:$I$1001,MATCH($E961,customers!$A$1:$A$1001,0),3)=0,"",INDEX(customers!$A$1:$I$1001,MATCH($E961,customers!$A$1:$A$1001,0),3))</f>
        <v>vdunningji@independent.co.uk</v>
      </c>
      <c r="J961" s="2" t="str">
        <f>_xlfn.XLOOKUP(E961,customers!$A$1:$A$1001,customers!$G$1:$G$1001)</f>
        <v>United States</v>
      </c>
      <c r="K961" t="str">
        <f>INDEX(products!$A$1:$G$49,MATCH($F961,products!$A$1:$A$49,0),MATCH(K$1,products!$A$1:$G$1,0))</f>
        <v>Ara</v>
      </c>
      <c r="L961" t="str">
        <f>INDEX(products!$A$1:$G$49,MATCH($F961,products!$A$1:$A$49,0),MATCH(L$1,products!$A$1:$G$1,0))</f>
        <v>L</v>
      </c>
      <c r="M961" s="5">
        <f>INDEX(products!$A$1:$G$49,MATCH($F961,products!$A$1:$A$49,0),MATCH(M$1,products!$A$1:$G$1,0))</f>
        <v>0.5</v>
      </c>
      <c r="N961" s="7">
        <f>INDEX(products!$A$1:$G$49,MATCH($F961,products!$A$1:$A$49,0),MATCH(N$1,products!$A$1:$G$1,0))</f>
        <v>7.77</v>
      </c>
      <c r="O961" s="7">
        <f t="shared" si="14"/>
        <v>7.77</v>
      </c>
      <c r="P961" t="str" cm="1">
        <f t="array" ref="P961">_xlfn.IFS(K961="Rob","Robusta",K961="Exc","Excelsa",K961="Ara","Arabica",K961="Lib","Liberica")</f>
        <v>Arabica</v>
      </c>
      <c r="Q961" t="str" cm="1">
        <f t="array" ref="Q961">_xlfn.IFS(L961="M","Medium",L961="L","Light",L961="D","Dark")</f>
        <v>Light</v>
      </c>
      <c r="R961" t="str">
        <f>_xlfn.XLOOKUP(Orders[[#This Row],[Customer ID]],customers!$A$1:$A$1001,customers!$I$1:$I$1001)</f>
        <v>Yes</v>
      </c>
    </row>
    <row r="962" spans="1:18" x14ac:dyDescent="0.35">
      <c r="A962" s="2" t="s">
        <v>3004</v>
      </c>
      <c r="B962" s="4">
        <v>43816</v>
      </c>
      <c r="C962" s="23">
        <f>Orders[[#This Row],[Order Date]]</f>
        <v>43816</v>
      </c>
      <c r="D962" s="2">
        <f>YEAR(Orders[[#This Row],[Order Date]])</f>
        <v>2019</v>
      </c>
      <c r="E962" s="2" t="s">
        <v>3005</v>
      </c>
      <c r="F962" t="s">
        <v>6160</v>
      </c>
      <c r="G962" s="20">
        <v>1</v>
      </c>
      <c r="H962" s="2" t="str">
        <f>INDEX(customers!$A$1:$I$1001,MATCH($E962,customers!$A$1:$A$1001,),MATCH($H$1,customers!$A$1:$I$1,0))</f>
        <v>Wain Cholomin</v>
      </c>
      <c r="I962" s="2" t="str">
        <f>IF(INDEX(customers!$A$1:$I$1001,MATCH($E962,customers!$A$1:$A$1001,0),3)=0,"",INDEX(customers!$A$1:$I$1001,MATCH($E962,customers!$A$1:$A$1001,0),3))</f>
        <v>wcholomince@about.com</v>
      </c>
      <c r="J962" s="2" t="str">
        <f>_xlfn.XLOOKUP(E962,customers!$A$1:$A$1001,customers!$G$1:$G$1001)</f>
        <v>United Kingdom</v>
      </c>
      <c r="K962" t="str">
        <f>INDEX(products!$A$1:$G$49,MATCH($F962,products!$A$1:$A$49,0),MATCH(K$1,products!$A$1:$G$1,0))</f>
        <v>Lib</v>
      </c>
      <c r="L962" t="str">
        <f>INDEX(products!$A$1:$G$49,MATCH($F962,products!$A$1:$A$49,0),MATCH(L$1,products!$A$1:$G$1,0))</f>
        <v>M</v>
      </c>
      <c r="M962" s="5">
        <f>INDEX(products!$A$1:$G$49,MATCH($F962,products!$A$1:$A$49,0),MATCH(M$1,products!$A$1:$G$1,0))</f>
        <v>0.5</v>
      </c>
      <c r="N962" s="7">
        <f>INDEX(products!$A$1:$G$49,MATCH($F962,products!$A$1:$A$49,0),MATCH(N$1,products!$A$1:$G$1,0))</f>
        <v>8.73</v>
      </c>
      <c r="O962" s="7">
        <f t="shared" ref="O962:O1001" si="15">N962*G962</f>
        <v>8.73</v>
      </c>
      <c r="P962" t="str" cm="1">
        <f t="array" ref="P962">_xlfn.IFS(K962="Rob","Robusta",K962="Exc","Excelsa",K962="Ara","Arabica",K962="Lib","Liberica")</f>
        <v>Liberica</v>
      </c>
      <c r="Q962" t="str" cm="1">
        <f t="array" ref="Q962">_xlfn.IFS(L962="M","Medium",L962="L","Light",L962="D","Dark")</f>
        <v>Medium</v>
      </c>
      <c r="R962" t="str">
        <f>_xlfn.XLOOKUP(Orders[[#This Row],[Customer ID]],customers!$A$1:$A$1001,customers!$I$1:$I$1001)</f>
        <v>Yes</v>
      </c>
    </row>
    <row r="963" spans="1:18" x14ac:dyDescent="0.35">
      <c r="A963" s="2" t="s">
        <v>3343</v>
      </c>
      <c r="B963" s="4">
        <v>44609</v>
      </c>
      <c r="C963" s="23">
        <f>Orders[[#This Row],[Order Date]]</f>
        <v>44609</v>
      </c>
      <c r="D963" s="2">
        <f>YEAR(Orders[[#This Row],[Order Date]])</f>
        <v>2022</v>
      </c>
      <c r="E963" s="2" t="s">
        <v>3344</v>
      </c>
      <c r="F963" t="s">
        <v>6159</v>
      </c>
      <c r="G963" s="20">
        <v>6</v>
      </c>
      <c r="H963" s="2" t="str">
        <f>INDEX(customers!$A$1:$I$1001,MATCH($E963,customers!$A$1:$A$1001,),MATCH($H$1,customers!$A$1:$I$1,0))</f>
        <v>Wain Stearley</v>
      </c>
      <c r="I963" s="2" t="str">
        <f>IF(INDEX(customers!$A$1:$I$1001,MATCH($E963,customers!$A$1:$A$1001,0),3)=0,"",INDEX(customers!$A$1:$I$1001,MATCH($E963,customers!$A$1:$A$1001,0),3))</f>
        <v>wstearleye1@census.gov</v>
      </c>
      <c r="J963" s="2" t="str">
        <f>_xlfn.XLOOKUP(E963,customers!$A$1:$A$1001,customers!$G$1:$G$1001)</f>
        <v>United States</v>
      </c>
      <c r="K963" t="str">
        <f>INDEX(products!$A$1:$G$49,MATCH($F963,products!$A$1:$A$49,0),MATCH(K$1,products!$A$1:$G$1,0))</f>
        <v>Lib</v>
      </c>
      <c r="L963" t="str">
        <f>INDEX(products!$A$1:$G$49,MATCH($F963,products!$A$1:$A$49,0),MATCH(L$1,products!$A$1:$G$1,0))</f>
        <v>M</v>
      </c>
      <c r="M963" s="5">
        <f>INDEX(products!$A$1:$G$49,MATCH($F963,products!$A$1:$A$49,0),MATCH(M$1,products!$A$1:$G$1,0))</f>
        <v>0.2</v>
      </c>
      <c r="N963" s="7">
        <f>INDEX(products!$A$1:$G$49,MATCH($F963,products!$A$1:$A$49,0),MATCH(N$1,products!$A$1:$G$1,0))</f>
        <v>4.3650000000000002</v>
      </c>
      <c r="O963" s="7">
        <f t="shared" si="15"/>
        <v>26.19</v>
      </c>
      <c r="P963" t="str" cm="1">
        <f t="array" ref="P963">_xlfn.IFS(K963="Rob","Robusta",K963="Exc","Excelsa",K963="Ara","Arabica",K963="Lib","Liberica")</f>
        <v>Liberica</v>
      </c>
      <c r="Q963" t="str" cm="1">
        <f t="array" ref="Q963">_xlfn.IFS(L963="M","Medium",L963="L","Light",L963="D","Dark")</f>
        <v>Medium</v>
      </c>
      <c r="R963" t="str">
        <f>_xlfn.XLOOKUP(Orders[[#This Row],[Customer ID]],customers!$A$1:$A$1001,customers!$I$1:$I$1001)</f>
        <v>No</v>
      </c>
    </row>
    <row r="964" spans="1:18" x14ac:dyDescent="0.35">
      <c r="A964" s="2" t="s">
        <v>4023</v>
      </c>
      <c r="B964" s="4">
        <v>43526</v>
      </c>
      <c r="C964" s="23">
        <f>Orders[[#This Row],[Order Date]]</f>
        <v>43526</v>
      </c>
      <c r="D964" s="2">
        <f>YEAR(Orders[[#This Row],[Order Date]])</f>
        <v>2019</v>
      </c>
      <c r="E964" s="2" t="s">
        <v>4024</v>
      </c>
      <c r="F964" t="s">
        <v>6175</v>
      </c>
      <c r="G964" s="20">
        <v>3</v>
      </c>
      <c r="H964" s="2" t="str">
        <f>INDEX(customers!$A$1:$I$1001,MATCH($E964,customers!$A$1:$A$1001,),MATCH($H$1,customers!$A$1:$I$1,0))</f>
        <v>Wallis Bernth</v>
      </c>
      <c r="I964" s="2" t="str">
        <f>IF(INDEX(customers!$A$1:$I$1001,MATCH($E964,customers!$A$1:$A$1001,0),3)=0,"",INDEX(customers!$A$1:$I$1001,MATCH($E964,customers!$A$1:$A$1001,0),3))</f>
        <v>wbernthhe@miitbeian.gov.cn</v>
      </c>
      <c r="J964" s="2" t="str">
        <f>_xlfn.XLOOKUP(E964,customers!$A$1:$A$1001,customers!$G$1:$G$1001)</f>
        <v>United States</v>
      </c>
      <c r="K964" t="str">
        <f>INDEX(products!$A$1:$G$49,MATCH($F964,products!$A$1:$A$49,0),MATCH(K$1,products!$A$1:$G$1,0))</f>
        <v>Ara</v>
      </c>
      <c r="L964" t="str">
        <f>INDEX(products!$A$1:$G$49,MATCH($F964,products!$A$1:$A$49,0),MATCH(L$1,products!$A$1:$G$1,0))</f>
        <v>M</v>
      </c>
      <c r="M964" s="5">
        <f>INDEX(products!$A$1:$G$49,MATCH($F964,products!$A$1:$A$49,0),MATCH(M$1,products!$A$1:$G$1,0))</f>
        <v>2.5</v>
      </c>
      <c r="N964" s="7">
        <f>INDEX(products!$A$1:$G$49,MATCH($F964,products!$A$1:$A$49,0),MATCH(N$1,products!$A$1:$G$1,0))</f>
        <v>25.874999999999996</v>
      </c>
      <c r="O964" s="7">
        <f t="shared" si="15"/>
        <v>77.624999999999986</v>
      </c>
      <c r="P964" t="str" cm="1">
        <f t="array" ref="P964">_xlfn.IFS(K964="Rob","Robusta",K964="Exc","Excelsa",K964="Ara","Arabica",K964="Lib","Liberica")</f>
        <v>Arabica</v>
      </c>
      <c r="Q964" t="str" cm="1">
        <f t="array" ref="Q964">_xlfn.IFS(L964="M","Medium",L964="L","Light",L964="D","Dark")</f>
        <v>Medium</v>
      </c>
      <c r="R964" t="str">
        <f>_xlfn.XLOOKUP(Orders[[#This Row],[Customer ID]],customers!$A$1:$A$1001,customers!$I$1:$I$1001)</f>
        <v>No</v>
      </c>
    </row>
    <row r="965" spans="1:18" x14ac:dyDescent="0.35">
      <c r="A965" s="2" t="s">
        <v>1742</v>
      </c>
      <c r="B965" s="4">
        <v>44090</v>
      </c>
      <c r="C965" s="23">
        <f>Orders[[#This Row],[Order Date]]</f>
        <v>44090</v>
      </c>
      <c r="D965" s="2">
        <f>YEAR(Orders[[#This Row],[Order Date]])</f>
        <v>2020</v>
      </c>
      <c r="E965" s="2" t="s">
        <v>1743</v>
      </c>
      <c r="F965" t="s">
        <v>6169</v>
      </c>
      <c r="G965" s="20">
        <v>3</v>
      </c>
      <c r="H965" s="2" t="str">
        <f>INDEX(customers!$A$1:$I$1001,MATCH($E965,customers!$A$1:$A$1001,),MATCH($H$1,customers!$A$1:$I$1,0))</f>
        <v>Waneta Edinborough</v>
      </c>
      <c r="I965" s="2" t="str">
        <f>IF(INDEX(customers!$A$1:$I$1001,MATCH($E965,customers!$A$1:$A$1001,0),3)=0,"",INDEX(customers!$A$1:$I$1001,MATCH($E965,customers!$A$1:$A$1001,0),3))</f>
        <v>wedinborough66@github.io</v>
      </c>
      <c r="J965" s="2" t="str">
        <f>_xlfn.XLOOKUP(E965,customers!$A$1:$A$1001,customers!$G$1:$G$1001)</f>
        <v>United States</v>
      </c>
      <c r="K965" t="str">
        <f>INDEX(products!$A$1:$G$49,MATCH($F965,products!$A$1:$A$49,0),MATCH(K$1,products!$A$1:$G$1,0))</f>
        <v>Lib</v>
      </c>
      <c r="L965" t="str">
        <f>INDEX(products!$A$1:$G$49,MATCH($F965,products!$A$1:$A$49,0),MATCH(L$1,products!$A$1:$G$1,0))</f>
        <v>D</v>
      </c>
      <c r="M965" s="5">
        <f>INDEX(products!$A$1:$G$49,MATCH($F965,products!$A$1:$A$49,0),MATCH(M$1,products!$A$1:$G$1,0))</f>
        <v>0.5</v>
      </c>
      <c r="N965" s="7">
        <f>INDEX(products!$A$1:$G$49,MATCH($F965,products!$A$1:$A$49,0),MATCH(N$1,products!$A$1:$G$1,0))</f>
        <v>7.77</v>
      </c>
      <c r="O965" s="7">
        <f t="shared" si="15"/>
        <v>23.31</v>
      </c>
      <c r="P965" t="str" cm="1">
        <f t="array" ref="P965">_xlfn.IFS(K965="Rob","Robusta",K965="Exc","Excelsa",K965="Ara","Arabica",K965="Lib","Liberica")</f>
        <v>Liberica</v>
      </c>
      <c r="Q965" t="str" cm="1">
        <f t="array" ref="Q965">_xlfn.IFS(L965="M","Medium",L965="L","Light",L965="D","Dark")</f>
        <v>Dark</v>
      </c>
      <c r="R965" t="str">
        <f>_xlfn.XLOOKUP(Orders[[#This Row],[Customer ID]],customers!$A$1:$A$1001,customers!$I$1:$I$1001)</f>
        <v>No</v>
      </c>
    </row>
    <row r="966" spans="1:18" x14ac:dyDescent="0.35">
      <c r="A966" s="2" t="s">
        <v>3905</v>
      </c>
      <c r="B966" s="4">
        <v>44028</v>
      </c>
      <c r="C966" s="23">
        <f>Orders[[#This Row],[Order Date]]</f>
        <v>44028</v>
      </c>
      <c r="D966" s="2">
        <f>YEAR(Orders[[#This Row],[Order Date]])</f>
        <v>2020</v>
      </c>
      <c r="E966" s="2" t="s">
        <v>3906</v>
      </c>
      <c r="F966" t="s">
        <v>6182</v>
      </c>
      <c r="G966" s="20">
        <v>5</v>
      </c>
      <c r="H966" s="2" t="str">
        <f>INDEX(customers!$A$1:$I$1001,MATCH($E966,customers!$A$1:$A$1001,),MATCH($H$1,customers!$A$1:$I$1,0))</f>
        <v>Wang Powlesland</v>
      </c>
      <c r="I966" s="2" t="str">
        <f>IF(INDEX(customers!$A$1:$I$1001,MATCH($E966,customers!$A$1:$A$1001,0),3)=0,"",INDEX(customers!$A$1:$I$1001,MATCH($E966,customers!$A$1:$A$1001,0),3))</f>
        <v>wpowleslandgt@soundcloud.com</v>
      </c>
      <c r="J966" s="2" t="str">
        <f>_xlfn.XLOOKUP(E966,customers!$A$1:$A$1001,customers!$G$1:$G$1001)</f>
        <v>United States</v>
      </c>
      <c r="K966" t="str">
        <f>INDEX(products!$A$1:$G$49,MATCH($F966,products!$A$1:$A$49,0),MATCH(K$1,products!$A$1:$G$1,0))</f>
        <v>Ara</v>
      </c>
      <c r="L966" t="str">
        <f>INDEX(products!$A$1:$G$49,MATCH($F966,products!$A$1:$A$49,0),MATCH(L$1,products!$A$1:$G$1,0))</f>
        <v>L</v>
      </c>
      <c r="M966" s="5">
        <f>INDEX(products!$A$1:$G$49,MATCH($F966,products!$A$1:$A$49,0),MATCH(M$1,products!$A$1:$G$1,0))</f>
        <v>2.5</v>
      </c>
      <c r="N966" s="7">
        <f>INDEX(products!$A$1:$G$49,MATCH($F966,products!$A$1:$A$49,0),MATCH(N$1,products!$A$1:$G$1,0))</f>
        <v>29.784999999999997</v>
      </c>
      <c r="O966" s="7">
        <f t="shared" si="15"/>
        <v>148.92499999999998</v>
      </c>
      <c r="P966" t="str" cm="1">
        <f t="array" ref="P966">_xlfn.IFS(K966="Rob","Robusta",K966="Exc","Excelsa",K966="Ara","Arabica",K966="Lib","Liberica")</f>
        <v>Arabica</v>
      </c>
      <c r="Q966" t="str" cm="1">
        <f t="array" ref="Q966">_xlfn.IFS(L966="M","Medium",L966="L","Light",L966="D","Dark")</f>
        <v>Light</v>
      </c>
      <c r="R966" t="str">
        <f>_xlfn.XLOOKUP(Orders[[#This Row],[Customer ID]],customers!$A$1:$A$1001,customers!$I$1:$I$1001)</f>
        <v>Yes</v>
      </c>
    </row>
    <row r="967" spans="1:18" x14ac:dyDescent="0.35">
      <c r="A967" s="2" t="s">
        <v>2032</v>
      </c>
      <c r="B967" s="4">
        <v>44681</v>
      </c>
      <c r="C967" s="23">
        <f>Orders[[#This Row],[Order Date]]</f>
        <v>44681</v>
      </c>
      <c r="D967" s="2">
        <f>YEAR(Orders[[#This Row],[Order Date]])</f>
        <v>2022</v>
      </c>
      <c r="E967" s="2" t="s">
        <v>2033</v>
      </c>
      <c r="F967" t="s">
        <v>6167</v>
      </c>
      <c r="G967" s="20">
        <v>2</v>
      </c>
      <c r="H967" s="2" t="str">
        <f>INDEX(customers!$A$1:$I$1001,MATCH($E967,customers!$A$1:$A$1001,),MATCH($H$1,customers!$A$1:$I$1,0))</f>
        <v>Warner Maddox</v>
      </c>
      <c r="I967" s="2" t="str">
        <f>IF(INDEX(customers!$A$1:$I$1001,MATCH($E967,customers!$A$1:$A$1001,0),3)=0,"",INDEX(customers!$A$1:$I$1001,MATCH($E967,customers!$A$1:$A$1001,0),3))</f>
        <v>wmaddox7l@timesonline.co.uk</v>
      </c>
      <c r="J967" s="2" t="str">
        <f>_xlfn.XLOOKUP(E967,customers!$A$1:$A$1001,customers!$G$1:$G$1001)</f>
        <v>United States</v>
      </c>
      <c r="K967" t="str">
        <f>INDEX(products!$A$1:$G$49,MATCH($F967,products!$A$1:$A$49,0),MATCH(K$1,products!$A$1:$G$1,0))</f>
        <v>Ara</v>
      </c>
      <c r="L967" t="str">
        <f>INDEX(products!$A$1:$G$49,MATCH($F967,products!$A$1:$A$49,0),MATCH(L$1,products!$A$1:$G$1,0))</f>
        <v>L</v>
      </c>
      <c r="M967" s="5">
        <f>INDEX(products!$A$1:$G$49,MATCH($F967,products!$A$1:$A$49,0),MATCH(M$1,products!$A$1:$G$1,0))</f>
        <v>0.2</v>
      </c>
      <c r="N967" s="7">
        <f>INDEX(products!$A$1:$G$49,MATCH($F967,products!$A$1:$A$49,0),MATCH(N$1,products!$A$1:$G$1,0))</f>
        <v>3.8849999999999998</v>
      </c>
      <c r="O967" s="7">
        <f t="shared" si="15"/>
        <v>7.77</v>
      </c>
      <c r="P967" t="str" cm="1">
        <f t="array" ref="P967">_xlfn.IFS(K967="Rob","Robusta",K967="Exc","Excelsa",K967="Ara","Arabica",K967="Lib","Liberica")</f>
        <v>Arabica</v>
      </c>
      <c r="Q967" t="str" cm="1">
        <f t="array" ref="Q967">_xlfn.IFS(L967="M","Medium",L967="L","Light",L967="D","Dark")</f>
        <v>Light</v>
      </c>
      <c r="R967" t="str">
        <f>_xlfn.XLOOKUP(Orders[[#This Row],[Customer ID]],customers!$A$1:$A$1001,customers!$I$1:$I$1001)</f>
        <v>No</v>
      </c>
    </row>
    <row r="968" spans="1:18" x14ac:dyDescent="0.35">
      <c r="A968" s="2" t="s">
        <v>2818</v>
      </c>
      <c r="B968" s="4">
        <v>43857</v>
      </c>
      <c r="C968" s="23">
        <f>Orders[[#This Row],[Order Date]]</f>
        <v>43857</v>
      </c>
      <c r="D968" s="2">
        <f>YEAR(Orders[[#This Row],[Order Date]])</f>
        <v>2020</v>
      </c>
      <c r="E968" s="2" t="s">
        <v>2819</v>
      </c>
      <c r="F968" t="s">
        <v>6164</v>
      </c>
      <c r="G968" s="20">
        <v>1</v>
      </c>
      <c r="H968" s="2" t="str">
        <f>INDEX(customers!$A$1:$I$1001,MATCH($E968,customers!$A$1:$A$1001,),MATCH($H$1,customers!$A$1:$I$1,0))</f>
        <v>Waylan Springall</v>
      </c>
      <c r="I968" s="2" t="str">
        <f>IF(INDEX(customers!$A$1:$I$1001,MATCH($E968,customers!$A$1:$A$1001,0),3)=0,"",INDEX(customers!$A$1:$I$1001,MATCH($E968,customers!$A$1:$A$1001,0),3))</f>
        <v>wspringallbh@jugem.jp</v>
      </c>
      <c r="J968" s="2" t="str">
        <f>_xlfn.XLOOKUP(E968,customers!$A$1:$A$1001,customers!$G$1:$G$1001)</f>
        <v>United States</v>
      </c>
      <c r="K968" t="str">
        <f>INDEX(products!$A$1:$G$49,MATCH($F968,products!$A$1:$A$49,0),MATCH(K$1,products!$A$1:$G$1,0))</f>
        <v>Lib</v>
      </c>
      <c r="L968" t="str">
        <f>INDEX(products!$A$1:$G$49,MATCH($F968,products!$A$1:$A$49,0),MATCH(L$1,products!$A$1:$G$1,0))</f>
        <v>L</v>
      </c>
      <c r="M968" s="5">
        <f>INDEX(products!$A$1:$G$49,MATCH($F968,products!$A$1:$A$49,0),MATCH(M$1,products!$A$1:$G$1,0))</f>
        <v>2.5</v>
      </c>
      <c r="N968" s="7">
        <f>INDEX(products!$A$1:$G$49,MATCH($F968,products!$A$1:$A$49,0),MATCH(N$1,products!$A$1:$G$1,0))</f>
        <v>36.454999999999998</v>
      </c>
      <c r="O968" s="7">
        <f t="shared" si="15"/>
        <v>36.454999999999998</v>
      </c>
      <c r="P968" t="str" cm="1">
        <f t="array" ref="P968">_xlfn.IFS(K968="Rob","Robusta",K968="Exc","Excelsa",K968="Ara","Arabica",K968="Lib","Liberica")</f>
        <v>Liberica</v>
      </c>
      <c r="Q968" t="str" cm="1">
        <f t="array" ref="Q968">_xlfn.IFS(L968="M","Medium",L968="L","Light",L968="D","Dark")</f>
        <v>Light</v>
      </c>
      <c r="R968" t="str">
        <f>_xlfn.XLOOKUP(Orders[[#This Row],[Customer ID]],customers!$A$1:$A$1001,customers!$I$1:$I$1001)</f>
        <v>Yes</v>
      </c>
    </row>
    <row r="969" spans="1:18" x14ac:dyDescent="0.35">
      <c r="A969" s="2" t="s">
        <v>2603</v>
      </c>
      <c r="B969" s="4">
        <v>44120</v>
      </c>
      <c r="C969" s="23">
        <f>Orders[[#This Row],[Order Date]]</f>
        <v>44120</v>
      </c>
      <c r="D969" s="2">
        <f>YEAR(Orders[[#This Row],[Order Date]])</f>
        <v>2020</v>
      </c>
      <c r="E969" s="2" t="s">
        <v>2604</v>
      </c>
      <c r="F969" t="s">
        <v>6152</v>
      </c>
      <c r="G969" s="20">
        <v>2</v>
      </c>
      <c r="H969" s="2" t="str">
        <f>INDEX(customers!$A$1:$I$1001,MATCH($E969,customers!$A$1:$A$1001,),MATCH($H$1,customers!$A$1:$I$1,0))</f>
        <v>Waylin Hollingdale</v>
      </c>
      <c r="I969" s="2" t="str">
        <f>IF(INDEX(customers!$A$1:$I$1001,MATCH($E969,customers!$A$1:$A$1001,0),3)=0,"",INDEX(customers!$A$1:$I$1001,MATCH($E969,customers!$A$1:$A$1001,0),3))</f>
        <v>whollingdaleaf@about.me</v>
      </c>
      <c r="J969" s="2" t="str">
        <f>_xlfn.XLOOKUP(E969,customers!$A$1:$A$1001,customers!$G$1:$G$1001)</f>
        <v>United States</v>
      </c>
      <c r="K969" t="str">
        <f>INDEX(products!$A$1:$G$49,MATCH($F969,products!$A$1:$A$49,0),MATCH(K$1,products!$A$1:$G$1,0))</f>
        <v>Ara</v>
      </c>
      <c r="L969" t="str">
        <f>INDEX(products!$A$1:$G$49,MATCH($F969,products!$A$1:$A$49,0),MATCH(L$1,products!$A$1:$G$1,0))</f>
        <v>M</v>
      </c>
      <c r="M969" s="5">
        <f>INDEX(products!$A$1:$G$49,MATCH($F969,products!$A$1:$A$49,0),MATCH(M$1,products!$A$1:$G$1,0))</f>
        <v>0.2</v>
      </c>
      <c r="N969" s="7">
        <f>INDEX(products!$A$1:$G$49,MATCH($F969,products!$A$1:$A$49,0),MATCH(N$1,products!$A$1:$G$1,0))</f>
        <v>3.375</v>
      </c>
      <c r="O969" s="7">
        <f t="shared" si="15"/>
        <v>6.75</v>
      </c>
      <c r="P969" t="str" cm="1">
        <f t="array" ref="P969">_xlfn.IFS(K969="Rob","Robusta",K969="Exc","Excelsa",K969="Ara","Arabica",K969="Lib","Liberica")</f>
        <v>Arabica</v>
      </c>
      <c r="Q969" t="str" cm="1">
        <f t="array" ref="Q969">_xlfn.IFS(L969="M","Medium",L969="L","Light",L969="D","Dark")</f>
        <v>Medium</v>
      </c>
      <c r="R969" t="str">
        <f>_xlfn.XLOOKUP(Orders[[#This Row],[Customer ID]],customers!$A$1:$A$1001,customers!$I$1:$I$1001)</f>
        <v>Yes</v>
      </c>
    </row>
    <row r="970" spans="1:18" x14ac:dyDescent="0.35">
      <c r="A970" s="2" t="s">
        <v>3463</v>
      </c>
      <c r="B970" s="4">
        <v>44717</v>
      </c>
      <c r="C970" s="23">
        <f>Orders[[#This Row],[Order Date]]</f>
        <v>44717</v>
      </c>
      <c r="D970" s="2">
        <f>YEAR(Orders[[#This Row],[Order Date]])</f>
        <v>2022</v>
      </c>
      <c r="E970" s="2" t="s">
        <v>3464</v>
      </c>
      <c r="F970" t="s">
        <v>6166</v>
      </c>
      <c r="G970" s="20">
        <v>4</v>
      </c>
      <c r="H970" s="2" t="str">
        <f>INDEX(customers!$A$1:$I$1001,MATCH($E970,customers!$A$1:$A$1001,),MATCH($H$1,customers!$A$1:$I$1,0))</f>
        <v>Webb Speechly</v>
      </c>
      <c r="I970" s="2" t="str">
        <f>IF(INDEX(customers!$A$1:$I$1001,MATCH($E970,customers!$A$1:$A$1001,0),3)=0,"",INDEX(customers!$A$1:$I$1001,MATCH($E970,customers!$A$1:$A$1001,0),3))</f>
        <v>wspeechlyem@amazon.com</v>
      </c>
      <c r="J970" s="2" t="str">
        <f>_xlfn.XLOOKUP(E970,customers!$A$1:$A$1001,customers!$G$1:$G$1001)</f>
        <v>United States</v>
      </c>
      <c r="K970" t="str">
        <f>INDEX(products!$A$1:$G$49,MATCH($F970,products!$A$1:$A$49,0),MATCH(K$1,products!$A$1:$G$1,0))</f>
        <v>Exc</v>
      </c>
      <c r="L970" t="str">
        <f>INDEX(products!$A$1:$G$49,MATCH($F970,products!$A$1:$A$49,0),MATCH(L$1,products!$A$1:$G$1,0))</f>
        <v>M</v>
      </c>
      <c r="M970" s="5">
        <f>INDEX(products!$A$1:$G$49,MATCH($F970,products!$A$1:$A$49,0),MATCH(M$1,products!$A$1:$G$1,0))</f>
        <v>2.5</v>
      </c>
      <c r="N970" s="7">
        <f>INDEX(products!$A$1:$G$49,MATCH($F970,products!$A$1:$A$49,0),MATCH(N$1,products!$A$1:$G$1,0))</f>
        <v>31.624999999999996</v>
      </c>
      <c r="O970" s="7">
        <f t="shared" si="15"/>
        <v>126.49999999999999</v>
      </c>
      <c r="P970" t="str" cm="1">
        <f t="array" ref="P970">_xlfn.IFS(K970="Rob","Robusta",K970="Exc","Excelsa",K970="Ara","Arabica",K970="Lib","Liberica")</f>
        <v>Excelsa</v>
      </c>
      <c r="Q970" t="str" cm="1">
        <f t="array" ref="Q970">_xlfn.IFS(L970="M","Medium",L970="L","Light",L970="D","Dark")</f>
        <v>Medium</v>
      </c>
      <c r="R970" t="str">
        <f>_xlfn.XLOOKUP(Orders[[#This Row],[Customer ID]],customers!$A$1:$A$1001,customers!$I$1:$I$1001)</f>
        <v>Yes</v>
      </c>
    </row>
    <row r="971" spans="1:18" x14ac:dyDescent="0.35">
      <c r="A971" s="2" t="s">
        <v>2408</v>
      </c>
      <c r="B971" s="4">
        <v>43528</v>
      </c>
      <c r="C971" s="23">
        <f>Orders[[#This Row],[Order Date]]</f>
        <v>43528</v>
      </c>
      <c r="D971" s="2">
        <f>YEAR(Orders[[#This Row],[Order Date]])</f>
        <v>2019</v>
      </c>
      <c r="E971" s="2" t="s">
        <v>2409</v>
      </c>
      <c r="F971" t="s">
        <v>6144</v>
      </c>
      <c r="G971" s="20">
        <v>1</v>
      </c>
      <c r="H971" s="2" t="str">
        <f>INDEX(customers!$A$1:$I$1001,MATCH($E971,customers!$A$1:$A$1001,),MATCH($H$1,customers!$A$1:$I$1,0))</f>
        <v>Wesley Giorgioni</v>
      </c>
      <c r="I971" s="2" t="str">
        <f>IF(INDEX(customers!$A$1:$I$1001,MATCH($E971,customers!$A$1:$A$1001,0),3)=0,"",INDEX(customers!$A$1:$I$1001,MATCH($E971,customers!$A$1:$A$1001,0),3))</f>
        <v>wgiorgioni9g@wikipedia.org</v>
      </c>
      <c r="J971" s="2" t="str">
        <f>_xlfn.XLOOKUP(E971,customers!$A$1:$A$1001,customers!$G$1:$G$1001)</f>
        <v>United States</v>
      </c>
      <c r="K971" t="str">
        <f>INDEX(products!$A$1:$G$49,MATCH($F971,products!$A$1:$A$49,0),MATCH(K$1,products!$A$1:$G$1,0))</f>
        <v>Exc</v>
      </c>
      <c r="L971" t="str">
        <f>INDEX(products!$A$1:$G$49,MATCH($F971,products!$A$1:$A$49,0),MATCH(L$1,products!$A$1:$G$1,0))</f>
        <v>D</v>
      </c>
      <c r="M971" s="5">
        <f>INDEX(products!$A$1:$G$49,MATCH($F971,products!$A$1:$A$49,0),MATCH(M$1,products!$A$1:$G$1,0))</f>
        <v>0.5</v>
      </c>
      <c r="N971" s="7">
        <f>INDEX(products!$A$1:$G$49,MATCH($F971,products!$A$1:$A$49,0),MATCH(N$1,products!$A$1:$G$1,0))</f>
        <v>7.29</v>
      </c>
      <c r="O971" s="7">
        <f t="shared" si="15"/>
        <v>7.29</v>
      </c>
      <c r="P971" t="str" cm="1">
        <f t="array" ref="P971">_xlfn.IFS(K971="Rob","Robusta",K971="Exc","Excelsa",K971="Ara","Arabica",K971="Lib","Liberica")</f>
        <v>Excelsa</v>
      </c>
      <c r="Q971" t="str" cm="1">
        <f t="array" ref="Q971">_xlfn.IFS(L971="M","Medium",L971="L","Light",L971="D","Dark")</f>
        <v>Dark</v>
      </c>
      <c r="R971" t="str">
        <f>_xlfn.XLOOKUP(Orders[[#This Row],[Customer ID]],customers!$A$1:$A$1001,customers!$I$1:$I$1001)</f>
        <v>Yes</v>
      </c>
    </row>
    <row r="972" spans="1:18" x14ac:dyDescent="0.35">
      <c r="A972" s="2" t="s">
        <v>3582</v>
      </c>
      <c r="B972" s="4">
        <v>44265</v>
      </c>
      <c r="C972" s="23">
        <f>Orders[[#This Row],[Order Date]]</f>
        <v>44265</v>
      </c>
      <c r="D972" s="2">
        <f>YEAR(Orders[[#This Row],[Order Date]])</f>
        <v>2021</v>
      </c>
      <c r="E972" s="2" t="s">
        <v>3594</v>
      </c>
      <c r="F972" t="s">
        <v>6178</v>
      </c>
      <c r="G972" s="20">
        <v>3</v>
      </c>
      <c r="H972" s="2" t="str">
        <f>INDEX(customers!$A$1:$I$1001,MATCH($E972,customers!$A$1:$A$1001,),MATCH($H$1,customers!$A$1:$I$1,0))</f>
        <v>Wilek Lightollers</v>
      </c>
      <c r="I972" s="2" t="str">
        <f>IF(INDEX(customers!$A$1:$I$1001,MATCH($E972,customers!$A$1:$A$1001,0),3)=0,"",INDEX(customers!$A$1:$I$1001,MATCH($E972,customers!$A$1:$A$1001,0),3))</f>
        <v>wlightollersf9@baidu.com</v>
      </c>
      <c r="J972" s="2" t="str">
        <f>_xlfn.XLOOKUP(E972,customers!$A$1:$A$1001,customers!$G$1:$G$1001)</f>
        <v>United States</v>
      </c>
      <c r="K972" t="str">
        <f>INDEX(products!$A$1:$G$49,MATCH($F972,products!$A$1:$A$49,0),MATCH(K$1,products!$A$1:$G$1,0))</f>
        <v>Rob</v>
      </c>
      <c r="L972" t="str">
        <f>INDEX(products!$A$1:$G$49,MATCH($F972,products!$A$1:$A$49,0),MATCH(L$1,products!$A$1:$G$1,0))</f>
        <v>L</v>
      </c>
      <c r="M972" s="5">
        <f>INDEX(products!$A$1:$G$49,MATCH($F972,products!$A$1:$A$49,0),MATCH(M$1,products!$A$1:$G$1,0))</f>
        <v>0.2</v>
      </c>
      <c r="N972" s="7">
        <f>INDEX(products!$A$1:$G$49,MATCH($F972,products!$A$1:$A$49,0),MATCH(N$1,products!$A$1:$G$1,0))</f>
        <v>3.5849999999999995</v>
      </c>
      <c r="O972" s="7">
        <f t="shared" si="15"/>
        <v>10.754999999999999</v>
      </c>
      <c r="P972" t="str" cm="1">
        <f t="array" ref="P972">_xlfn.IFS(K972="Rob","Robusta",K972="Exc","Excelsa",K972="Ara","Arabica",K972="Lib","Liberica")</f>
        <v>Robusta</v>
      </c>
      <c r="Q972" t="str" cm="1">
        <f t="array" ref="Q972">_xlfn.IFS(L972="M","Medium",L972="L","Light",L972="D","Dark")</f>
        <v>Light</v>
      </c>
      <c r="R972" t="str">
        <f>_xlfn.XLOOKUP(Orders[[#This Row],[Customer ID]],customers!$A$1:$A$1001,customers!$I$1:$I$1001)</f>
        <v>Yes</v>
      </c>
    </row>
    <row r="973" spans="1:18" x14ac:dyDescent="0.35">
      <c r="A973" s="2" t="s">
        <v>3593</v>
      </c>
      <c r="B973" s="4">
        <v>44232</v>
      </c>
      <c r="C973" s="23">
        <f>Orders[[#This Row],[Order Date]]</f>
        <v>44232</v>
      </c>
      <c r="D973" s="2">
        <f>YEAR(Orders[[#This Row],[Order Date]])</f>
        <v>2021</v>
      </c>
      <c r="E973" s="2" t="s">
        <v>3594</v>
      </c>
      <c r="F973" t="s">
        <v>6184</v>
      </c>
      <c r="G973" s="20">
        <v>4</v>
      </c>
      <c r="H973" s="2" t="str">
        <f>INDEX(customers!$A$1:$I$1001,MATCH($E973,customers!$A$1:$A$1001,),MATCH($H$1,customers!$A$1:$I$1,0))</f>
        <v>Wilek Lightollers</v>
      </c>
      <c r="I973" s="2" t="str">
        <f>IF(INDEX(customers!$A$1:$I$1001,MATCH($E973,customers!$A$1:$A$1001,0),3)=0,"",INDEX(customers!$A$1:$I$1001,MATCH($E973,customers!$A$1:$A$1001,0),3))</f>
        <v>wlightollersf9@baidu.com</v>
      </c>
      <c r="J973" s="2" t="str">
        <f>_xlfn.XLOOKUP(E973,customers!$A$1:$A$1001,customers!$G$1:$G$1001)</f>
        <v>United States</v>
      </c>
      <c r="K973" t="str">
        <f>INDEX(products!$A$1:$G$49,MATCH($F973,products!$A$1:$A$49,0),MATCH(K$1,products!$A$1:$G$1,0))</f>
        <v>Exc</v>
      </c>
      <c r="L973" t="str">
        <f>INDEX(products!$A$1:$G$49,MATCH($F973,products!$A$1:$A$49,0),MATCH(L$1,products!$A$1:$G$1,0))</f>
        <v>L</v>
      </c>
      <c r="M973" s="5">
        <f>INDEX(products!$A$1:$G$49,MATCH($F973,products!$A$1:$A$49,0),MATCH(M$1,products!$A$1:$G$1,0))</f>
        <v>0.2</v>
      </c>
      <c r="N973" s="7">
        <f>INDEX(products!$A$1:$G$49,MATCH($F973,products!$A$1:$A$49,0),MATCH(N$1,products!$A$1:$G$1,0))</f>
        <v>4.4550000000000001</v>
      </c>
      <c r="O973" s="7">
        <f t="shared" si="15"/>
        <v>17.82</v>
      </c>
      <c r="P973" t="str" cm="1">
        <f t="array" ref="P973">_xlfn.IFS(K973="Rob","Robusta",K973="Exc","Excelsa",K973="Ara","Arabica",K973="Lib","Liberica")</f>
        <v>Excelsa</v>
      </c>
      <c r="Q973" t="str" cm="1">
        <f t="array" ref="Q973">_xlfn.IFS(L973="M","Medium",L973="L","Light",L973="D","Dark")</f>
        <v>Light</v>
      </c>
      <c r="R973" t="str">
        <f>_xlfn.XLOOKUP(Orders[[#This Row],[Customer ID]],customers!$A$1:$A$1001,customers!$I$1:$I$1001)</f>
        <v>Yes</v>
      </c>
    </row>
    <row r="974" spans="1:18" x14ac:dyDescent="0.35">
      <c r="A974" s="2" t="s">
        <v>5961</v>
      </c>
      <c r="B974" s="4">
        <v>44642</v>
      </c>
      <c r="C974" s="23">
        <f>Orders[[#This Row],[Order Date]]</f>
        <v>44642</v>
      </c>
      <c r="D974" s="2">
        <f>YEAR(Orders[[#This Row],[Order Date]])</f>
        <v>2022</v>
      </c>
      <c r="E974" s="2" t="s">
        <v>5962</v>
      </c>
      <c r="F974" t="s">
        <v>6174</v>
      </c>
      <c r="G974" s="20">
        <v>2</v>
      </c>
      <c r="H974" s="2" t="str">
        <f>INDEX(customers!$A$1:$I$1001,MATCH($E974,customers!$A$1:$A$1001,),MATCH($H$1,customers!$A$1:$I$1,0))</f>
        <v>Wiley Leopold</v>
      </c>
      <c r="I974" s="2" t="str">
        <f>IF(INDEX(customers!$A$1:$I$1001,MATCH($E974,customers!$A$1:$A$1001,0),3)=0,"",INDEX(customers!$A$1:$I$1001,MATCH($E974,customers!$A$1:$A$1001,0),3))</f>
        <v>wleopoldqw@blogspot.com</v>
      </c>
      <c r="J974" s="2" t="str">
        <f>_xlfn.XLOOKUP(E974,customers!$A$1:$A$1001,customers!$G$1:$G$1001)</f>
        <v>United States</v>
      </c>
      <c r="K974" t="str">
        <f>INDEX(products!$A$1:$G$49,MATCH($F974,products!$A$1:$A$49,0),MATCH(K$1,products!$A$1:$G$1,0))</f>
        <v>Rob</v>
      </c>
      <c r="L974" t="str">
        <f>INDEX(products!$A$1:$G$49,MATCH($F974,products!$A$1:$A$49,0),MATCH(L$1,products!$A$1:$G$1,0))</f>
        <v>M</v>
      </c>
      <c r="M974" s="5">
        <f>INDEX(products!$A$1:$G$49,MATCH($F974,products!$A$1:$A$49,0),MATCH(M$1,products!$A$1:$G$1,0))</f>
        <v>0.2</v>
      </c>
      <c r="N974" s="7">
        <f>INDEX(products!$A$1:$G$49,MATCH($F974,products!$A$1:$A$49,0),MATCH(N$1,products!$A$1:$G$1,0))</f>
        <v>2.9849999999999999</v>
      </c>
      <c r="O974" s="7">
        <f t="shared" si="15"/>
        <v>5.97</v>
      </c>
      <c r="P974" t="str" cm="1">
        <f t="array" ref="P974">_xlfn.IFS(K974="Rob","Robusta",K974="Exc","Excelsa",K974="Ara","Arabica",K974="Lib","Liberica")</f>
        <v>Robusta</v>
      </c>
      <c r="Q974" t="str" cm="1">
        <f t="array" ref="Q974">_xlfn.IFS(L974="M","Medium",L974="L","Light",L974="D","Dark")</f>
        <v>Medium</v>
      </c>
      <c r="R974" t="str">
        <f>_xlfn.XLOOKUP(Orders[[#This Row],[Customer ID]],customers!$A$1:$A$1001,customers!$I$1:$I$1001)</f>
        <v>No</v>
      </c>
    </row>
    <row r="975" spans="1:18" x14ac:dyDescent="0.35">
      <c r="A975" s="2" t="s">
        <v>817</v>
      </c>
      <c r="B975" s="4">
        <v>44624</v>
      </c>
      <c r="C975" s="23">
        <f>Orders[[#This Row],[Order Date]]</f>
        <v>44624</v>
      </c>
      <c r="D975" s="2">
        <f>YEAR(Orders[[#This Row],[Order Date]])</f>
        <v>2022</v>
      </c>
      <c r="E975" s="2" t="s">
        <v>818</v>
      </c>
      <c r="F975" t="s">
        <v>6165</v>
      </c>
      <c r="G975" s="20">
        <v>3</v>
      </c>
      <c r="H975" s="2" t="str">
        <f>INDEX(customers!$A$1:$I$1001,MATCH($E975,customers!$A$1:$A$1001,),MATCH($H$1,customers!$A$1:$I$1,0))</f>
        <v>Willa Rolling</v>
      </c>
      <c r="I975" s="2" t="str">
        <f>IF(INDEX(customers!$A$1:$I$1001,MATCH($E975,customers!$A$1:$A$1001,0),3)=0,"",INDEX(customers!$A$1:$I$1001,MATCH($E975,customers!$A$1:$A$1001,0),3))</f>
        <v/>
      </c>
      <c r="J975" s="2" t="str">
        <f>_xlfn.XLOOKUP(E975,customers!$A$1:$A$1001,customers!$G$1:$G$1001)</f>
        <v>United States</v>
      </c>
      <c r="K975" t="str">
        <f>INDEX(products!$A$1:$G$49,MATCH($F975,products!$A$1:$A$49,0),MATCH(K$1,products!$A$1:$G$1,0))</f>
        <v>Lib</v>
      </c>
      <c r="L975" t="str">
        <f>INDEX(products!$A$1:$G$49,MATCH($F975,products!$A$1:$A$49,0),MATCH(L$1,products!$A$1:$G$1,0))</f>
        <v>D</v>
      </c>
      <c r="M975" s="5">
        <f>INDEX(products!$A$1:$G$49,MATCH($F975,products!$A$1:$A$49,0),MATCH(M$1,products!$A$1:$G$1,0))</f>
        <v>2.5</v>
      </c>
      <c r="N975" s="7">
        <f>INDEX(products!$A$1:$G$49,MATCH($F975,products!$A$1:$A$49,0),MATCH(N$1,products!$A$1:$G$1,0))</f>
        <v>29.784999999999997</v>
      </c>
      <c r="O975" s="7">
        <f t="shared" si="15"/>
        <v>89.35499999999999</v>
      </c>
      <c r="P975" t="str" cm="1">
        <f t="array" ref="P975">_xlfn.IFS(K975="Rob","Robusta",K975="Exc","Excelsa",K975="Ara","Arabica",K975="Lib","Liberica")</f>
        <v>Liberica</v>
      </c>
      <c r="Q975" t="str" cm="1">
        <f t="array" ref="Q975">_xlfn.IFS(L975="M","Medium",L975="L","Light",L975="D","Dark")</f>
        <v>Dark</v>
      </c>
      <c r="R975" t="str">
        <f>_xlfn.XLOOKUP(Orders[[#This Row],[Customer ID]],customers!$A$1:$A$1001,customers!$I$1:$I$1001)</f>
        <v>Yes</v>
      </c>
    </row>
    <row r="976" spans="1:18" x14ac:dyDescent="0.35">
      <c r="A976" s="2" t="s">
        <v>2951</v>
      </c>
      <c r="B976" s="4">
        <v>44213</v>
      </c>
      <c r="C976" s="23">
        <f>Orders[[#This Row],[Order Date]]</f>
        <v>44213</v>
      </c>
      <c r="D976" s="2">
        <f>YEAR(Orders[[#This Row],[Order Date]])</f>
        <v>2021</v>
      </c>
      <c r="E976" s="2" t="s">
        <v>2952</v>
      </c>
      <c r="F976" t="s">
        <v>6165</v>
      </c>
      <c r="G976" s="20">
        <v>1</v>
      </c>
      <c r="H976" s="2" t="str">
        <f>INDEX(customers!$A$1:$I$1001,MATCH($E976,customers!$A$1:$A$1001,),MATCH($H$1,customers!$A$1:$I$1,0))</f>
        <v>Willabella Abramski</v>
      </c>
      <c r="I976" s="2" t="str">
        <f>IF(INDEX(customers!$A$1:$I$1001,MATCH($E976,customers!$A$1:$A$1001,0),3)=0,"",INDEX(customers!$A$1:$I$1001,MATCH($E976,customers!$A$1:$A$1001,0),3))</f>
        <v/>
      </c>
      <c r="J976" s="2" t="str">
        <f>_xlfn.XLOOKUP(E976,customers!$A$1:$A$1001,customers!$G$1:$G$1001)</f>
        <v>United States</v>
      </c>
      <c r="K976" t="str">
        <f>INDEX(products!$A$1:$G$49,MATCH($F976,products!$A$1:$A$49,0),MATCH(K$1,products!$A$1:$G$1,0))</f>
        <v>Lib</v>
      </c>
      <c r="L976" t="str">
        <f>INDEX(products!$A$1:$G$49,MATCH($F976,products!$A$1:$A$49,0),MATCH(L$1,products!$A$1:$G$1,0))</f>
        <v>D</v>
      </c>
      <c r="M976" s="5">
        <f>INDEX(products!$A$1:$G$49,MATCH($F976,products!$A$1:$A$49,0),MATCH(M$1,products!$A$1:$G$1,0))</f>
        <v>2.5</v>
      </c>
      <c r="N976" s="7">
        <f>INDEX(products!$A$1:$G$49,MATCH($F976,products!$A$1:$A$49,0),MATCH(N$1,products!$A$1:$G$1,0))</f>
        <v>29.784999999999997</v>
      </c>
      <c r="O976" s="7">
        <f t="shared" si="15"/>
        <v>29.784999999999997</v>
      </c>
      <c r="P976" t="str" cm="1">
        <f t="array" ref="P976">_xlfn.IFS(K976="Rob","Robusta",K976="Exc","Excelsa",K976="Ara","Arabica",K976="Lib","Liberica")</f>
        <v>Liberica</v>
      </c>
      <c r="Q976" t="str" cm="1">
        <f t="array" ref="Q976">_xlfn.IFS(L976="M","Medium",L976="L","Light",L976="D","Dark")</f>
        <v>Dark</v>
      </c>
      <c r="R976" t="str">
        <f>_xlfn.XLOOKUP(Orders[[#This Row],[Customer ID]],customers!$A$1:$A$1001,customers!$I$1:$I$1001)</f>
        <v>No</v>
      </c>
    </row>
    <row r="977" spans="1:18" x14ac:dyDescent="0.35">
      <c r="A977" s="2" t="s">
        <v>4539</v>
      </c>
      <c r="B977" s="4">
        <v>43649</v>
      </c>
      <c r="C977" s="23">
        <f>Orders[[#This Row],[Order Date]]</f>
        <v>43649</v>
      </c>
      <c r="D977" s="2">
        <f>YEAR(Orders[[#This Row],[Order Date]])</f>
        <v>2019</v>
      </c>
      <c r="E977" s="2" t="s">
        <v>4540</v>
      </c>
      <c r="F977" t="s">
        <v>6168</v>
      </c>
      <c r="G977" s="20">
        <v>3</v>
      </c>
      <c r="H977" s="2" t="str">
        <f>INDEX(customers!$A$1:$I$1001,MATCH($E977,customers!$A$1:$A$1001,),MATCH($H$1,customers!$A$1:$I$1,0))</f>
        <v>Willabella Harvison</v>
      </c>
      <c r="I977" s="2" t="str">
        <f>IF(INDEX(customers!$A$1:$I$1001,MATCH($E977,customers!$A$1:$A$1001,0),3)=0,"",INDEX(customers!$A$1:$I$1001,MATCH($E977,customers!$A$1:$A$1001,0),3))</f>
        <v>wharvisonjx@gizmodo.com</v>
      </c>
      <c r="J977" s="2" t="str">
        <f>_xlfn.XLOOKUP(E977,customers!$A$1:$A$1001,customers!$G$1:$G$1001)</f>
        <v>United States</v>
      </c>
      <c r="K977" t="str">
        <f>INDEX(products!$A$1:$G$49,MATCH($F977,products!$A$1:$A$49,0),MATCH(K$1,products!$A$1:$G$1,0))</f>
        <v>Ara</v>
      </c>
      <c r="L977" t="str">
        <f>INDEX(products!$A$1:$G$49,MATCH($F977,products!$A$1:$A$49,0),MATCH(L$1,products!$A$1:$G$1,0))</f>
        <v>D</v>
      </c>
      <c r="M977" s="5">
        <f>INDEX(products!$A$1:$G$49,MATCH($F977,products!$A$1:$A$49,0),MATCH(M$1,products!$A$1:$G$1,0))</f>
        <v>2.5</v>
      </c>
      <c r="N977" s="7">
        <f>INDEX(products!$A$1:$G$49,MATCH($F977,products!$A$1:$A$49,0),MATCH(N$1,products!$A$1:$G$1,0))</f>
        <v>22.884999999999998</v>
      </c>
      <c r="O977" s="7">
        <f t="shared" si="15"/>
        <v>68.655000000000001</v>
      </c>
      <c r="P977" t="str" cm="1">
        <f t="array" ref="P977">_xlfn.IFS(K977="Rob","Robusta",K977="Exc","Excelsa",K977="Ara","Arabica",K977="Lib","Liberica")</f>
        <v>Arabica</v>
      </c>
      <c r="Q977" t="str" cm="1">
        <f t="array" ref="Q977">_xlfn.IFS(L977="M","Medium",L977="L","Light",L977="D","Dark")</f>
        <v>Dark</v>
      </c>
      <c r="R977" t="str">
        <f>_xlfn.XLOOKUP(Orders[[#This Row],[Customer ID]],customers!$A$1:$A$1001,customers!$I$1:$I$1001)</f>
        <v>No</v>
      </c>
    </row>
    <row r="978" spans="1:18" x14ac:dyDescent="0.35">
      <c r="A978" s="2" t="s">
        <v>2498</v>
      </c>
      <c r="B978" s="4">
        <v>44631</v>
      </c>
      <c r="C978" s="23">
        <f>Orders[[#This Row],[Order Date]]</f>
        <v>44631</v>
      </c>
      <c r="D978" s="2">
        <f>YEAR(Orders[[#This Row],[Order Date]])</f>
        <v>2022</v>
      </c>
      <c r="E978" s="2" t="s">
        <v>2499</v>
      </c>
      <c r="F978" t="s">
        <v>6143</v>
      </c>
      <c r="G978" s="20">
        <v>4</v>
      </c>
      <c r="H978" s="2" t="str">
        <f>INDEX(customers!$A$1:$I$1001,MATCH($E978,customers!$A$1:$A$1001,),MATCH($H$1,customers!$A$1:$I$1,0))</f>
        <v>Willey Romao</v>
      </c>
      <c r="I978" s="2" t="str">
        <f>IF(INDEX(customers!$A$1:$I$1001,MATCH($E978,customers!$A$1:$A$1001,0),3)=0,"",INDEX(customers!$A$1:$I$1001,MATCH($E978,customers!$A$1:$A$1001,0),3))</f>
        <v>wromao9w@chronoengine.com</v>
      </c>
      <c r="J978" s="2" t="str">
        <f>_xlfn.XLOOKUP(E978,customers!$A$1:$A$1001,customers!$G$1:$G$1001)</f>
        <v>United States</v>
      </c>
      <c r="K978" t="str">
        <f>INDEX(products!$A$1:$G$49,MATCH($F978,products!$A$1:$A$49,0),MATCH(K$1,products!$A$1:$G$1,0))</f>
        <v>Lib</v>
      </c>
      <c r="L978" t="str">
        <f>INDEX(products!$A$1:$G$49,MATCH($F978,products!$A$1:$A$49,0),MATCH(L$1,products!$A$1:$G$1,0))</f>
        <v>D</v>
      </c>
      <c r="M978" s="5">
        <f>INDEX(products!$A$1:$G$49,MATCH($F978,products!$A$1:$A$49,0),MATCH(M$1,products!$A$1:$G$1,0))</f>
        <v>1</v>
      </c>
      <c r="N978" s="7">
        <f>INDEX(products!$A$1:$G$49,MATCH($F978,products!$A$1:$A$49,0),MATCH(N$1,products!$A$1:$G$1,0))</f>
        <v>12.95</v>
      </c>
      <c r="O978" s="7">
        <f t="shared" si="15"/>
        <v>51.8</v>
      </c>
      <c r="P978" t="str" cm="1">
        <f t="array" ref="P978">_xlfn.IFS(K978="Rob","Robusta",K978="Exc","Excelsa",K978="Ara","Arabica",K978="Lib","Liberica")</f>
        <v>Liberica</v>
      </c>
      <c r="Q978" t="str" cm="1">
        <f t="array" ref="Q978">_xlfn.IFS(L978="M","Medium",L978="L","Light",L978="D","Dark")</f>
        <v>Dark</v>
      </c>
      <c r="R978" t="str">
        <f>_xlfn.XLOOKUP(Orders[[#This Row],[Customer ID]],customers!$A$1:$A$1001,customers!$I$1:$I$1001)</f>
        <v>Yes</v>
      </c>
    </row>
    <row r="979" spans="1:18" x14ac:dyDescent="0.35">
      <c r="A979" s="2" t="s">
        <v>5797</v>
      </c>
      <c r="B979" s="4">
        <v>44229</v>
      </c>
      <c r="C979" s="23">
        <f>Orders[[#This Row],[Order Date]]</f>
        <v>44229</v>
      </c>
      <c r="D979" s="2">
        <f>YEAR(Orders[[#This Row],[Order Date]])</f>
        <v>2021</v>
      </c>
      <c r="E979" s="2" t="s">
        <v>5798</v>
      </c>
      <c r="F979" t="s">
        <v>6145</v>
      </c>
      <c r="G979" s="20">
        <v>6</v>
      </c>
      <c r="H979" s="2" t="str">
        <f>INDEX(customers!$A$1:$I$1001,MATCH($E979,customers!$A$1:$A$1001,),MATCH($H$1,customers!$A$1:$I$1,0))</f>
        <v>Willy Pummery</v>
      </c>
      <c r="I979" s="2" t="str">
        <f>IF(INDEX(customers!$A$1:$I$1001,MATCH($E979,customers!$A$1:$A$1001,0),3)=0,"",INDEX(customers!$A$1:$I$1001,MATCH($E979,customers!$A$1:$A$1001,0),3))</f>
        <v>wpummeryq3@topsy.com</v>
      </c>
      <c r="J979" s="2" t="str">
        <f>_xlfn.XLOOKUP(E979,customers!$A$1:$A$1001,customers!$G$1:$G$1001)</f>
        <v>United States</v>
      </c>
      <c r="K979" t="str">
        <f>INDEX(products!$A$1:$G$49,MATCH($F979,products!$A$1:$A$49,0),MATCH(K$1,products!$A$1:$G$1,0))</f>
        <v>Lib</v>
      </c>
      <c r="L979" t="str">
        <f>INDEX(products!$A$1:$G$49,MATCH($F979,products!$A$1:$A$49,0),MATCH(L$1,products!$A$1:$G$1,0))</f>
        <v>L</v>
      </c>
      <c r="M979" s="5">
        <f>INDEX(products!$A$1:$G$49,MATCH($F979,products!$A$1:$A$49,0),MATCH(M$1,products!$A$1:$G$1,0))</f>
        <v>0.2</v>
      </c>
      <c r="N979" s="7">
        <f>INDEX(products!$A$1:$G$49,MATCH($F979,products!$A$1:$A$49,0),MATCH(N$1,products!$A$1:$G$1,0))</f>
        <v>4.7549999999999999</v>
      </c>
      <c r="O979" s="7">
        <f t="shared" si="15"/>
        <v>28.53</v>
      </c>
      <c r="P979" t="str" cm="1">
        <f t="array" ref="P979">_xlfn.IFS(K979="Rob","Robusta",K979="Exc","Excelsa",K979="Ara","Arabica",K979="Lib","Liberica")</f>
        <v>Liberica</v>
      </c>
      <c r="Q979" t="str" cm="1">
        <f t="array" ref="Q979">_xlfn.IFS(L979="M","Medium",L979="L","Light",L979="D","Dark")</f>
        <v>Light</v>
      </c>
      <c r="R979" t="str">
        <f>_xlfn.XLOOKUP(Orders[[#This Row],[Customer ID]],customers!$A$1:$A$1001,customers!$I$1:$I$1001)</f>
        <v>No</v>
      </c>
    </row>
    <row r="980" spans="1:18" x14ac:dyDescent="0.35">
      <c r="A980" s="2" t="s">
        <v>4371</v>
      </c>
      <c r="B980" s="4">
        <v>43471</v>
      </c>
      <c r="C980" s="23">
        <f>Orders[[#This Row],[Order Date]]</f>
        <v>43471</v>
      </c>
      <c r="D980" s="2">
        <f>YEAR(Orders[[#This Row],[Order Date]])</f>
        <v>2019</v>
      </c>
      <c r="E980" s="2" t="s">
        <v>4372</v>
      </c>
      <c r="F980" t="s">
        <v>6139</v>
      </c>
      <c r="G980" s="20">
        <v>2</v>
      </c>
      <c r="H980" s="2" t="str">
        <f>INDEX(customers!$A$1:$I$1001,MATCH($E980,customers!$A$1:$A$1001,),MATCH($H$1,customers!$A$1:$I$1,0))</f>
        <v>Wilton Cottier</v>
      </c>
      <c r="I980" s="2" t="str">
        <f>IF(INDEX(customers!$A$1:$I$1001,MATCH($E980,customers!$A$1:$A$1001,0),3)=0,"",INDEX(customers!$A$1:$I$1001,MATCH($E980,customers!$A$1:$A$1001,0),3))</f>
        <v>wcottierj3@cafepress.com</v>
      </c>
      <c r="J980" s="2" t="str">
        <f>_xlfn.XLOOKUP(E980,customers!$A$1:$A$1001,customers!$G$1:$G$1001)</f>
        <v>United States</v>
      </c>
      <c r="K980" t="str">
        <f>INDEX(products!$A$1:$G$49,MATCH($F980,products!$A$1:$A$49,0),MATCH(K$1,products!$A$1:$G$1,0))</f>
        <v>Exc</v>
      </c>
      <c r="L980" t="str">
        <f>INDEX(products!$A$1:$G$49,MATCH($F980,products!$A$1:$A$49,0),MATCH(L$1,products!$A$1:$G$1,0))</f>
        <v>M</v>
      </c>
      <c r="M980" s="5">
        <f>INDEX(products!$A$1:$G$49,MATCH($F980,products!$A$1:$A$49,0),MATCH(M$1,products!$A$1:$G$1,0))</f>
        <v>0.5</v>
      </c>
      <c r="N980" s="7">
        <f>INDEX(products!$A$1:$G$49,MATCH($F980,products!$A$1:$A$49,0),MATCH(N$1,products!$A$1:$G$1,0))</f>
        <v>8.25</v>
      </c>
      <c r="O980" s="7">
        <f t="shared" si="15"/>
        <v>16.5</v>
      </c>
      <c r="P980" t="str" cm="1">
        <f t="array" ref="P980">_xlfn.IFS(K980="Rob","Robusta",K980="Exc","Excelsa",K980="Ara","Arabica",K980="Lib","Liberica")</f>
        <v>Excelsa</v>
      </c>
      <c r="Q980" t="str" cm="1">
        <f t="array" ref="Q980">_xlfn.IFS(L980="M","Medium",L980="L","Light",L980="D","Dark")</f>
        <v>Medium</v>
      </c>
      <c r="R980" t="str">
        <f>_xlfn.XLOOKUP(Orders[[#This Row],[Customer ID]],customers!$A$1:$A$1001,customers!$I$1:$I$1001)</f>
        <v>No</v>
      </c>
    </row>
    <row r="981" spans="1:18" x14ac:dyDescent="0.35">
      <c r="A981" s="2" t="s">
        <v>5637</v>
      </c>
      <c r="B981" s="4">
        <v>44447</v>
      </c>
      <c r="C981" s="23">
        <f>Orders[[#This Row],[Order Date]]</f>
        <v>44447</v>
      </c>
      <c r="D981" s="2">
        <f>YEAR(Orders[[#This Row],[Order Date]])</f>
        <v>2021</v>
      </c>
      <c r="E981" s="2" t="s">
        <v>5638</v>
      </c>
      <c r="F981" t="s">
        <v>6168</v>
      </c>
      <c r="G981" s="20">
        <v>4</v>
      </c>
      <c r="H981" s="2" t="str">
        <f>INDEX(customers!$A$1:$I$1001,MATCH($E981,customers!$A$1:$A$1001,),MATCH($H$1,customers!$A$1:$I$1,0))</f>
        <v>Wilton Jallin</v>
      </c>
      <c r="I981" s="2" t="str">
        <f>IF(INDEX(customers!$A$1:$I$1001,MATCH($E981,customers!$A$1:$A$1001,0),3)=0,"",INDEX(customers!$A$1:$I$1001,MATCH($E981,customers!$A$1:$A$1001,0),3))</f>
        <v>wjallinpa@pcworld.com</v>
      </c>
      <c r="J981" s="2" t="str">
        <f>_xlfn.XLOOKUP(E981,customers!$A$1:$A$1001,customers!$G$1:$G$1001)</f>
        <v>United States</v>
      </c>
      <c r="K981" t="str">
        <f>INDEX(products!$A$1:$G$49,MATCH($F981,products!$A$1:$A$49,0),MATCH(K$1,products!$A$1:$G$1,0))</f>
        <v>Ara</v>
      </c>
      <c r="L981" t="str">
        <f>INDEX(products!$A$1:$G$49,MATCH($F981,products!$A$1:$A$49,0),MATCH(L$1,products!$A$1:$G$1,0))</f>
        <v>D</v>
      </c>
      <c r="M981" s="5">
        <f>INDEX(products!$A$1:$G$49,MATCH($F981,products!$A$1:$A$49,0),MATCH(M$1,products!$A$1:$G$1,0))</f>
        <v>2.5</v>
      </c>
      <c r="N981" s="7">
        <f>INDEX(products!$A$1:$G$49,MATCH($F981,products!$A$1:$A$49,0),MATCH(N$1,products!$A$1:$G$1,0))</f>
        <v>22.884999999999998</v>
      </c>
      <c r="O981" s="7">
        <f t="shared" si="15"/>
        <v>91.539999999999992</v>
      </c>
      <c r="P981" t="str" cm="1">
        <f t="array" ref="P981">_xlfn.IFS(K981="Rob","Robusta",K981="Exc","Excelsa",K981="Ara","Arabica",K981="Lib","Liberica")</f>
        <v>Arabica</v>
      </c>
      <c r="Q981" t="str" cm="1">
        <f t="array" ref="Q981">_xlfn.IFS(L981="M","Medium",L981="L","Light",L981="D","Dark")</f>
        <v>Dark</v>
      </c>
      <c r="R981" t="str">
        <f>_xlfn.XLOOKUP(Orders[[#This Row],[Customer ID]],customers!$A$1:$A$1001,customers!$I$1:$I$1001)</f>
        <v>No</v>
      </c>
    </row>
    <row r="982" spans="1:18" x14ac:dyDescent="0.35">
      <c r="A982" s="2" t="s">
        <v>1299</v>
      </c>
      <c r="B982" s="4">
        <v>44265</v>
      </c>
      <c r="C982" s="23">
        <f>Orders[[#This Row],[Order Date]]</f>
        <v>44265</v>
      </c>
      <c r="D982" s="2">
        <f>YEAR(Orders[[#This Row],[Order Date]])</f>
        <v>2021</v>
      </c>
      <c r="E982" s="2" t="s">
        <v>1300</v>
      </c>
      <c r="F982" t="s">
        <v>6148</v>
      </c>
      <c r="G982" s="20">
        <v>2</v>
      </c>
      <c r="H982" s="2" t="str">
        <f>INDEX(customers!$A$1:$I$1001,MATCH($E982,customers!$A$1:$A$1001,),MATCH($H$1,customers!$A$1:$I$1,0))</f>
        <v>Winn Keyse</v>
      </c>
      <c r="I982" s="2" t="str">
        <f>IF(INDEX(customers!$A$1:$I$1001,MATCH($E982,customers!$A$1:$A$1001,0),3)=0,"",INDEX(customers!$A$1:$I$1001,MATCH($E982,customers!$A$1:$A$1001,0),3))</f>
        <v>wkeyse40@apple.com</v>
      </c>
      <c r="J982" s="2" t="str">
        <f>_xlfn.XLOOKUP(E982,customers!$A$1:$A$1001,customers!$G$1:$G$1001)</f>
        <v>United States</v>
      </c>
      <c r="K982" t="str">
        <f>INDEX(products!$A$1:$G$49,MATCH($F982,products!$A$1:$A$49,0),MATCH(K$1,products!$A$1:$G$1,0))</f>
        <v>Exc</v>
      </c>
      <c r="L982" t="str">
        <f>INDEX(products!$A$1:$G$49,MATCH($F982,products!$A$1:$A$49,0),MATCH(L$1,products!$A$1:$G$1,0))</f>
        <v>L</v>
      </c>
      <c r="M982" s="5">
        <f>INDEX(products!$A$1:$G$49,MATCH($F982,products!$A$1:$A$49,0),MATCH(M$1,products!$A$1:$G$1,0))</f>
        <v>2.5</v>
      </c>
      <c r="N982" s="7">
        <f>INDEX(products!$A$1:$G$49,MATCH($F982,products!$A$1:$A$49,0),MATCH(N$1,products!$A$1:$G$1,0))</f>
        <v>34.154999999999994</v>
      </c>
      <c r="O982" s="7">
        <f t="shared" si="15"/>
        <v>68.309999999999988</v>
      </c>
      <c r="P982" t="str" cm="1">
        <f t="array" ref="P982">_xlfn.IFS(K982="Rob","Robusta",K982="Exc","Excelsa",K982="Ara","Arabica",K982="Lib","Liberica")</f>
        <v>Excelsa</v>
      </c>
      <c r="Q982" t="str" cm="1">
        <f t="array" ref="Q982">_xlfn.IFS(L982="M","Medium",L982="L","Light",L982="D","Dark")</f>
        <v>Light</v>
      </c>
      <c r="R982" t="str">
        <f>_xlfn.XLOOKUP(Orders[[#This Row],[Customer ID]],customers!$A$1:$A$1001,customers!$I$1:$I$1001)</f>
        <v>Yes</v>
      </c>
    </row>
    <row r="983" spans="1:18" x14ac:dyDescent="0.35">
      <c r="A983" s="2" t="s">
        <v>3984</v>
      </c>
      <c r="B983" s="4">
        <v>44682</v>
      </c>
      <c r="C983" s="23">
        <f>Orders[[#This Row],[Order Date]]</f>
        <v>44682</v>
      </c>
      <c r="D983" s="2">
        <f>YEAR(Orders[[#This Row],[Order Date]])</f>
        <v>2022</v>
      </c>
      <c r="E983" s="2" t="s">
        <v>3985</v>
      </c>
      <c r="F983" t="s">
        <v>6169</v>
      </c>
      <c r="G983" s="20">
        <v>2</v>
      </c>
      <c r="H983" s="2" t="str">
        <f>INDEX(customers!$A$1:$I$1001,MATCH($E983,customers!$A$1:$A$1001,),MATCH($H$1,customers!$A$1:$I$1,0))</f>
        <v>Winne Roche</v>
      </c>
      <c r="I983" s="2" t="str">
        <f>IF(INDEX(customers!$A$1:$I$1001,MATCH($E983,customers!$A$1:$A$1001,0),3)=0,"",INDEX(customers!$A$1:$I$1001,MATCH($E983,customers!$A$1:$A$1001,0),3))</f>
        <v>wrocheh7@xinhuanet.com</v>
      </c>
      <c r="J983" s="2" t="str">
        <f>_xlfn.XLOOKUP(E983,customers!$A$1:$A$1001,customers!$G$1:$G$1001)</f>
        <v>United States</v>
      </c>
      <c r="K983" t="str">
        <f>INDEX(products!$A$1:$G$49,MATCH($F983,products!$A$1:$A$49,0),MATCH(K$1,products!$A$1:$G$1,0))</f>
        <v>Lib</v>
      </c>
      <c r="L983" t="str">
        <f>INDEX(products!$A$1:$G$49,MATCH($F983,products!$A$1:$A$49,0),MATCH(L$1,products!$A$1:$G$1,0))</f>
        <v>D</v>
      </c>
      <c r="M983" s="5">
        <f>INDEX(products!$A$1:$G$49,MATCH($F983,products!$A$1:$A$49,0),MATCH(M$1,products!$A$1:$G$1,0))</f>
        <v>0.5</v>
      </c>
      <c r="N983" s="7">
        <f>INDEX(products!$A$1:$G$49,MATCH($F983,products!$A$1:$A$49,0),MATCH(N$1,products!$A$1:$G$1,0))</f>
        <v>7.77</v>
      </c>
      <c r="O983" s="7">
        <f t="shared" si="15"/>
        <v>15.54</v>
      </c>
      <c r="P983" t="str" cm="1">
        <f t="array" ref="P983">_xlfn.IFS(K983="Rob","Robusta",K983="Exc","Excelsa",K983="Ara","Arabica",K983="Lib","Liberica")</f>
        <v>Liberica</v>
      </c>
      <c r="Q983" t="str" cm="1">
        <f t="array" ref="Q983">_xlfn.IFS(L983="M","Medium",L983="L","Light",L983="D","Dark")</f>
        <v>Dark</v>
      </c>
      <c r="R983" t="str">
        <f>_xlfn.XLOOKUP(Orders[[#This Row],[Customer ID]],customers!$A$1:$A$1001,customers!$I$1:$I$1001)</f>
        <v>Yes</v>
      </c>
    </row>
    <row r="984" spans="1:18" x14ac:dyDescent="0.35">
      <c r="A984" s="2" t="s">
        <v>2917</v>
      </c>
      <c r="B984" s="4">
        <v>44291</v>
      </c>
      <c r="C984" s="23">
        <f>Orders[[#This Row],[Order Date]]</f>
        <v>44291</v>
      </c>
      <c r="D984" s="2">
        <f>YEAR(Orders[[#This Row],[Order Date]])</f>
        <v>2021</v>
      </c>
      <c r="E984" s="2" t="s">
        <v>2918</v>
      </c>
      <c r="F984" t="s">
        <v>6185</v>
      </c>
      <c r="G984" s="20">
        <v>3</v>
      </c>
      <c r="H984" s="2" t="str">
        <f>INDEX(customers!$A$1:$I$1001,MATCH($E984,customers!$A$1:$A$1001,),MATCH($H$1,customers!$A$1:$I$1,0))</f>
        <v>Witty Ranson</v>
      </c>
      <c r="I984" s="2" t="str">
        <f>IF(INDEX(customers!$A$1:$I$1001,MATCH($E984,customers!$A$1:$A$1001,0),3)=0,"",INDEX(customers!$A$1:$I$1001,MATCH($E984,customers!$A$1:$A$1001,0),3))</f>
        <v>wransonbz@ted.com</v>
      </c>
      <c r="J984" s="2" t="str">
        <f>_xlfn.XLOOKUP(E984,customers!$A$1:$A$1001,customers!$G$1:$G$1001)</f>
        <v>Ireland</v>
      </c>
      <c r="K984" t="str">
        <f>INDEX(products!$A$1:$G$49,MATCH($F984,products!$A$1:$A$49,0),MATCH(K$1,products!$A$1:$G$1,0))</f>
        <v>Exc</v>
      </c>
      <c r="L984" t="str">
        <f>INDEX(products!$A$1:$G$49,MATCH($F984,products!$A$1:$A$49,0),MATCH(L$1,products!$A$1:$G$1,0))</f>
        <v>D</v>
      </c>
      <c r="M984" s="5">
        <f>INDEX(products!$A$1:$G$49,MATCH($F984,products!$A$1:$A$49,0),MATCH(M$1,products!$A$1:$G$1,0))</f>
        <v>2.5</v>
      </c>
      <c r="N984" s="7">
        <f>INDEX(products!$A$1:$G$49,MATCH($F984,products!$A$1:$A$49,0),MATCH(N$1,products!$A$1:$G$1,0))</f>
        <v>27.945</v>
      </c>
      <c r="O984" s="7">
        <f t="shared" si="15"/>
        <v>83.835000000000008</v>
      </c>
      <c r="P984" t="str" cm="1">
        <f t="array" ref="P984">_xlfn.IFS(K984="Rob","Robusta",K984="Exc","Excelsa",K984="Ara","Arabica",K984="Lib","Liberica")</f>
        <v>Excelsa</v>
      </c>
      <c r="Q984" t="str" cm="1">
        <f t="array" ref="Q984">_xlfn.IFS(L984="M","Medium",L984="L","Light",L984="D","Dark")</f>
        <v>Dark</v>
      </c>
      <c r="R984" t="str">
        <f>_xlfn.XLOOKUP(Orders[[#This Row],[Customer ID]],customers!$A$1:$A$1001,customers!$I$1:$I$1001)</f>
        <v>Yes</v>
      </c>
    </row>
    <row r="985" spans="1:18" x14ac:dyDescent="0.35">
      <c r="A985" s="2" t="s">
        <v>4201</v>
      </c>
      <c r="B985" s="4">
        <v>43831</v>
      </c>
      <c r="C985" s="23">
        <f>Orders[[#This Row],[Order Date]]</f>
        <v>43831</v>
      </c>
      <c r="D985" s="2">
        <f>YEAR(Orders[[#This Row],[Order Date]])</f>
        <v>2020</v>
      </c>
      <c r="E985" s="2" t="s">
        <v>4202</v>
      </c>
      <c r="F985" t="s">
        <v>6157</v>
      </c>
      <c r="G985" s="20">
        <v>2</v>
      </c>
      <c r="H985" s="2" t="str">
        <f>INDEX(customers!$A$1:$I$1001,MATCH($E985,customers!$A$1:$A$1001,),MATCH($H$1,customers!$A$1:$I$1,0))</f>
        <v>Wren Place</v>
      </c>
      <c r="I985" s="2" t="str">
        <f>IF(INDEX(customers!$A$1:$I$1001,MATCH($E985,customers!$A$1:$A$1001,0),3)=0,"",INDEX(customers!$A$1:$I$1001,MATCH($E985,customers!$A$1:$A$1001,0),3))</f>
        <v>wplacei9@wsj.com</v>
      </c>
      <c r="J985" s="2" t="str">
        <f>_xlfn.XLOOKUP(E985,customers!$A$1:$A$1001,customers!$G$1:$G$1001)</f>
        <v>United States</v>
      </c>
      <c r="K985" t="str">
        <f>INDEX(products!$A$1:$G$49,MATCH($F985,products!$A$1:$A$49,0),MATCH(K$1,products!$A$1:$G$1,0))</f>
        <v>Ara</v>
      </c>
      <c r="L985" t="str">
        <f>INDEX(products!$A$1:$G$49,MATCH($F985,products!$A$1:$A$49,0),MATCH(L$1,products!$A$1:$G$1,0))</f>
        <v>M</v>
      </c>
      <c r="M985" s="5">
        <f>INDEX(products!$A$1:$G$49,MATCH($F985,products!$A$1:$A$49,0),MATCH(M$1,products!$A$1:$G$1,0))</f>
        <v>0.5</v>
      </c>
      <c r="N985" s="7">
        <f>INDEX(products!$A$1:$G$49,MATCH($F985,products!$A$1:$A$49,0),MATCH(N$1,products!$A$1:$G$1,0))</f>
        <v>6.75</v>
      </c>
      <c r="O985" s="7">
        <f t="shared" si="15"/>
        <v>13.5</v>
      </c>
      <c r="P985" t="str" cm="1">
        <f t="array" ref="P985">_xlfn.IFS(K985="Rob","Robusta",K985="Exc","Excelsa",K985="Ara","Arabica",K985="Lib","Liberica")</f>
        <v>Arabica</v>
      </c>
      <c r="Q985" t="str" cm="1">
        <f t="array" ref="Q985">_xlfn.IFS(L985="M","Medium",L985="L","Light",L985="D","Dark")</f>
        <v>Medium</v>
      </c>
      <c r="R985" t="str">
        <f>_xlfn.XLOOKUP(Orders[[#This Row],[Customer ID]],customers!$A$1:$A$1001,customers!$I$1:$I$1001)</f>
        <v>Yes</v>
      </c>
    </row>
    <row r="986" spans="1:18" x14ac:dyDescent="0.35">
      <c r="A986" s="2" t="s">
        <v>4985</v>
      </c>
      <c r="B986" s="4">
        <v>43540</v>
      </c>
      <c r="C986" s="23">
        <f>Orders[[#This Row],[Order Date]]</f>
        <v>43540</v>
      </c>
      <c r="D986" s="2">
        <f>YEAR(Orders[[#This Row],[Order Date]])</f>
        <v>2019</v>
      </c>
      <c r="E986" s="2" t="s">
        <v>4986</v>
      </c>
      <c r="F986" t="s">
        <v>6173</v>
      </c>
      <c r="G986" s="20">
        <v>4</v>
      </c>
      <c r="H986" s="2" t="str">
        <f>INDEX(customers!$A$1:$I$1001,MATCH($E986,customers!$A$1:$A$1001,),MATCH($H$1,customers!$A$1:$I$1,0))</f>
        <v>Wright Caldero</v>
      </c>
      <c r="I986" s="2" t="str">
        <f>IF(INDEX(customers!$A$1:$I$1001,MATCH($E986,customers!$A$1:$A$1001,0),3)=0,"",INDEX(customers!$A$1:$I$1001,MATCH($E986,customers!$A$1:$A$1001,0),3))</f>
        <v>wcalderom3@stumbleupon.com</v>
      </c>
      <c r="J986" s="2" t="str">
        <f>_xlfn.XLOOKUP(E986,customers!$A$1:$A$1001,customers!$G$1:$G$1001)</f>
        <v>United States</v>
      </c>
      <c r="K986" t="str">
        <f>INDEX(products!$A$1:$G$49,MATCH($F986,products!$A$1:$A$49,0),MATCH(K$1,products!$A$1:$G$1,0))</f>
        <v>Rob</v>
      </c>
      <c r="L986" t="str">
        <f>INDEX(products!$A$1:$G$49,MATCH($F986,products!$A$1:$A$49,0),MATCH(L$1,products!$A$1:$G$1,0))</f>
        <v>L</v>
      </c>
      <c r="M986" s="5">
        <f>INDEX(products!$A$1:$G$49,MATCH($F986,products!$A$1:$A$49,0),MATCH(M$1,products!$A$1:$G$1,0))</f>
        <v>0.5</v>
      </c>
      <c r="N986" s="7">
        <f>INDEX(products!$A$1:$G$49,MATCH($F986,products!$A$1:$A$49,0),MATCH(N$1,products!$A$1:$G$1,0))</f>
        <v>7.169999999999999</v>
      </c>
      <c r="O986" s="7">
        <f t="shared" si="15"/>
        <v>28.679999999999996</v>
      </c>
      <c r="P986" t="str" cm="1">
        <f t="array" ref="P986">_xlfn.IFS(K986="Rob","Robusta",K986="Exc","Excelsa",K986="Ara","Arabica",K986="Lib","Liberica")</f>
        <v>Robusta</v>
      </c>
      <c r="Q986" t="str" cm="1">
        <f t="array" ref="Q986">_xlfn.IFS(L986="M","Medium",L986="L","Light",L986="D","Dark")</f>
        <v>Light</v>
      </c>
      <c r="R986" t="str">
        <f>_xlfn.XLOOKUP(Orders[[#This Row],[Customer ID]],customers!$A$1:$A$1001,customers!$I$1:$I$1001)</f>
        <v>No</v>
      </c>
    </row>
    <row r="987" spans="1:18" x14ac:dyDescent="0.35">
      <c r="A987" s="2" t="s">
        <v>2396</v>
      </c>
      <c r="B987" s="4">
        <v>43995</v>
      </c>
      <c r="C987" s="23">
        <f>Orders[[#This Row],[Order Date]]</f>
        <v>43995</v>
      </c>
      <c r="D987" s="2">
        <f>YEAR(Orders[[#This Row],[Order Date]])</f>
        <v>2020</v>
      </c>
      <c r="E987" s="2" t="s">
        <v>2397</v>
      </c>
      <c r="F987" t="s">
        <v>6171</v>
      </c>
      <c r="G987" s="20">
        <v>4</v>
      </c>
      <c r="H987" s="2" t="str">
        <f>INDEX(customers!$A$1:$I$1001,MATCH($E987,customers!$A$1:$A$1001,),MATCH($H$1,customers!$A$1:$I$1,0))</f>
        <v>Wyatan Fetherston</v>
      </c>
      <c r="I987" s="2" t="str">
        <f>IF(INDEX(customers!$A$1:$I$1001,MATCH($E987,customers!$A$1:$A$1001,0),3)=0,"",INDEX(customers!$A$1:$I$1001,MATCH($E987,customers!$A$1:$A$1001,0),3))</f>
        <v>wfetherston9e@constantcontact.com</v>
      </c>
      <c r="J987" s="2" t="str">
        <f>_xlfn.XLOOKUP(E987,customers!$A$1:$A$1001,customers!$G$1:$G$1001)</f>
        <v>United States</v>
      </c>
      <c r="K987" t="str">
        <f>INDEX(products!$A$1:$G$49,MATCH($F987,products!$A$1:$A$49,0),MATCH(K$1,products!$A$1:$G$1,0))</f>
        <v>Exc</v>
      </c>
      <c r="L987" t="str">
        <f>INDEX(products!$A$1:$G$49,MATCH($F987,products!$A$1:$A$49,0),MATCH(L$1,products!$A$1:$G$1,0))</f>
        <v>L</v>
      </c>
      <c r="M987" s="5">
        <f>INDEX(products!$A$1:$G$49,MATCH($F987,products!$A$1:$A$49,0),MATCH(M$1,products!$A$1:$G$1,0))</f>
        <v>1</v>
      </c>
      <c r="N987" s="7">
        <f>INDEX(products!$A$1:$G$49,MATCH($F987,products!$A$1:$A$49,0),MATCH(N$1,products!$A$1:$G$1,0))</f>
        <v>14.85</v>
      </c>
      <c r="O987" s="7">
        <f t="shared" si="15"/>
        <v>59.4</v>
      </c>
      <c r="P987" t="str" cm="1">
        <f t="array" ref="P987">_xlfn.IFS(K987="Rob","Robusta",K987="Exc","Excelsa",K987="Ara","Arabica",K987="Lib","Liberica")</f>
        <v>Excelsa</v>
      </c>
      <c r="Q987" t="str" cm="1">
        <f t="array" ref="Q987">_xlfn.IFS(L987="M","Medium",L987="L","Light",L987="D","Dark")</f>
        <v>Light</v>
      </c>
      <c r="R987" t="str">
        <f>_xlfn.XLOOKUP(Orders[[#This Row],[Customer ID]],customers!$A$1:$A$1001,customers!$I$1:$I$1001)</f>
        <v>No</v>
      </c>
    </row>
    <row r="988" spans="1:18" x14ac:dyDescent="0.35">
      <c r="A988" s="2" t="s">
        <v>2721</v>
      </c>
      <c r="B988" s="4">
        <v>44140</v>
      </c>
      <c r="C988" s="23">
        <f>Orders[[#This Row],[Order Date]]</f>
        <v>44140</v>
      </c>
      <c r="D988" s="2">
        <f>YEAR(Orders[[#This Row],[Order Date]])</f>
        <v>2020</v>
      </c>
      <c r="E988" s="2" t="s">
        <v>2722</v>
      </c>
      <c r="F988" t="s">
        <v>6180</v>
      </c>
      <c r="G988" s="20">
        <v>5</v>
      </c>
      <c r="H988" s="2" t="str">
        <f>INDEX(customers!$A$1:$I$1001,MATCH($E988,customers!$A$1:$A$1001,),MATCH($H$1,customers!$A$1:$I$1,0))</f>
        <v>Xenos Gibbons</v>
      </c>
      <c r="I988" s="2" t="str">
        <f>IF(INDEX(customers!$A$1:$I$1001,MATCH($E988,customers!$A$1:$A$1001,0),3)=0,"",INDEX(customers!$A$1:$I$1001,MATCH($E988,customers!$A$1:$A$1001,0),3))</f>
        <v>xgibbonsb0@artisteer.com</v>
      </c>
      <c r="J988" s="2" t="str">
        <f>_xlfn.XLOOKUP(E988,customers!$A$1:$A$1001,customers!$G$1:$G$1001)</f>
        <v>United States</v>
      </c>
      <c r="K988" t="str">
        <f>INDEX(products!$A$1:$G$49,MATCH($F988,products!$A$1:$A$49,0),MATCH(K$1,products!$A$1:$G$1,0))</f>
        <v>Ara</v>
      </c>
      <c r="L988" t="str">
        <f>INDEX(products!$A$1:$G$49,MATCH($F988,products!$A$1:$A$49,0),MATCH(L$1,products!$A$1:$G$1,0))</f>
        <v>L</v>
      </c>
      <c r="M988" s="5">
        <f>INDEX(products!$A$1:$G$49,MATCH($F988,products!$A$1:$A$49,0),MATCH(M$1,products!$A$1:$G$1,0))</f>
        <v>0.5</v>
      </c>
      <c r="N988" s="7">
        <f>INDEX(products!$A$1:$G$49,MATCH($F988,products!$A$1:$A$49,0),MATCH(N$1,products!$A$1:$G$1,0))</f>
        <v>7.77</v>
      </c>
      <c r="O988" s="7">
        <f t="shared" si="15"/>
        <v>38.849999999999994</v>
      </c>
      <c r="P988" t="str" cm="1">
        <f t="array" ref="P988">_xlfn.IFS(K988="Rob","Robusta",K988="Exc","Excelsa",K988="Ara","Arabica",K988="Lib","Liberica")</f>
        <v>Arabica</v>
      </c>
      <c r="Q988" t="str" cm="1">
        <f t="array" ref="Q988">_xlfn.IFS(L988="M","Medium",L988="L","Light",L988="D","Dark")</f>
        <v>Light</v>
      </c>
      <c r="R988" t="str">
        <f>_xlfn.XLOOKUP(Orders[[#This Row],[Customer ID]],customers!$A$1:$A$1001,customers!$I$1:$I$1001)</f>
        <v>No</v>
      </c>
    </row>
    <row r="989" spans="1:18" x14ac:dyDescent="0.35">
      <c r="A989" s="2" t="s">
        <v>4109</v>
      </c>
      <c r="B989" s="4">
        <v>44448</v>
      </c>
      <c r="C989" s="23">
        <f>Orders[[#This Row],[Order Date]]</f>
        <v>44448</v>
      </c>
      <c r="D989" s="2">
        <f>YEAR(Orders[[#This Row],[Order Date]])</f>
        <v>2021</v>
      </c>
      <c r="E989" s="2" t="s">
        <v>4110</v>
      </c>
      <c r="F989" t="s">
        <v>6179</v>
      </c>
      <c r="G989" s="20">
        <v>3</v>
      </c>
      <c r="H989" s="2" t="str">
        <f>INDEX(customers!$A$1:$I$1001,MATCH($E989,customers!$A$1:$A$1001,),MATCH($H$1,customers!$A$1:$I$1,0))</f>
        <v>Yardley Basill</v>
      </c>
      <c r="I989" s="2" t="str">
        <f>IF(INDEX(customers!$A$1:$I$1001,MATCH($E989,customers!$A$1:$A$1001,0),3)=0,"",INDEX(customers!$A$1:$I$1001,MATCH($E989,customers!$A$1:$A$1001,0),3))</f>
        <v>ybasillht@theguardian.com</v>
      </c>
      <c r="J989" s="2" t="str">
        <f>_xlfn.XLOOKUP(E989,customers!$A$1:$A$1001,customers!$G$1:$G$1001)</f>
        <v>United States</v>
      </c>
      <c r="K989" t="str">
        <f>INDEX(products!$A$1:$G$49,MATCH($F989,products!$A$1:$A$49,0),MATCH(K$1,products!$A$1:$G$1,0))</f>
        <v>Rob</v>
      </c>
      <c r="L989" t="str">
        <f>INDEX(products!$A$1:$G$49,MATCH($F989,products!$A$1:$A$49,0),MATCH(L$1,products!$A$1:$G$1,0))</f>
        <v>L</v>
      </c>
      <c r="M989" s="5">
        <f>INDEX(products!$A$1:$G$49,MATCH($F989,products!$A$1:$A$49,0),MATCH(M$1,products!$A$1:$G$1,0))</f>
        <v>1</v>
      </c>
      <c r="N989" s="7">
        <f>INDEX(products!$A$1:$G$49,MATCH($F989,products!$A$1:$A$49,0),MATCH(N$1,products!$A$1:$G$1,0))</f>
        <v>11.95</v>
      </c>
      <c r="O989" s="7">
        <f t="shared" si="15"/>
        <v>35.849999999999994</v>
      </c>
      <c r="P989" t="str" cm="1">
        <f t="array" ref="P989">_xlfn.IFS(K989="Rob","Robusta",K989="Exc","Excelsa",K989="Ara","Arabica",K989="Lib","Liberica")</f>
        <v>Robusta</v>
      </c>
      <c r="Q989" t="str" cm="1">
        <f t="array" ref="Q989">_xlfn.IFS(L989="M","Medium",L989="L","Light",L989="D","Dark")</f>
        <v>Light</v>
      </c>
      <c r="R989" t="str">
        <f>_xlfn.XLOOKUP(Orders[[#This Row],[Customer ID]],customers!$A$1:$A$1001,customers!$I$1:$I$1001)</f>
        <v>Yes</v>
      </c>
    </row>
    <row r="990" spans="1:18" x14ac:dyDescent="0.35">
      <c r="A990" s="2" t="s">
        <v>2876</v>
      </c>
      <c r="B990" s="4">
        <v>44431</v>
      </c>
      <c r="C990" s="23">
        <f>Orders[[#This Row],[Order Date]]</f>
        <v>44431</v>
      </c>
      <c r="D990" s="2">
        <f>YEAR(Orders[[#This Row],[Order Date]])</f>
        <v>2021</v>
      </c>
      <c r="E990" s="2" t="s">
        <v>2877</v>
      </c>
      <c r="F990" t="s">
        <v>6176</v>
      </c>
      <c r="G990" s="20">
        <v>3</v>
      </c>
      <c r="H990" s="2" t="str">
        <f>INDEX(customers!$A$1:$I$1001,MATCH($E990,customers!$A$1:$A$1001,),MATCH($H$1,customers!$A$1:$I$1,0))</f>
        <v>Yulma Dombrell</v>
      </c>
      <c r="I990" s="2" t="str">
        <f>IF(INDEX(customers!$A$1:$I$1001,MATCH($E990,customers!$A$1:$A$1001,0),3)=0,"",INDEX(customers!$A$1:$I$1001,MATCH($E990,customers!$A$1:$A$1001,0),3))</f>
        <v>ydombrellbs@dedecms.com</v>
      </c>
      <c r="J990" s="2" t="str">
        <f>_xlfn.XLOOKUP(E990,customers!$A$1:$A$1001,customers!$G$1:$G$1001)</f>
        <v>United States</v>
      </c>
      <c r="K990" t="str">
        <f>INDEX(products!$A$1:$G$49,MATCH($F990,products!$A$1:$A$49,0),MATCH(K$1,products!$A$1:$G$1,0))</f>
        <v>Exc</v>
      </c>
      <c r="L990" t="str">
        <f>INDEX(products!$A$1:$G$49,MATCH($F990,products!$A$1:$A$49,0),MATCH(L$1,products!$A$1:$G$1,0))</f>
        <v>L</v>
      </c>
      <c r="M990" s="5">
        <f>INDEX(products!$A$1:$G$49,MATCH($F990,products!$A$1:$A$49,0),MATCH(M$1,products!$A$1:$G$1,0))</f>
        <v>0.5</v>
      </c>
      <c r="N990" s="7">
        <f>INDEX(products!$A$1:$G$49,MATCH($F990,products!$A$1:$A$49,0),MATCH(N$1,products!$A$1:$G$1,0))</f>
        <v>8.91</v>
      </c>
      <c r="O990" s="7">
        <f t="shared" si="15"/>
        <v>26.73</v>
      </c>
      <c r="P990" t="str" cm="1">
        <f t="array" ref="P990">_xlfn.IFS(K990="Rob","Robusta",K990="Exc","Excelsa",K990="Ara","Arabica",K990="Lib","Liberica")</f>
        <v>Excelsa</v>
      </c>
      <c r="Q990" t="str" cm="1">
        <f t="array" ref="Q990">_xlfn.IFS(L990="M","Medium",L990="L","Light",L990="D","Dark")</f>
        <v>Light</v>
      </c>
      <c r="R990" t="str">
        <f>_xlfn.XLOOKUP(Orders[[#This Row],[Customer ID]],customers!$A$1:$A$1001,customers!$I$1:$I$1001)</f>
        <v>Yes</v>
      </c>
    </row>
    <row r="991" spans="1:18" x14ac:dyDescent="0.35">
      <c r="A991" s="2" t="s">
        <v>2515</v>
      </c>
      <c r="B991" s="4">
        <v>43563</v>
      </c>
      <c r="C991" s="23">
        <f>Orders[[#This Row],[Order Date]]</f>
        <v>43563</v>
      </c>
      <c r="D991" s="2">
        <f>YEAR(Orders[[#This Row],[Order Date]])</f>
        <v>2019</v>
      </c>
      <c r="E991" s="2" t="s">
        <v>2516</v>
      </c>
      <c r="F991" t="s">
        <v>6178</v>
      </c>
      <c r="G991" s="20">
        <v>6</v>
      </c>
      <c r="H991" s="2" t="str">
        <f>INDEX(customers!$A$1:$I$1001,MATCH($E991,customers!$A$1:$A$1001,),MATCH($H$1,customers!$A$1:$I$1,0))</f>
        <v>Yuma Skipsey</v>
      </c>
      <c r="I991" s="2" t="str">
        <f>IF(INDEX(customers!$A$1:$I$1001,MATCH($E991,customers!$A$1:$A$1001,0),3)=0,"",INDEX(customers!$A$1:$I$1001,MATCH($E991,customers!$A$1:$A$1001,0),3))</f>
        <v>yskipsey9z@spotify.com</v>
      </c>
      <c r="J991" s="2" t="str">
        <f>_xlfn.XLOOKUP(E991,customers!$A$1:$A$1001,customers!$G$1:$G$1001)</f>
        <v>United Kingdom</v>
      </c>
      <c r="K991" t="str">
        <f>INDEX(products!$A$1:$G$49,MATCH($F991,products!$A$1:$A$49,0),MATCH(K$1,products!$A$1:$G$1,0))</f>
        <v>Rob</v>
      </c>
      <c r="L991" t="str">
        <f>INDEX(products!$A$1:$G$49,MATCH($F991,products!$A$1:$A$49,0),MATCH(L$1,products!$A$1:$G$1,0))</f>
        <v>L</v>
      </c>
      <c r="M991" s="5">
        <f>INDEX(products!$A$1:$G$49,MATCH($F991,products!$A$1:$A$49,0),MATCH(M$1,products!$A$1:$G$1,0))</f>
        <v>0.2</v>
      </c>
      <c r="N991" s="7">
        <f>INDEX(products!$A$1:$G$49,MATCH($F991,products!$A$1:$A$49,0),MATCH(N$1,products!$A$1:$G$1,0))</f>
        <v>3.5849999999999995</v>
      </c>
      <c r="O991" s="7">
        <f t="shared" si="15"/>
        <v>21.509999999999998</v>
      </c>
      <c r="P991" t="str" cm="1">
        <f t="array" ref="P991">_xlfn.IFS(K991="Rob","Robusta",K991="Exc","Excelsa",K991="Ara","Arabica",K991="Lib","Liberica")</f>
        <v>Robusta</v>
      </c>
      <c r="Q991" t="str" cm="1">
        <f t="array" ref="Q991">_xlfn.IFS(L991="M","Medium",L991="L","Light",L991="D","Dark")</f>
        <v>Light</v>
      </c>
      <c r="R991" t="str">
        <f>_xlfn.XLOOKUP(Orders[[#This Row],[Customer ID]],customers!$A$1:$A$1001,customers!$I$1:$I$1001)</f>
        <v>No</v>
      </c>
    </row>
    <row r="992" spans="1:18" x14ac:dyDescent="0.35">
      <c r="A992" s="2" t="s">
        <v>5932</v>
      </c>
      <c r="B992" s="4">
        <v>44203</v>
      </c>
      <c r="C992" s="23">
        <f>Orders[[#This Row],[Order Date]]</f>
        <v>44203</v>
      </c>
      <c r="D992" s="2">
        <f>YEAR(Orders[[#This Row],[Order Date]])</f>
        <v>2021</v>
      </c>
      <c r="E992" s="2" t="s">
        <v>5933</v>
      </c>
      <c r="F992" t="s">
        <v>6146</v>
      </c>
      <c r="G992" s="20">
        <v>4</v>
      </c>
      <c r="H992" s="2" t="str">
        <f>INDEX(customers!$A$1:$I$1001,MATCH($E992,customers!$A$1:$A$1001,),MATCH($H$1,customers!$A$1:$I$1,0))</f>
        <v>Yuri Burrells</v>
      </c>
      <c r="I992" s="2" t="str">
        <f>IF(INDEX(customers!$A$1:$I$1001,MATCH($E992,customers!$A$1:$A$1001,0),3)=0,"",INDEX(customers!$A$1:$I$1001,MATCH($E992,customers!$A$1:$A$1001,0),3))</f>
        <v>yburrellsqr@vinaora.com</v>
      </c>
      <c r="J992" s="2" t="str">
        <f>_xlfn.XLOOKUP(E992,customers!$A$1:$A$1001,customers!$G$1:$G$1001)</f>
        <v>United States</v>
      </c>
      <c r="K992" t="str">
        <f>INDEX(products!$A$1:$G$49,MATCH($F992,products!$A$1:$A$49,0),MATCH(K$1,products!$A$1:$G$1,0))</f>
        <v>Rob</v>
      </c>
      <c r="L992" t="str">
        <f>INDEX(products!$A$1:$G$49,MATCH($F992,products!$A$1:$A$49,0),MATCH(L$1,products!$A$1:$G$1,0))</f>
        <v>M</v>
      </c>
      <c r="M992" s="5">
        <f>INDEX(products!$A$1:$G$49,MATCH($F992,products!$A$1:$A$49,0),MATCH(M$1,products!$A$1:$G$1,0))</f>
        <v>0.5</v>
      </c>
      <c r="N992" s="7">
        <f>INDEX(products!$A$1:$G$49,MATCH($F992,products!$A$1:$A$49,0),MATCH(N$1,products!$A$1:$G$1,0))</f>
        <v>5.97</v>
      </c>
      <c r="O992" s="7">
        <f t="shared" si="15"/>
        <v>23.88</v>
      </c>
      <c r="P992" t="str" cm="1">
        <f t="array" ref="P992">_xlfn.IFS(K992="Rob","Robusta",K992="Exc","Excelsa",K992="Ara","Arabica",K992="Lib","Liberica")</f>
        <v>Robusta</v>
      </c>
      <c r="Q992" t="str" cm="1">
        <f t="array" ref="Q992">_xlfn.IFS(L992="M","Medium",L992="L","Light",L992="D","Dark")</f>
        <v>Medium</v>
      </c>
      <c r="R992" t="str">
        <f>_xlfn.XLOOKUP(Orders[[#This Row],[Customer ID]],customers!$A$1:$A$1001,customers!$I$1:$I$1001)</f>
        <v>Yes</v>
      </c>
    </row>
    <row r="993" spans="1:18" x14ac:dyDescent="0.35">
      <c r="A993" s="2" t="s">
        <v>965</v>
      </c>
      <c r="B993" s="4">
        <v>43783</v>
      </c>
      <c r="C993" s="23">
        <f>Orders[[#This Row],[Order Date]]</f>
        <v>43783</v>
      </c>
      <c r="D993" s="2">
        <f>YEAR(Orders[[#This Row],[Order Date]])</f>
        <v>2019</v>
      </c>
      <c r="E993" s="2" t="s">
        <v>966</v>
      </c>
      <c r="F993" t="s">
        <v>6161</v>
      </c>
      <c r="G993" s="20">
        <v>1</v>
      </c>
      <c r="H993" s="2" t="str">
        <f>INDEX(customers!$A$1:$I$1001,MATCH($E993,customers!$A$1:$A$1001,),MATCH($H$1,customers!$A$1:$I$1,0))</f>
        <v>Zaccaria Sherewood</v>
      </c>
      <c r="I993" s="2" t="str">
        <f>IF(INDEX(customers!$A$1:$I$1001,MATCH($E993,customers!$A$1:$A$1001,0),3)=0,"",INDEX(customers!$A$1:$I$1001,MATCH($E993,customers!$A$1:$A$1001,0),3))</f>
        <v>zsherewood2c@apache.org</v>
      </c>
      <c r="J993" s="2" t="str">
        <f>_xlfn.XLOOKUP(E993,customers!$A$1:$A$1001,customers!$G$1:$G$1001)</f>
        <v>United States</v>
      </c>
      <c r="K993" t="str">
        <f>INDEX(products!$A$1:$G$49,MATCH($F993,products!$A$1:$A$49,0),MATCH(K$1,products!$A$1:$G$1,0))</f>
        <v>Lib</v>
      </c>
      <c r="L993" t="str">
        <f>INDEX(products!$A$1:$G$49,MATCH($F993,products!$A$1:$A$49,0),MATCH(L$1,products!$A$1:$G$1,0))</f>
        <v>L</v>
      </c>
      <c r="M993" s="5">
        <f>INDEX(products!$A$1:$G$49,MATCH($F993,products!$A$1:$A$49,0),MATCH(M$1,products!$A$1:$G$1,0))</f>
        <v>0.5</v>
      </c>
      <c r="N993" s="7">
        <f>INDEX(products!$A$1:$G$49,MATCH($F993,products!$A$1:$A$49,0),MATCH(N$1,products!$A$1:$G$1,0))</f>
        <v>9.51</v>
      </c>
      <c r="O993" s="7">
        <f t="shared" si="15"/>
        <v>9.51</v>
      </c>
      <c r="P993" t="str" cm="1">
        <f t="array" ref="P993">_xlfn.IFS(K993="Rob","Robusta",K993="Exc","Excelsa",K993="Ara","Arabica",K993="Lib","Liberica")</f>
        <v>Liberica</v>
      </c>
      <c r="Q993" t="str" cm="1">
        <f t="array" ref="Q993">_xlfn.IFS(L993="M","Medium",L993="L","Light",L993="D","Dark")</f>
        <v>Light</v>
      </c>
      <c r="R993" t="str">
        <f>_xlfn.XLOOKUP(Orders[[#This Row],[Customer ID]],customers!$A$1:$A$1001,customers!$I$1:$I$1001)</f>
        <v>No</v>
      </c>
    </row>
    <row r="994" spans="1:18" x14ac:dyDescent="0.35">
      <c r="A994" s="2" t="s">
        <v>2025</v>
      </c>
      <c r="B994" s="4">
        <v>44435</v>
      </c>
      <c r="C994" s="23">
        <f>Orders[[#This Row],[Order Date]]</f>
        <v>44435</v>
      </c>
      <c r="D994" s="2">
        <f>YEAR(Orders[[#This Row],[Order Date]])</f>
        <v>2021</v>
      </c>
      <c r="E994" s="2" t="s">
        <v>2026</v>
      </c>
      <c r="F994" t="s">
        <v>6179</v>
      </c>
      <c r="G994" s="20">
        <v>6</v>
      </c>
      <c r="H994" s="2" t="str">
        <f>INDEX(customers!$A$1:$I$1001,MATCH($E994,customers!$A$1:$A$1001,),MATCH($H$1,customers!$A$1:$I$1,0))</f>
        <v>Zachariah Carlson</v>
      </c>
      <c r="I994" s="2" t="str">
        <f>IF(INDEX(customers!$A$1:$I$1001,MATCH($E994,customers!$A$1:$A$1001,0),3)=0,"",INDEX(customers!$A$1:$I$1001,MATCH($E994,customers!$A$1:$A$1001,0),3))</f>
        <v>zcarlson7k@bigcartel.com</v>
      </c>
      <c r="J994" s="2" t="str">
        <f>_xlfn.XLOOKUP(E994,customers!$A$1:$A$1001,customers!$G$1:$G$1001)</f>
        <v>Ireland</v>
      </c>
      <c r="K994" t="str">
        <f>INDEX(products!$A$1:$G$49,MATCH($F994,products!$A$1:$A$49,0),MATCH(K$1,products!$A$1:$G$1,0))</f>
        <v>Rob</v>
      </c>
      <c r="L994" t="str">
        <f>INDEX(products!$A$1:$G$49,MATCH($F994,products!$A$1:$A$49,0),MATCH(L$1,products!$A$1:$G$1,0))</f>
        <v>L</v>
      </c>
      <c r="M994" s="5">
        <f>INDEX(products!$A$1:$G$49,MATCH($F994,products!$A$1:$A$49,0),MATCH(M$1,products!$A$1:$G$1,0))</f>
        <v>1</v>
      </c>
      <c r="N994" s="7">
        <f>INDEX(products!$A$1:$G$49,MATCH($F994,products!$A$1:$A$49,0),MATCH(N$1,products!$A$1:$G$1,0))</f>
        <v>11.95</v>
      </c>
      <c r="O994" s="7">
        <f t="shared" si="15"/>
        <v>71.699999999999989</v>
      </c>
      <c r="P994" t="str" cm="1">
        <f t="array" ref="P994">_xlfn.IFS(K994="Rob","Robusta",K994="Exc","Excelsa",K994="Ara","Arabica",K994="Lib","Liberica")</f>
        <v>Robusta</v>
      </c>
      <c r="Q994" t="str" cm="1">
        <f t="array" ref="Q994">_xlfn.IFS(L994="M","Medium",L994="L","Light",L994="D","Dark")</f>
        <v>Light</v>
      </c>
      <c r="R994" t="str">
        <f>_xlfn.XLOOKUP(Orders[[#This Row],[Customer ID]],customers!$A$1:$A$1001,customers!$I$1:$I$1001)</f>
        <v>Yes</v>
      </c>
    </row>
    <row r="995" spans="1:18" x14ac:dyDescent="0.35">
      <c r="A995" s="2" t="s">
        <v>1895</v>
      </c>
      <c r="B995" s="4">
        <v>43861</v>
      </c>
      <c r="C995" s="23">
        <f>Orders[[#This Row],[Order Date]]</f>
        <v>43861</v>
      </c>
      <c r="D995" s="2">
        <f>YEAR(Orders[[#This Row],[Order Date]])</f>
        <v>2020</v>
      </c>
      <c r="E995" s="2" t="s">
        <v>1935</v>
      </c>
      <c r="F995" t="s">
        <v>6170</v>
      </c>
      <c r="G995" s="20">
        <v>1</v>
      </c>
      <c r="H995" s="2" t="str">
        <f>INDEX(customers!$A$1:$I$1001,MATCH($E995,customers!$A$1:$A$1001,),MATCH($H$1,customers!$A$1:$I$1,0))</f>
        <v>Zacharias Kiffe</v>
      </c>
      <c r="I995" s="2" t="str">
        <f>IF(INDEX(customers!$A$1:$I$1001,MATCH($E995,customers!$A$1:$A$1001,0),3)=0,"",INDEX(customers!$A$1:$I$1001,MATCH($E995,customers!$A$1:$A$1001,0),3))</f>
        <v>zkiffe74@cyberchimps.com</v>
      </c>
      <c r="J995" s="2" t="str">
        <f>_xlfn.XLOOKUP(E995,customers!$A$1:$A$1001,customers!$G$1:$G$1001)</f>
        <v>United States</v>
      </c>
      <c r="K995" t="str">
        <f>INDEX(products!$A$1:$G$49,MATCH($F995,products!$A$1:$A$49,0),MATCH(K$1,products!$A$1:$G$1,0))</f>
        <v>Lib</v>
      </c>
      <c r="L995" t="str">
        <f>INDEX(products!$A$1:$G$49,MATCH($F995,products!$A$1:$A$49,0),MATCH(L$1,products!$A$1:$G$1,0))</f>
        <v>L</v>
      </c>
      <c r="M995" s="5">
        <f>INDEX(products!$A$1:$G$49,MATCH($F995,products!$A$1:$A$49,0),MATCH(M$1,products!$A$1:$G$1,0))</f>
        <v>1</v>
      </c>
      <c r="N995" s="7">
        <f>INDEX(products!$A$1:$G$49,MATCH($F995,products!$A$1:$A$49,0),MATCH(N$1,products!$A$1:$G$1,0))</f>
        <v>15.85</v>
      </c>
      <c r="O995" s="7">
        <f t="shared" si="15"/>
        <v>15.85</v>
      </c>
      <c r="P995" t="str" cm="1">
        <f t="array" ref="P995">_xlfn.IFS(K995="Rob","Robusta",K995="Exc","Excelsa",K995="Ara","Arabica",K995="Lib","Liberica")</f>
        <v>Liberica</v>
      </c>
      <c r="Q995" t="str" cm="1">
        <f t="array" ref="Q995">_xlfn.IFS(L995="M","Medium",L995="L","Light",L995="D","Dark")</f>
        <v>Light</v>
      </c>
      <c r="R995" t="str">
        <f>_xlfn.XLOOKUP(Orders[[#This Row],[Customer ID]],customers!$A$1:$A$1001,customers!$I$1:$I$1001)</f>
        <v>Yes</v>
      </c>
    </row>
    <row r="996" spans="1:18" x14ac:dyDescent="0.35">
      <c r="A996" s="2" t="s">
        <v>1934</v>
      </c>
      <c r="B996" s="4">
        <v>43846</v>
      </c>
      <c r="C996" s="23">
        <f>Orders[[#This Row],[Order Date]]</f>
        <v>43846</v>
      </c>
      <c r="D996" s="2">
        <f>YEAR(Orders[[#This Row],[Order Date]])</f>
        <v>2020</v>
      </c>
      <c r="E996" s="2" t="s">
        <v>1935</v>
      </c>
      <c r="F996" t="s">
        <v>6160</v>
      </c>
      <c r="G996" s="20">
        <v>2</v>
      </c>
      <c r="H996" s="2" t="str">
        <f>INDEX(customers!$A$1:$I$1001,MATCH($E996,customers!$A$1:$A$1001,),MATCH($H$1,customers!$A$1:$I$1,0))</f>
        <v>Zacharias Kiffe</v>
      </c>
      <c r="I996" s="2" t="str">
        <f>IF(INDEX(customers!$A$1:$I$1001,MATCH($E996,customers!$A$1:$A$1001,0),3)=0,"",INDEX(customers!$A$1:$I$1001,MATCH($E996,customers!$A$1:$A$1001,0),3))</f>
        <v>zkiffe74@cyberchimps.com</v>
      </c>
      <c r="J996" s="2" t="str">
        <f>_xlfn.XLOOKUP(E996,customers!$A$1:$A$1001,customers!$G$1:$G$1001)</f>
        <v>United States</v>
      </c>
      <c r="K996" t="str">
        <f>INDEX(products!$A$1:$G$49,MATCH($F996,products!$A$1:$A$49,0),MATCH(K$1,products!$A$1:$G$1,0))</f>
        <v>Lib</v>
      </c>
      <c r="L996" t="str">
        <f>INDEX(products!$A$1:$G$49,MATCH($F996,products!$A$1:$A$49,0),MATCH(L$1,products!$A$1:$G$1,0))</f>
        <v>M</v>
      </c>
      <c r="M996" s="5">
        <f>INDEX(products!$A$1:$G$49,MATCH($F996,products!$A$1:$A$49,0),MATCH(M$1,products!$A$1:$G$1,0))</f>
        <v>0.5</v>
      </c>
      <c r="N996" s="7">
        <f>INDEX(products!$A$1:$G$49,MATCH($F996,products!$A$1:$A$49,0),MATCH(N$1,products!$A$1:$G$1,0))</f>
        <v>8.73</v>
      </c>
      <c r="O996" s="7">
        <f t="shared" si="15"/>
        <v>17.46</v>
      </c>
      <c r="P996" t="str" cm="1">
        <f t="array" ref="P996">_xlfn.IFS(K996="Rob","Robusta",K996="Exc","Excelsa",K996="Ara","Arabica",K996="Lib","Liberica")</f>
        <v>Liberica</v>
      </c>
      <c r="Q996" t="str" cm="1">
        <f t="array" ref="Q996">_xlfn.IFS(L996="M","Medium",L996="L","Light",L996="D","Dark")</f>
        <v>Medium</v>
      </c>
      <c r="R996" t="str">
        <f>_xlfn.XLOOKUP(Orders[[#This Row],[Customer ID]],customers!$A$1:$A$1001,customers!$I$1:$I$1001)</f>
        <v>Yes</v>
      </c>
    </row>
    <row r="997" spans="1:18" x14ac:dyDescent="0.35">
      <c r="A997" s="2" t="s">
        <v>5450</v>
      </c>
      <c r="B997" s="4">
        <v>44411</v>
      </c>
      <c r="C997" s="23">
        <f>Orders[[#This Row],[Order Date]]</f>
        <v>44411</v>
      </c>
      <c r="D997" s="2">
        <f>YEAR(Orders[[#This Row],[Order Date]])</f>
        <v>2021</v>
      </c>
      <c r="E997" s="2" t="s">
        <v>5451</v>
      </c>
      <c r="F997" t="s">
        <v>6161</v>
      </c>
      <c r="G997" s="20">
        <v>3</v>
      </c>
      <c r="H997" s="2" t="str">
        <f>INDEX(customers!$A$1:$I$1001,MATCH($E997,customers!$A$1:$A$1001,),MATCH($H$1,customers!$A$1:$I$1,0))</f>
        <v>Zachary Tramel</v>
      </c>
      <c r="I997" s="2" t="str">
        <f>IF(INDEX(customers!$A$1:$I$1001,MATCH($E997,customers!$A$1:$A$1001,0),3)=0,"",INDEX(customers!$A$1:$I$1001,MATCH($E997,customers!$A$1:$A$1001,0),3))</f>
        <v>ztramelod@netlog.com</v>
      </c>
      <c r="J997" s="2" t="str">
        <f>_xlfn.XLOOKUP(E997,customers!$A$1:$A$1001,customers!$G$1:$G$1001)</f>
        <v>United States</v>
      </c>
      <c r="K997" t="str">
        <f>INDEX(products!$A$1:$G$49,MATCH($F997,products!$A$1:$A$49,0),MATCH(K$1,products!$A$1:$G$1,0))</f>
        <v>Lib</v>
      </c>
      <c r="L997" t="str">
        <f>INDEX(products!$A$1:$G$49,MATCH($F997,products!$A$1:$A$49,0),MATCH(L$1,products!$A$1:$G$1,0))</f>
        <v>L</v>
      </c>
      <c r="M997" s="5">
        <f>INDEX(products!$A$1:$G$49,MATCH($F997,products!$A$1:$A$49,0),MATCH(M$1,products!$A$1:$G$1,0))</f>
        <v>0.5</v>
      </c>
      <c r="N997" s="7">
        <f>INDEX(products!$A$1:$G$49,MATCH($F997,products!$A$1:$A$49,0),MATCH(N$1,products!$A$1:$G$1,0))</f>
        <v>9.51</v>
      </c>
      <c r="O997" s="7">
        <f t="shared" si="15"/>
        <v>28.53</v>
      </c>
      <c r="P997" t="str" cm="1">
        <f t="array" ref="P997">_xlfn.IFS(K997="Rob","Robusta",K997="Exc","Excelsa",K997="Ara","Arabica",K997="Lib","Liberica")</f>
        <v>Liberica</v>
      </c>
      <c r="Q997" t="str" cm="1">
        <f t="array" ref="Q997">_xlfn.IFS(L997="M","Medium",L997="L","Light",L997="D","Dark")</f>
        <v>Light</v>
      </c>
      <c r="R997" t="str">
        <f>_xlfn.XLOOKUP(Orders[[#This Row],[Customer ID]],customers!$A$1:$A$1001,customers!$I$1:$I$1001)</f>
        <v>No</v>
      </c>
    </row>
    <row r="998" spans="1:18" x14ac:dyDescent="0.35">
      <c r="A998" s="2" t="s">
        <v>3553</v>
      </c>
      <c r="B998" s="4">
        <v>44335</v>
      </c>
      <c r="C998" s="23">
        <f>Orders[[#This Row],[Order Date]]</f>
        <v>44335</v>
      </c>
      <c r="D998" s="2">
        <f>YEAR(Orders[[#This Row],[Order Date]])</f>
        <v>2021</v>
      </c>
      <c r="E998" s="2" t="s">
        <v>3554</v>
      </c>
      <c r="F998" t="s">
        <v>6175</v>
      </c>
      <c r="G998" s="20">
        <v>4</v>
      </c>
      <c r="H998" s="2" t="str">
        <f>INDEX(customers!$A$1:$I$1001,MATCH($E998,customers!$A$1:$A$1001,),MATCH($H$1,customers!$A$1:$I$1,0))</f>
        <v>Zack Pellett</v>
      </c>
      <c r="I998" s="2" t="str">
        <f>IF(INDEX(customers!$A$1:$I$1001,MATCH($E998,customers!$A$1:$A$1001,0),3)=0,"",INDEX(customers!$A$1:$I$1001,MATCH($E998,customers!$A$1:$A$1001,0),3))</f>
        <v>zpellettf2@dailymotion.com</v>
      </c>
      <c r="J998" s="2" t="str">
        <f>_xlfn.XLOOKUP(E998,customers!$A$1:$A$1001,customers!$G$1:$G$1001)</f>
        <v>United States</v>
      </c>
      <c r="K998" t="str">
        <f>INDEX(products!$A$1:$G$49,MATCH($F998,products!$A$1:$A$49,0),MATCH(K$1,products!$A$1:$G$1,0))</f>
        <v>Ara</v>
      </c>
      <c r="L998" t="str">
        <f>INDEX(products!$A$1:$G$49,MATCH($F998,products!$A$1:$A$49,0),MATCH(L$1,products!$A$1:$G$1,0))</f>
        <v>M</v>
      </c>
      <c r="M998" s="5">
        <f>INDEX(products!$A$1:$G$49,MATCH($F998,products!$A$1:$A$49,0),MATCH(M$1,products!$A$1:$G$1,0))</f>
        <v>2.5</v>
      </c>
      <c r="N998" s="7">
        <f>INDEX(products!$A$1:$G$49,MATCH($F998,products!$A$1:$A$49,0),MATCH(N$1,products!$A$1:$G$1,0))</f>
        <v>25.874999999999996</v>
      </c>
      <c r="O998" s="7">
        <f t="shared" si="15"/>
        <v>103.49999999999999</v>
      </c>
      <c r="P998" t="str" cm="1">
        <f t="array" ref="P998">_xlfn.IFS(K998="Rob","Robusta",K998="Exc","Excelsa",K998="Ara","Arabica",K998="Lib","Liberica")</f>
        <v>Arabica</v>
      </c>
      <c r="Q998" t="str" cm="1">
        <f t="array" ref="Q998">_xlfn.IFS(L998="M","Medium",L998="L","Light",L998="D","Dark")</f>
        <v>Medium</v>
      </c>
      <c r="R998" t="str">
        <f>_xlfn.XLOOKUP(Orders[[#This Row],[Customer ID]],customers!$A$1:$A$1001,customers!$I$1:$I$1001)</f>
        <v>No</v>
      </c>
    </row>
    <row r="999" spans="1:18" x14ac:dyDescent="0.35">
      <c r="A999" s="2" t="s">
        <v>5955</v>
      </c>
      <c r="B999" s="4">
        <v>44246</v>
      </c>
      <c r="C999" s="23">
        <f>Orders[[#This Row],[Order Date]]</f>
        <v>44246</v>
      </c>
      <c r="D999" s="2">
        <f>YEAR(Orders[[#This Row],[Order Date]])</f>
        <v>2021</v>
      </c>
      <c r="E999" s="2" t="s">
        <v>5956</v>
      </c>
      <c r="F999" t="s">
        <v>6163</v>
      </c>
      <c r="G999" s="20">
        <v>1</v>
      </c>
      <c r="H999" s="2" t="str">
        <f>INDEX(customers!$A$1:$I$1001,MATCH($E999,customers!$A$1:$A$1001,),MATCH($H$1,customers!$A$1:$I$1,0))</f>
        <v>Zeke Walisiak</v>
      </c>
      <c r="I999" s="2" t="str">
        <f>IF(INDEX(customers!$A$1:$I$1001,MATCH($E999,customers!$A$1:$A$1001,0),3)=0,"",INDEX(customers!$A$1:$I$1001,MATCH($E999,customers!$A$1:$A$1001,0),3))</f>
        <v>zwalisiakqv@ucsd.edu</v>
      </c>
      <c r="J999" s="2" t="str">
        <f>_xlfn.XLOOKUP(E999,customers!$A$1:$A$1001,customers!$G$1:$G$1001)</f>
        <v>Ireland</v>
      </c>
      <c r="K999" t="str">
        <f>INDEX(products!$A$1:$G$49,MATCH($F999,products!$A$1:$A$49,0),MATCH(K$1,products!$A$1:$G$1,0))</f>
        <v>Rob</v>
      </c>
      <c r="L999" t="str">
        <f>INDEX(products!$A$1:$G$49,MATCH($F999,products!$A$1:$A$49,0),MATCH(L$1,products!$A$1:$G$1,0))</f>
        <v>D</v>
      </c>
      <c r="M999" s="5">
        <f>INDEX(products!$A$1:$G$49,MATCH($F999,products!$A$1:$A$49,0),MATCH(M$1,products!$A$1:$G$1,0))</f>
        <v>0.2</v>
      </c>
      <c r="N999" s="7">
        <f>INDEX(products!$A$1:$G$49,MATCH($F999,products!$A$1:$A$49,0),MATCH(N$1,products!$A$1:$G$1,0))</f>
        <v>2.6849999999999996</v>
      </c>
      <c r="O999" s="7">
        <f t="shared" si="15"/>
        <v>2.6849999999999996</v>
      </c>
      <c r="P999" t="str" cm="1">
        <f t="array" ref="P999">_xlfn.IFS(K999="Rob","Robusta",K999="Exc","Excelsa",K999="Ara","Arabica",K999="Lib","Liberica")</f>
        <v>Robusta</v>
      </c>
      <c r="Q999" t="str" cm="1">
        <f t="array" ref="Q999">_xlfn.IFS(L999="M","Medium",L999="L","Light",L999="D","Dark")</f>
        <v>Dark</v>
      </c>
      <c r="R999" t="str">
        <f>_xlfn.XLOOKUP(Orders[[#This Row],[Customer ID]],customers!$A$1:$A$1001,customers!$I$1:$I$1001)</f>
        <v>Yes</v>
      </c>
    </row>
    <row r="1000" spans="1:18" x14ac:dyDescent="0.35">
      <c r="A1000" s="2" t="s">
        <v>3802</v>
      </c>
      <c r="B1000" s="4">
        <v>43867</v>
      </c>
      <c r="C1000" s="23">
        <f>Orders[[#This Row],[Order Date]]</f>
        <v>43867</v>
      </c>
      <c r="D1000" s="2">
        <f>YEAR(Orders[[#This Row],[Order Date]])</f>
        <v>2020</v>
      </c>
      <c r="E1000" s="2" t="s">
        <v>3803</v>
      </c>
      <c r="F1000" t="s">
        <v>6142</v>
      </c>
      <c r="G1000" s="20">
        <v>3</v>
      </c>
      <c r="H1000" s="2" t="str">
        <f>INDEX(customers!$A$1:$I$1001,MATCH($E1000,customers!$A$1:$A$1001,),MATCH($H$1,customers!$A$1:$I$1,0))</f>
        <v>Zilvia Claisse</v>
      </c>
      <c r="I1000" s="2" t="str">
        <f>IF(INDEX(customers!$A$1:$I$1001,MATCH($E1000,customers!$A$1:$A$1001,0),3)=0,"",INDEX(customers!$A$1:$I$1001,MATCH($E1000,customers!$A$1:$A$1001,0),3))</f>
        <v/>
      </c>
      <c r="J1000" s="2" t="str">
        <f>_xlfn.XLOOKUP(E1000,customers!$A$1:$A$1001,customers!$G$1:$G$1001)</f>
        <v>United States</v>
      </c>
      <c r="K1000" t="str">
        <f>INDEX(products!$A$1:$G$49,MATCH($F1000,products!$A$1:$A$49,0),MATCH(K$1,products!$A$1:$G$1,0))</f>
        <v>Rob</v>
      </c>
      <c r="L1000" t="str">
        <f>INDEX(products!$A$1:$G$49,MATCH($F1000,products!$A$1:$A$49,0),MATCH(L$1,products!$A$1:$G$1,0))</f>
        <v>L</v>
      </c>
      <c r="M1000" s="5">
        <f>INDEX(products!$A$1:$G$49,MATCH($F1000,products!$A$1:$A$49,0),MATCH(M$1,products!$A$1:$G$1,0))</f>
        <v>2.5</v>
      </c>
      <c r="N1000" s="7">
        <f>INDEX(products!$A$1:$G$49,MATCH($F1000,products!$A$1:$A$49,0),MATCH(N$1,products!$A$1:$G$1,0))</f>
        <v>27.484999999999996</v>
      </c>
      <c r="O1000" s="7">
        <f t="shared" si="15"/>
        <v>82.454999999999984</v>
      </c>
      <c r="P1000" t="str" cm="1">
        <f t="array" ref="P1000">_xlfn.IFS(K1000="Rob","Robusta",K1000="Exc","Excelsa",K1000="Ara","Arabica",K1000="Lib","Liberica")</f>
        <v>Robusta</v>
      </c>
      <c r="Q1000" t="str" cm="1">
        <f t="array" ref="Q1000">_xlfn.IFS(L1000="M","Medium",L1000="L","Light",L1000="D","Dark")</f>
        <v>Light</v>
      </c>
      <c r="R1000" t="str">
        <f>_xlfn.XLOOKUP(Orders[[#This Row],[Customer ID]],customers!$A$1:$A$1001,customers!$I$1:$I$1001)</f>
        <v>No</v>
      </c>
    </row>
    <row r="1001" spans="1:18" x14ac:dyDescent="0.35">
      <c r="A1001" s="2" t="s">
        <v>693</v>
      </c>
      <c r="B1001" s="4">
        <v>44233</v>
      </c>
      <c r="C1001" s="23">
        <f>Orders[[#This Row],[Order Date]]</f>
        <v>44233</v>
      </c>
      <c r="D1001" s="2">
        <f>YEAR(Orders[[#This Row],[Order Date]])</f>
        <v>2021</v>
      </c>
      <c r="E1001" s="2" t="s">
        <v>694</v>
      </c>
      <c r="F1001" t="s">
        <v>6159</v>
      </c>
      <c r="G1001" s="20">
        <v>2</v>
      </c>
      <c r="H1001" s="2" t="str">
        <f>INDEX(customers!$A$1:$I$1001,MATCH($E1001,customers!$A$1:$A$1001,),MATCH($H$1,customers!$A$1:$I$1,0))</f>
        <v>Zorina Ponting</v>
      </c>
      <c r="I1001" s="2" t="str">
        <f>IF(INDEX(customers!$A$1:$I$1001,MATCH($E1001,customers!$A$1:$A$1001,0),3)=0,"",INDEX(customers!$A$1:$I$1001,MATCH($E1001,customers!$A$1:$A$1001,0),3))</f>
        <v>zponting10@altervista.org</v>
      </c>
      <c r="J1001" s="2" t="str">
        <f>_xlfn.XLOOKUP(E1001,customers!$A$1:$A$1001,customers!$G$1:$G$1001)</f>
        <v>United States</v>
      </c>
      <c r="K1001" t="str">
        <f>INDEX(products!$A$1:$G$49,MATCH($F1001,products!$A$1:$A$49,0),MATCH(K$1,products!$A$1:$G$1,0))</f>
        <v>Lib</v>
      </c>
      <c r="L1001" t="str">
        <f>INDEX(products!$A$1:$G$49,MATCH($F1001,products!$A$1:$A$49,0),MATCH(L$1,products!$A$1:$G$1,0))</f>
        <v>M</v>
      </c>
      <c r="M1001" s="5">
        <f>INDEX(products!$A$1:$G$49,MATCH($F1001,products!$A$1:$A$49,0),MATCH(M$1,products!$A$1:$G$1,0))</f>
        <v>0.2</v>
      </c>
      <c r="N1001" s="7">
        <f>INDEX(products!$A$1:$G$49,MATCH($F1001,products!$A$1:$A$49,0),MATCH(N$1,products!$A$1:$G$1,0))</f>
        <v>4.3650000000000002</v>
      </c>
      <c r="O1001" s="7">
        <f t="shared" si="15"/>
        <v>8.73</v>
      </c>
      <c r="P1001" t="str" cm="1">
        <f t="array" ref="P1001">_xlfn.IFS(K1001="Rob","Robusta",K1001="Exc","Excelsa",K1001="Ara","Arabica",K1001="Lib","Liberica")</f>
        <v>Liberica</v>
      </c>
      <c r="Q1001" t="str" cm="1">
        <f t="array" ref="Q1001">_xlfn.IFS(L1001="M","Medium",L1001="L","Light",L1001="D","Dark")</f>
        <v>Medium</v>
      </c>
      <c r="R1001" t="str">
        <f>_xlfn.XLOOKUP(Orders[[#This Row],[Customer ID]],customers!$A$1:$A$1001,customers!$I$1:$I$1001)</f>
        <v>No</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515C6-227A-48F4-8D7F-5633C9E28AAA}">
  <dimension ref="A1:I18"/>
  <sheetViews>
    <sheetView zoomScale="85" zoomScaleNormal="85" workbookViewId="0">
      <selection activeCell="AD29" sqref="AD29"/>
    </sheetView>
  </sheetViews>
  <sheetFormatPr defaultRowHeight="14.5" x14ac:dyDescent="0.35"/>
  <cols>
    <col min="1" max="1" width="9.90625" bestFit="1" customWidth="1"/>
    <col min="2" max="2" width="17.81640625" bestFit="1" customWidth="1"/>
    <col min="3" max="6" width="19.26953125" bestFit="1" customWidth="1"/>
    <col min="7" max="7" width="10.81640625" bestFit="1" customWidth="1"/>
    <col min="8" max="8" width="17.453125" bestFit="1" customWidth="1"/>
    <col min="9" max="9" width="11.54296875" bestFit="1" customWidth="1"/>
    <col min="10" max="11" width="19.26953125" bestFit="1" customWidth="1"/>
    <col min="12" max="12" width="9.08984375" bestFit="1" customWidth="1"/>
    <col min="13" max="13" width="12.08984375" bestFit="1" customWidth="1"/>
    <col min="14" max="14" width="9.08984375" bestFit="1" customWidth="1"/>
    <col min="15" max="15" width="12.08984375" bestFit="1" customWidth="1"/>
    <col min="16" max="17" width="9.08984375" bestFit="1" customWidth="1"/>
    <col min="18" max="18" width="12.08984375" bestFit="1" customWidth="1"/>
    <col min="19" max="19" width="9.08984375" bestFit="1" customWidth="1"/>
    <col min="20" max="20" width="12.08984375" bestFit="1" customWidth="1"/>
    <col min="21" max="22" width="9.08984375" bestFit="1" customWidth="1"/>
    <col min="23" max="23" width="12.08984375" bestFit="1" customWidth="1"/>
    <col min="24" max="24" width="9.08984375" bestFit="1" customWidth="1"/>
    <col min="25" max="25" width="12.08984375" bestFit="1" customWidth="1"/>
    <col min="26" max="27" width="9.08984375" bestFit="1" customWidth="1"/>
    <col min="28" max="28" width="12.08984375" bestFit="1" customWidth="1"/>
    <col min="29" max="29" width="9.08984375" bestFit="1" customWidth="1"/>
    <col min="30" max="30" width="12.08984375" bestFit="1" customWidth="1"/>
    <col min="31" max="31" width="9.08984375" bestFit="1" customWidth="1"/>
    <col min="32" max="32" width="12.08984375" bestFit="1" customWidth="1"/>
    <col min="33" max="33" width="10.1796875" bestFit="1" customWidth="1"/>
    <col min="34" max="34" width="13.26953125" bestFit="1" customWidth="1"/>
    <col min="35" max="36" width="10.1796875" bestFit="1" customWidth="1"/>
    <col min="37" max="37" width="13.26953125" bestFit="1" customWidth="1"/>
    <col min="38" max="38" width="10.1796875" bestFit="1" customWidth="1"/>
    <col min="39" max="39" width="13.26953125" bestFit="1" customWidth="1"/>
    <col min="40" max="40" width="10.1796875" bestFit="1" customWidth="1"/>
    <col min="41" max="41" width="13.26953125" bestFit="1" customWidth="1"/>
    <col min="42" max="42" width="10.1796875" bestFit="1" customWidth="1"/>
    <col min="43" max="43" width="13.26953125" bestFit="1" customWidth="1"/>
    <col min="44" max="44" width="10.1796875" bestFit="1" customWidth="1"/>
    <col min="45" max="45" width="13.26953125" bestFit="1" customWidth="1"/>
    <col min="46" max="46" width="10.1796875" bestFit="1" customWidth="1"/>
    <col min="47" max="47" width="13.26953125" bestFit="1" customWidth="1"/>
    <col min="48" max="48" width="10.1796875" bestFit="1" customWidth="1"/>
    <col min="49" max="49" width="13.26953125" bestFit="1" customWidth="1"/>
    <col min="50" max="50" width="10.1796875" bestFit="1" customWidth="1"/>
    <col min="51" max="51" width="13.26953125" bestFit="1" customWidth="1"/>
    <col min="52" max="52" width="10.1796875" bestFit="1" customWidth="1"/>
    <col min="53" max="53" width="13.26953125" bestFit="1" customWidth="1"/>
    <col min="54" max="54" width="10.1796875" bestFit="1" customWidth="1"/>
    <col min="55" max="55" width="13.26953125" bestFit="1" customWidth="1"/>
    <col min="56" max="56" width="10.1796875" bestFit="1" customWidth="1"/>
    <col min="57" max="57" width="13.26953125" bestFit="1" customWidth="1"/>
    <col min="58" max="59" width="10.1796875" bestFit="1" customWidth="1"/>
    <col min="60" max="60" width="13.26953125" bestFit="1" customWidth="1"/>
    <col min="61" max="61" width="10.1796875" bestFit="1" customWidth="1"/>
    <col min="62" max="62" width="13.26953125" bestFit="1" customWidth="1"/>
    <col min="63" max="63" width="10.1796875" bestFit="1" customWidth="1"/>
    <col min="64" max="64" width="13.26953125" bestFit="1" customWidth="1"/>
    <col min="65" max="67" width="10.1796875" bestFit="1" customWidth="1"/>
    <col min="68" max="68" width="13.26953125" bestFit="1" customWidth="1"/>
    <col min="69" max="69" width="10.1796875" bestFit="1" customWidth="1"/>
    <col min="70" max="70" width="13.26953125" bestFit="1" customWidth="1"/>
    <col min="71" max="72" width="8" bestFit="1" customWidth="1"/>
    <col min="73" max="73" width="11.08984375" bestFit="1" customWidth="1"/>
    <col min="74" max="74" width="8" bestFit="1" customWidth="1"/>
    <col min="75" max="75" width="11.08984375" bestFit="1" customWidth="1"/>
    <col min="76" max="76" width="8" bestFit="1" customWidth="1"/>
    <col min="77" max="77" width="11.08984375" bestFit="1" customWidth="1"/>
    <col min="78" max="78" width="8" bestFit="1" customWidth="1"/>
    <col min="79" max="79" width="11.08984375" bestFit="1" customWidth="1"/>
    <col min="80" max="80" width="8" bestFit="1" customWidth="1"/>
    <col min="81" max="81" width="11.08984375" bestFit="1" customWidth="1"/>
    <col min="82" max="82" width="8" bestFit="1" customWidth="1"/>
    <col min="83" max="83" width="11.08984375" bestFit="1" customWidth="1"/>
    <col min="84" max="84" width="8" bestFit="1" customWidth="1"/>
    <col min="85" max="85" width="11.08984375" bestFit="1" customWidth="1"/>
    <col min="86" max="87" width="8" bestFit="1" customWidth="1"/>
    <col min="88" max="88" width="11.08984375" bestFit="1" customWidth="1"/>
    <col min="89" max="90" width="8" bestFit="1" customWidth="1"/>
    <col min="91" max="91" width="11.08984375" bestFit="1" customWidth="1"/>
    <col min="92" max="93" width="8" bestFit="1" customWidth="1"/>
    <col min="94" max="94" width="11.08984375" bestFit="1" customWidth="1"/>
    <col min="95" max="95" width="8" bestFit="1" customWidth="1"/>
    <col min="96" max="96" width="11.08984375" bestFit="1" customWidth="1"/>
    <col min="97" max="99" width="8" bestFit="1" customWidth="1"/>
    <col min="100" max="100" width="11.08984375" bestFit="1" customWidth="1"/>
    <col min="101" max="101" width="8" bestFit="1" customWidth="1"/>
    <col min="102" max="102" width="11.08984375" bestFit="1" customWidth="1"/>
    <col min="103" max="103" width="8" bestFit="1" customWidth="1"/>
    <col min="104" max="104" width="11.08984375" bestFit="1" customWidth="1"/>
    <col min="105" max="105" width="8" bestFit="1" customWidth="1"/>
    <col min="106" max="106" width="11.08984375" bestFit="1" customWidth="1"/>
    <col min="107" max="108" width="7.90625" bestFit="1" customWidth="1"/>
    <col min="109" max="109" width="9.81640625" bestFit="1" customWidth="1"/>
    <col min="110" max="110" width="7.36328125" bestFit="1" customWidth="1"/>
    <col min="111" max="111" width="9.81640625" bestFit="1" customWidth="1"/>
    <col min="112" max="113" width="7.54296875" bestFit="1" customWidth="1"/>
    <col min="114" max="114" width="9.81640625" bestFit="1" customWidth="1"/>
    <col min="115" max="116" width="7.90625" bestFit="1" customWidth="1"/>
    <col min="117" max="117" width="9.81640625" bestFit="1" customWidth="1"/>
    <col min="118" max="118" width="7.54296875" bestFit="1" customWidth="1"/>
    <col min="119" max="119" width="9.81640625" bestFit="1" customWidth="1"/>
    <col min="120" max="120" width="7.54296875" bestFit="1" customWidth="1"/>
    <col min="121" max="121" width="9.81640625" bestFit="1" customWidth="1"/>
    <col min="122" max="122" width="7.90625" bestFit="1" customWidth="1"/>
    <col min="123" max="123" width="9.81640625" bestFit="1" customWidth="1"/>
    <col min="124" max="124" width="7.54296875" bestFit="1" customWidth="1"/>
    <col min="125" max="125" width="9.81640625" bestFit="1" customWidth="1"/>
    <col min="126" max="126" width="7.36328125" bestFit="1" customWidth="1"/>
    <col min="127" max="127" width="9.81640625" bestFit="1" customWidth="1"/>
    <col min="128" max="128" width="7.1796875" bestFit="1" customWidth="1"/>
    <col min="129" max="129" width="9.81640625" bestFit="1" customWidth="1"/>
    <col min="130" max="130" width="7.54296875" bestFit="1" customWidth="1"/>
    <col min="131" max="131" width="9.81640625" bestFit="1" customWidth="1"/>
    <col min="132" max="133" width="7.90625" bestFit="1" customWidth="1"/>
    <col min="134" max="134" width="9.81640625" bestFit="1" customWidth="1"/>
    <col min="135" max="135" width="7.54296875" bestFit="1" customWidth="1"/>
    <col min="136" max="136" width="9.81640625" bestFit="1" customWidth="1"/>
    <col min="137" max="140" width="7.90625" bestFit="1" customWidth="1"/>
    <col min="141" max="141" width="9.81640625" bestFit="1" customWidth="1"/>
    <col min="142" max="142" width="7.54296875" bestFit="1" customWidth="1"/>
    <col min="143" max="143" width="9.81640625" bestFit="1" customWidth="1"/>
    <col min="144" max="144" width="7.1796875" bestFit="1" customWidth="1"/>
    <col min="145" max="145" width="9.81640625" bestFit="1" customWidth="1"/>
    <col min="146" max="146" width="7.1796875" bestFit="1" customWidth="1"/>
    <col min="147" max="147" width="9.36328125" bestFit="1" customWidth="1"/>
    <col min="148" max="148" width="7.90625" bestFit="1" customWidth="1"/>
    <col min="149" max="149" width="9.36328125" bestFit="1" customWidth="1"/>
    <col min="150" max="150" width="7.54296875" bestFit="1" customWidth="1"/>
    <col min="151" max="151" width="9.36328125" bestFit="1" customWidth="1"/>
    <col min="152" max="152" width="7.36328125" bestFit="1" customWidth="1"/>
    <col min="153" max="153" width="9.36328125" bestFit="1" customWidth="1"/>
    <col min="154" max="154" width="7.1796875" bestFit="1" customWidth="1"/>
    <col min="155" max="155" width="9.36328125" bestFit="1" customWidth="1"/>
    <col min="156" max="156" width="7.90625" bestFit="1" customWidth="1"/>
    <col min="157" max="157" width="9.36328125" bestFit="1" customWidth="1"/>
    <col min="158" max="158" width="7.36328125" bestFit="1" customWidth="1"/>
    <col min="159" max="159" width="9.36328125" bestFit="1" customWidth="1"/>
    <col min="160" max="160" width="7.54296875" bestFit="1" customWidth="1"/>
    <col min="161" max="161" width="9.36328125" bestFit="1" customWidth="1"/>
    <col min="162" max="162" width="7.90625" bestFit="1" customWidth="1"/>
    <col min="163" max="163" width="9.36328125" bestFit="1" customWidth="1"/>
    <col min="164" max="164" width="7.1796875" bestFit="1" customWidth="1"/>
    <col min="165" max="165" width="9.36328125" bestFit="1" customWidth="1"/>
    <col min="166" max="166" width="7.54296875" bestFit="1" customWidth="1"/>
    <col min="167" max="167" width="9.36328125" bestFit="1" customWidth="1"/>
    <col min="168" max="168" width="7.90625" bestFit="1" customWidth="1"/>
    <col min="169" max="169" width="9.36328125" bestFit="1" customWidth="1"/>
    <col min="170" max="170" width="7.54296875" bestFit="1" customWidth="1"/>
    <col min="171" max="171" width="9.36328125" bestFit="1" customWidth="1"/>
    <col min="172" max="172" width="7.90625" bestFit="1" customWidth="1"/>
    <col min="173" max="173" width="9.54296875" bestFit="1" customWidth="1"/>
    <col min="174" max="174" width="7.54296875" bestFit="1" customWidth="1"/>
    <col min="175" max="175" width="9.54296875" bestFit="1" customWidth="1"/>
    <col min="176" max="177" width="7.90625" bestFit="1" customWidth="1"/>
    <col min="178" max="178" width="9.54296875" bestFit="1" customWidth="1"/>
    <col min="179" max="179" width="7.90625" bestFit="1" customWidth="1"/>
    <col min="180" max="180" width="9.54296875" bestFit="1" customWidth="1"/>
    <col min="181" max="181" width="7.54296875" bestFit="1" customWidth="1"/>
    <col min="182" max="182" width="9.54296875" bestFit="1" customWidth="1"/>
    <col min="183" max="183" width="7.90625" bestFit="1" customWidth="1"/>
    <col min="184" max="184" width="9.54296875" bestFit="1" customWidth="1"/>
    <col min="185" max="185" width="7.1796875" bestFit="1" customWidth="1"/>
    <col min="186" max="186" width="9.54296875" bestFit="1" customWidth="1"/>
    <col min="187" max="187" width="7.54296875" bestFit="1" customWidth="1"/>
    <col min="188" max="188" width="9.54296875" bestFit="1" customWidth="1"/>
    <col min="189" max="189" width="7.90625" bestFit="1" customWidth="1"/>
    <col min="190" max="190" width="9.54296875" bestFit="1" customWidth="1"/>
    <col min="191" max="191" width="7.1796875" bestFit="1" customWidth="1"/>
    <col min="192" max="192" width="9.54296875" bestFit="1" customWidth="1"/>
    <col min="193" max="193" width="7.54296875" bestFit="1" customWidth="1"/>
    <col min="194" max="194" width="9.54296875" bestFit="1" customWidth="1"/>
    <col min="195" max="195" width="7.90625" bestFit="1" customWidth="1"/>
    <col min="196" max="196" width="9.54296875" bestFit="1" customWidth="1"/>
    <col min="197" max="198" width="7.36328125" bestFit="1" customWidth="1"/>
    <col min="199" max="199" width="9.54296875" bestFit="1" customWidth="1"/>
    <col min="200" max="200" width="7.1796875" bestFit="1" customWidth="1"/>
    <col min="201" max="201" width="9.54296875" bestFit="1" customWidth="1"/>
    <col min="202" max="202" width="7.90625" bestFit="1" customWidth="1"/>
    <col min="203" max="203" width="9.54296875" bestFit="1" customWidth="1"/>
    <col min="204" max="204" width="7.90625" bestFit="1" customWidth="1"/>
    <col min="205" max="205" width="9.54296875" bestFit="1" customWidth="1"/>
    <col min="206" max="206" width="7.36328125" bestFit="1" customWidth="1"/>
    <col min="207" max="207" width="9.54296875" bestFit="1" customWidth="1"/>
    <col min="208" max="208" width="7.1796875" bestFit="1" customWidth="1"/>
    <col min="209" max="209" width="9.54296875" bestFit="1" customWidth="1"/>
    <col min="210" max="210" width="7.36328125" bestFit="1" customWidth="1"/>
    <col min="211" max="211" width="8.81640625" bestFit="1" customWidth="1"/>
    <col min="212" max="212" width="7.1796875" bestFit="1" customWidth="1"/>
    <col min="213" max="213" width="8.81640625" bestFit="1" customWidth="1"/>
    <col min="214" max="215" width="7.54296875" bestFit="1" customWidth="1"/>
    <col min="216" max="216" width="8.81640625" bestFit="1" customWidth="1"/>
    <col min="217" max="217" width="7.1796875" bestFit="1" customWidth="1"/>
    <col min="218" max="218" width="8.81640625" bestFit="1" customWidth="1"/>
    <col min="219" max="219" width="7.54296875" bestFit="1" customWidth="1"/>
    <col min="220" max="220" width="8.81640625" bestFit="1" customWidth="1"/>
    <col min="221" max="221" width="7.1796875" bestFit="1" customWidth="1"/>
    <col min="222" max="222" width="8.81640625" bestFit="1" customWidth="1"/>
    <col min="223" max="223" width="7.90625" bestFit="1" customWidth="1"/>
    <col min="224" max="224" width="8.81640625" bestFit="1" customWidth="1"/>
    <col min="225" max="225" width="7.36328125" bestFit="1" customWidth="1"/>
    <col min="226" max="226" width="8.81640625" bestFit="1" customWidth="1"/>
    <col min="227" max="228" width="7.90625" bestFit="1" customWidth="1"/>
    <col min="229" max="229" width="8.81640625" bestFit="1" customWidth="1"/>
    <col min="230" max="230" width="7.1796875" bestFit="1" customWidth="1"/>
    <col min="231" max="231" width="8.81640625" bestFit="1" customWidth="1"/>
    <col min="232" max="233" width="7.90625" bestFit="1" customWidth="1"/>
    <col min="234" max="234" width="8.81640625" bestFit="1" customWidth="1"/>
    <col min="235" max="235" width="7.54296875" bestFit="1" customWidth="1"/>
    <col min="236" max="236" width="8.81640625" bestFit="1" customWidth="1"/>
    <col min="237" max="238" width="7.54296875" bestFit="1" customWidth="1"/>
    <col min="239" max="239" width="8.81640625" bestFit="1" customWidth="1"/>
    <col min="240" max="240" width="7.90625" bestFit="1" customWidth="1"/>
    <col min="241" max="241" width="8.81640625" bestFit="1" customWidth="1"/>
    <col min="242" max="243" width="7.36328125" bestFit="1" customWidth="1"/>
    <col min="244" max="244" width="8.81640625" bestFit="1" customWidth="1"/>
    <col min="245" max="245" width="7.36328125" bestFit="1" customWidth="1"/>
    <col min="246" max="246" width="8.81640625" bestFit="1" customWidth="1"/>
    <col min="247" max="247" width="8.54296875" bestFit="1" customWidth="1"/>
    <col min="248" max="248" width="11.6328125" bestFit="1" customWidth="1"/>
    <col min="249" max="250" width="8.54296875" bestFit="1" customWidth="1"/>
    <col min="251" max="251" width="11.6328125" bestFit="1" customWidth="1"/>
    <col min="252" max="253" width="8.54296875" bestFit="1" customWidth="1"/>
    <col min="254" max="254" width="11.6328125" bestFit="1" customWidth="1"/>
    <col min="255" max="255" width="8.54296875" bestFit="1" customWidth="1"/>
    <col min="256" max="256" width="11.6328125" bestFit="1" customWidth="1"/>
    <col min="257" max="257" width="8.54296875" bestFit="1" customWidth="1"/>
    <col min="258" max="258" width="11.6328125" bestFit="1" customWidth="1"/>
    <col min="259" max="259" width="8.54296875" bestFit="1" customWidth="1"/>
    <col min="260" max="260" width="11.6328125" bestFit="1" customWidth="1"/>
    <col min="261" max="261" width="8.54296875" bestFit="1" customWidth="1"/>
    <col min="262" max="262" width="11.6328125" bestFit="1" customWidth="1"/>
    <col min="263" max="264" width="8.54296875" bestFit="1" customWidth="1"/>
    <col min="265" max="265" width="11.6328125" bestFit="1" customWidth="1"/>
    <col min="266" max="266" width="8.54296875" bestFit="1" customWidth="1"/>
    <col min="267" max="267" width="11.6328125" bestFit="1" customWidth="1"/>
    <col min="268" max="268" width="8.54296875" bestFit="1" customWidth="1"/>
    <col min="269" max="269" width="11.6328125" bestFit="1" customWidth="1"/>
    <col min="270" max="270" width="8.54296875" bestFit="1" customWidth="1"/>
    <col min="271" max="271" width="11.6328125" bestFit="1" customWidth="1"/>
    <col min="272" max="272" width="8.54296875" bestFit="1" customWidth="1"/>
    <col min="273" max="273" width="11.6328125" bestFit="1" customWidth="1"/>
    <col min="274" max="274" width="8.54296875" bestFit="1" customWidth="1"/>
    <col min="275" max="275" width="11.6328125" bestFit="1" customWidth="1"/>
    <col min="276" max="276" width="12" bestFit="1" customWidth="1"/>
    <col min="277" max="277" width="15.1796875" bestFit="1" customWidth="1"/>
    <col min="278" max="278" width="12" bestFit="1" customWidth="1"/>
    <col min="279" max="279" width="15.1796875" bestFit="1" customWidth="1"/>
    <col min="280" max="281" width="12" bestFit="1" customWidth="1"/>
    <col min="282" max="282" width="15.1796875" bestFit="1" customWidth="1"/>
    <col min="283" max="284" width="12" bestFit="1" customWidth="1"/>
    <col min="285" max="285" width="15.1796875" bestFit="1" customWidth="1"/>
    <col min="286" max="286" width="12" bestFit="1" customWidth="1"/>
    <col min="287" max="287" width="15.1796875" bestFit="1" customWidth="1"/>
    <col min="288" max="288" width="12" bestFit="1" customWidth="1"/>
    <col min="289" max="289" width="15.1796875" bestFit="1" customWidth="1"/>
    <col min="290" max="291" width="12" bestFit="1" customWidth="1"/>
    <col min="292" max="292" width="15.1796875" bestFit="1" customWidth="1"/>
    <col min="293" max="293" width="12" bestFit="1" customWidth="1"/>
    <col min="294" max="294" width="15.1796875" bestFit="1" customWidth="1"/>
    <col min="295" max="295" width="12" bestFit="1" customWidth="1"/>
    <col min="296" max="296" width="15.1796875" bestFit="1" customWidth="1"/>
    <col min="297" max="297" width="12" bestFit="1" customWidth="1"/>
    <col min="298" max="298" width="15.1796875" bestFit="1" customWidth="1"/>
    <col min="299" max="299" width="12" bestFit="1" customWidth="1"/>
    <col min="300" max="300" width="15.1796875" bestFit="1" customWidth="1"/>
    <col min="301" max="301" width="12" bestFit="1" customWidth="1"/>
    <col min="302" max="302" width="15.1796875" bestFit="1" customWidth="1"/>
    <col min="303" max="303" width="12" bestFit="1" customWidth="1"/>
    <col min="304" max="304" width="15.1796875" bestFit="1" customWidth="1"/>
    <col min="305" max="305" width="12" bestFit="1" customWidth="1"/>
    <col min="306" max="306" width="15.1796875" bestFit="1" customWidth="1"/>
    <col min="307" max="307" width="12" bestFit="1" customWidth="1"/>
    <col min="308" max="308" width="15.1796875" bestFit="1" customWidth="1"/>
    <col min="309" max="309" width="12" bestFit="1" customWidth="1"/>
    <col min="310" max="310" width="15.1796875" bestFit="1" customWidth="1"/>
    <col min="311" max="311" width="12" bestFit="1" customWidth="1"/>
    <col min="312" max="312" width="15.1796875" bestFit="1" customWidth="1"/>
    <col min="313" max="313" width="9.54296875" bestFit="1" customWidth="1"/>
    <col min="314" max="314" width="12.6328125" bestFit="1" customWidth="1"/>
    <col min="315" max="315" width="9.54296875" bestFit="1" customWidth="1"/>
    <col min="316" max="316" width="12.6328125" bestFit="1" customWidth="1"/>
    <col min="317" max="317" width="9.54296875" bestFit="1" customWidth="1"/>
    <col min="318" max="318" width="12.6328125" bestFit="1" customWidth="1"/>
    <col min="319" max="319" width="9.54296875" bestFit="1" customWidth="1"/>
    <col min="320" max="320" width="12.6328125" bestFit="1" customWidth="1"/>
    <col min="321" max="322" width="9.54296875" bestFit="1" customWidth="1"/>
    <col min="323" max="323" width="12.6328125" bestFit="1" customWidth="1"/>
    <col min="324" max="324" width="9.54296875" bestFit="1" customWidth="1"/>
    <col min="325" max="325" width="12.6328125" bestFit="1" customWidth="1"/>
    <col min="326" max="326" width="9.54296875" bestFit="1" customWidth="1"/>
    <col min="327" max="327" width="12.6328125" bestFit="1" customWidth="1"/>
    <col min="328" max="328" width="9.54296875" bestFit="1" customWidth="1"/>
    <col min="329" max="329" width="12.6328125" bestFit="1" customWidth="1"/>
    <col min="330" max="331" width="9.54296875" bestFit="1" customWidth="1"/>
    <col min="332" max="332" width="12.6328125" bestFit="1" customWidth="1"/>
    <col min="333" max="333" width="9.54296875" bestFit="1" customWidth="1"/>
    <col min="334" max="334" width="12.6328125" bestFit="1" customWidth="1"/>
    <col min="335" max="335" width="9.54296875" bestFit="1" customWidth="1"/>
    <col min="336" max="336" width="12.6328125" bestFit="1" customWidth="1"/>
    <col min="337" max="337" width="9.54296875" bestFit="1" customWidth="1"/>
    <col min="338" max="338" width="12.6328125" bestFit="1" customWidth="1"/>
    <col min="339" max="339" width="9.54296875" bestFit="1" customWidth="1"/>
    <col min="340" max="340" width="12.6328125" bestFit="1" customWidth="1"/>
    <col min="341" max="341" width="9.54296875" bestFit="1" customWidth="1"/>
    <col min="342" max="342" width="12.6328125" bestFit="1" customWidth="1"/>
    <col min="343" max="344" width="9.54296875" bestFit="1" customWidth="1"/>
    <col min="345" max="345" width="12.6328125" bestFit="1" customWidth="1"/>
    <col min="346" max="346" width="9.54296875" bestFit="1" customWidth="1"/>
    <col min="347" max="347" width="12.6328125" bestFit="1" customWidth="1"/>
    <col min="348" max="348" width="9.54296875" bestFit="1" customWidth="1"/>
    <col min="349" max="349" width="12.6328125" bestFit="1" customWidth="1"/>
    <col min="350" max="351" width="9.54296875" bestFit="1" customWidth="1"/>
    <col min="352" max="352" width="12.6328125" bestFit="1" customWidth="1"/>
    <col min="353" max="353" width="9.54296875" bestFit="1" customWidth="1"/>
    <col min="354" max="354" width="12.6328125" bestFit="1" customWidth="1"/>
    <col min="355" max="355" width="11.54296875" bestFit="1" customWidth="1"/>
    <col min="356" max="356" width="14.7265625" bestFit="1" customWidth="1"/>
    <col min="357" max="357" width="11.54296875" bestFit="1" customWidth="1"/>
    <col min="358" max="358" width="14.7265625" bestFit="1" customWidth="1"/>
    <col min="359" max="359" width="11.54296875" bestFit="1" customWidth="1"/>
    <col min="360" max="360" width="14.7265625" bestFit="1" customWidth="1"/>
    <col min="361" max="361" width="11.54296875" bestFit="1" customWidth="1"/>
    <col min="362" max="362" width="14.7265625" bestFit="1" customWidth="1"/>
    <col min="363" max="363" width="11.54296875" bestFit="1" customWidth="1"/>
    <col min="364" max="364" width="14.7265625" bestFit="1" customWidth="1"/>
    <col min="365" max="365" width="11.54296875" bestFit="1" customWidth="1"/>
    <col min="366" max="366" width="14.7265625" bestFit="1" customWidth="1"/>
    <col min="367" max="367" width="11.54296875" bestFit="1" customWidth="1"/>
    <col min="368" max="368" width="14.7265625" bestFit="1" customWidth="1"/>
    <col min="369" max="369" width="11.54296875" bestFit="1" customWidth="1"/>
    <col min="370" max="370" width="14.7265625" bestFit="1" customWidth="1"/>
    <col min="371" max="371" width="11.54296875" bestFit="1" customWidth="1"/>
    <col min="372" max="372" width="14.7265625" bestFit="1" customWidth="1"/>
    <col min="373" max="375" width="11.54296875" bestFit="1" customWidth="1"/>
    <col min="376" max="376" width="14.7265625" bestFit="1" customWidth="1"/>
    <col min="377" max="377" width="11.54296875" bestFit="1" customWidth="1"/>
    <col min="378" max="378" width="14.7265625" bestFit="1" customWidth="1"/>
    <col min="379" max="379" width="11.54296875" bestFit="1" customWidth="1"/>
    <col min="380" max="380" width="14.7265625" bestFit="1" customWidth="1"/>
    <col min="381" max="381" width="11.54296875" bestFit="1" customWidth="1"/>
    <col min="382" max="382" width="14.7265625" bestFit="1" customWidth="1"/>
    <col min="383" max="383" width="11.54296875" bestFit="1" customWidth="1"/>
    <col min="384" max="384" width="14.7265625" bestFit="1" customWidth="1"/>
    <col min="385" max="386" width="11.36328125" bestFit="1" customWidth="1"/>
    <col min="387" max="387" width="14.54296875" bestFit="1" customWidth="1"/>
    <col min="388" max="389" width="11.36328125" bestFit="1" customWidth="1"/>
    <col min="390" max="390" width="14.54296875" bestFit="1" customWidth="1"/>
    <col min="391" max="391" width="11.36328125" bestFit="1" customWidth="1"/>
    <col min="392" max="392" width="14.54296875" bestFit="1" customWidth="1"/>
    <col min="393" max="393" width="11.36328125" bestFit="1" customWidth="1"/>
    <col min="394" max="394" width="14.54296875" bestFit="1" customWidth="1"/>
    <col min="395" max="395" width="11.36328125" bestFit="1" customWidth="1"/>
    <col min="396" max="396" width="14.54296875" bestFit="1" customWidth="1"/>
    <col min="397" max="397" width="11.36328125" bestFit="1" customWidth="1"/>
    <col min="398" max="398" width="14.54296875" bestFit="1" customWidth="1"/>
    <col min="399" max="399" width="11.36328125" bestFit="1" customWidth="1"/>
    <col min="400" max="400" width="14.54296875" bestFit="1" customWidth="1"/>
    <col min="401" max="402" width="11.36328125" bestFit="1" customWidth="1"/>
    <col min="403" max="403" width="14.54296875" bestFit="1" customWidth="1"/>
    <col min="404" max="404" width="11.36328125" bestFit="1" customWidth="1"/>
    <col min="405" max="405" width="14.54296875" bestFit="1" customWidth="1"/>
    <col min="406" max="406" width="11.36328125" bestFit="1" customWidth="1"/>
    <col min="407" max="407" width="14.54296875" bestFit="1" customWidth="1"/>
    <col min="408" max="409" width="11.36328125" bestFit="1" customWidth="1"/>
    <col min="410" max="410" width="14.54296875" bestFit="1" customWidth="1"/>
    <col min="411" max="411" width="11.36328125" bestFit="1" customWidth="1"/>
    <col min="412" max="412" width="14.54296875" bestFit="1" customWidth="1"/>
    <col min="413" max="413" width="11.36328125" bestFit="1" customWidth="1"/>
    <col min="414" max="414" width="14.54296875" bestFit="1" customWidth="1"/>
    <col min="415" max="415" width="11.36328125" bestFit="1" customWidth="1"/>
    <col min="416" max="416" width="14.54296875" bestFit="1" customWidth="1"/>
    <col min="417" max="417" width="11.36328125" bestFit="1" customWidth="1"/>
    <col min="418" max="418" width="14.54296875" bestFit="1" customWidth="1"/>
    <col min="419" max="420" width="11.36328125" bestFit="1" customWidth="1"/>
    <col min="421" max="421" width="14.54296875" bestFit="1" customWidth="1"/>
    <col min="422" max="423" width="11.36328125" bestFit="1" customWidth="1"/>
    <col min="424" max="424" width="14.54296875" bestFit="1" customWidth="1"/>
    <col min="425" max="425" width="9.08984375" bestFit="1" customWidth="1"/>
    <col min="426" max="426" width="12.08984375" bestFit="1" customWidth="1"/>
    <col min="427" max="428" width="9.08984375" bestFit="1" customWidth="1"/>
    <col min="429" max="429" width="12.08984375" bestFit="1" customWidth="1"/>
    <col min="430" max="430" width="9.08984375" bestFit="1" customWidth="1"/>
    <col min="431" max="431" width="12.08984375" bestFit="1" customWidth="1"/>
    <col min="432" max="433" width="9.08984375" bestFit="1" customWidth="1"/>
    <col min="434" max="434" width="12.08984375" bestFit="1" customWidth="1"/>
    <col min="435" max="435" width="9.08984375" bestFit="1" customWidth="1"/>
    <col min="436" max="436" width="12.08984375" bestFit="1" customWidth="1"/>
    <col min="437" max="437" width="9.08984375" bestFit="1" customWidth="1"/>
    <col min="438" max="438" width="12.08984375" bestFit="1" customWidth="1"/>
    <col min="439" max="439" width="9.08984375" bestFit="1" customWidth="1"/>
    <col min="440" max="440" width="12.08984375" bestFit="1" customWidth="1"/>
    <col min="441" max="441" width="9.08984375" bestFit="1" customWidth="1"/>
    <col min="442" max="442" width="12.08984375" bestFit="1" customWidth="1"/>
    <col min="443" max="443" width="9.08984375" bestFit="1" customWidth="1"/>
    <col min="444" max="444" width="12.08984375" bestFit="1" customWidth="1"/>
    <col min="445" max="445" width="9.08984375" bestFit="1" customWidth="1"/>
    <col min="446" max="446" width="12.08984375" bestFit="1" customWidth="1"/>
    <col min="447" max="447" width="9.08984375" bestFit="1" customWidth="1"/>
    <col min="448" max="448" width="12.08984375" bestFit="1" customWidth="1"/>
    <col min="449" max="449" width="9.08984375" bestFit="1" customWidth="1"/>
    <col min="450" max="450" width="12.08984375" bestFit="1" customWidth="1"/>
    <col min="451" max="452" width="9.08984375" bestFit="1" customWidth="1"/>
    <col min="453" max="453" width="12.08984375" bestFit="1" customWidth="1"/>
    <col min="454" max="454" width="9.08984375" bestFit="1" customWidth="1"/>
    <col min="455" max="455" width="12.08984375" bestFit="1" customWidth="1"/>
    <col min="456" max="456" width="9.08984375" bestFit="1" customWidth="1"/>
    <col min="457" max="457" width="12.08984375" bestFit="1" customWidth="1"/>
    <col min="458" max="458" width="10.1796875" bestFit="1" customWidth="1"/>
    <col min="459" max="459" width="13.26953125" bestFit="1" customWidth="1"/>
    <col min="460" max="460" width="10.1796875" bestFit="1" customWidth="1"/>
    <col min="461" max="461" width="13.26953125" bestFit="1" customWidth="1"/>
    <col min="462" max="463" width="10.1796875" bestFit="1" customWidth="1"/>
    <col min="464" max="464" width="13.26953125" bestFit="1" customWidth="1"/>
    <col min="465" max="465" width="10.1796875" bestFit="1" customWidth="1"/>
    <col min="466" max="466" width="13.26953125" bestFit="1" customWidth="1"/>
    <col min="467" max="468" width="10.1796875" bestFit="1" customWidth="1"/>
    <col min="469" max="469" width="13.26953125" bestFit="1" customWidth="1"/>
    <col min="470" max="470" width="10.1796875" bestFit="1" customWidth="1"/>
    <col min="471" max="471" width="13.26953125" bestFit="1" customWidth="1"/>
    <col min="472" max="472" width="10.1796875" bestFit="1" customWidth="1"/>
    <col min="473" max="473" width="13.26953125" bestFit="1" customWidth="1"/>
    <col min="474" max="475" width="10.1796875" bestFit="1" customWidth="1"/>
    <col min="476" max="476" width="13.26953125" bestFit="1" customWidth="1"/>
    <col min="477" max="477" width="10.1796875" bestFit="1" customWidth="1"/>
    <col min="478" max="478" width="13.26953125" bestFit="1" customWidth="1"/>
    <col min="479" max="479" width="10.1796875" bestFit="1" customWidth="1"/>
    <col min="480" max="480" width="13.26953125" bestFit="1" customWidth="1"/>
    <col min="481" max="481" width="10.1796875" bestFit="1" customWidth="1"/>
    <col min="482" max="482" width="13.26953125" bestFit="1" customWidth="1"/>
    <col min="483" max="484" width="10.1796875" bestFit="1" customWidth="1"/>
    <col min="485" max="485" width="13.26953125" bestFit="1" customWidth="1"/>
    <col min="486" max="487" width="10.1796875" bestFit="1" customWidth="1"/>
    <col min="488" max="488" width="13.26953125" bestFit="1" customWidth="1"/>
    <col min="489" max="489" width="10.1796875" bestFit="1" customWidth="1"/>
    <col min="490" max="490" width="13.26953125" bestFit="1" customWidth="1"/>
    <col min="491" max="492" width="10.1796875" bestFit="1" customWidth="1"/>
    <col min="493" max="493" width="13.26953125" bestFit="1" customWidth="1"/>
    <col min="494" max="494" width="10.1796875" bestFit="1" customWidth="1"/>
    <col min="495" max="495" width="13.26953125" bestFit="1" customWidth="1"/>
    <col min="496" max="496" width="10.1796875" bestFit="1" customWidth="1"/>
    <col min="497" max="497" width="13.26953125" bestFit="1" customWidth="1"/>
    <col min="498" max="498" width="10.1796875" bestFit="1" customWidth="1"/>
    <col min="499" max="499" width="13.26953125" bestFit="1" customWidth="1"/>
    <col min="500" max="500" width="10.1796875" bestFit="1" customWidth="1"/>
    <col min="501" max="501" width="13.26953125" bestFit="1" customWidth="1"/>
    <col min="502" max="504" width="10.1796875" bestFit="1" customWidth="1"/>
    <col min="505" max="505" width="13.26953125" bestFit="1" customWidth="1"/>
    <col min="506" max="507" width="10.1796875" bestFit="1" customWidth="1"/>
    <col min="508" max="508" width="13.26953125" bestFit="1" customWidth="1"/>
    <col min="509" max="509" width="8" bestFit="1" customWidth="1"/>
    <col min="510" max="510" width="11.08984375" bestFit="1" customWidth="1"/>
    <col min="511" max="511" width="8" bestFit="1" customWidth="1"/>
    <col min="512" max="512" width="11.08984375" bestFit="1" customWidth="1"/>
    <col min="513" max="513" width="8" bestFit="1" customWidth="1"/>
    <col min="514" max="514" width="11.08984375" bestFit="1" customWidth="1"/>
    <col min="515" max="516" width="8" bestFit="1" customWidth="1"/>
    <col min="517" max="517" width="11.08984375" bestFit="1" customWidth="1"/>
    <col min="518" max="519" width="8" bestFit="1" customWidth="1"/>
    <col min="520" max="520" width="11.08984375" bestFit="1" customWidth="1"/>
    <col min="521" max="521" width="8" bestFit="1" customWidth="1"/>
    <col min="522" max="522" width="11.08984375" bestFit="1" customWidth="1"/>
    <col min="523" max="523" width="8" bestFit="1" customWidth="1"/>
    <col min="524" max="524" width="11.08984375" bestFit="1" customWidth="1"/>
    <col min="525" max="525" width="8" bestFit="1" customWidth="1"/>
    <col min="526" max="526" width="11.08984375" bestFit="1" customWidth="1"/>
    <col min="527" max="527" width="8" bestFit="1" customWidth="1"/>
    <col min="528" max="528" width="11.08984375" bestFit="1" customWidth="1"/>
    <col min="529" max="529" width="8" bestFit="1" customWidth="1"/>
    <col min="530" max="530" width="11.08984375" bestFit="1" customWidth="1"/>
    <col min="531" max="532" width="8" bestFit="1" customWidth="1"/>
    <col min="533" max="533" width="11.08984375" bestFit="1" customWidth="1"/>
    <col min="534" max="534" width="8" bestFit="1" customWidth="1"/>
    <col min="535" max="535" width="11.08984375" bestFit="1" customWidth="1"/>
    <col min="536" max="537" width="8" bestFit="1" customWidth="1"/>
    <col min="538" max="538" width="11.08984375" bestFit="1" customWidth="1"/>
    <col min="539" max="539" width="8" bestFit="1" customWidth="1"/>
    <col min="540" max="540" width="11.08984375" bestFit="1" customWidth="1"/>
    <col min="541" max="541" width="8" bestFit="1" customWidth="1"/>
    <col min="542" max="542" width="11.08984375" bestFit="1" customWidth="1"/>
    <col min="543" max="543" width="8" bestFit="1" customWidth="1"/>
    <col min="544" max="544" width="11.08984375" bestFit="1" customWidth="1"/>
    <col min="545" max="545" width="8" bestFit="1" customWidth="1"/>
    <col min="546" max="546" width="11.08984375" bestFit="1" customWidth="1"/>
    <col min="547" max="547" width="8" bestFit="1" customWidth="1"/>
    <col min="548" max="548" width="11.08984375" bestFit="1" customWidth="1"/>
    <col min="549" max="549" width="8" bestFit="1" customWidth="1"/>
    <col min="550" max="550" width="11.08984375" bestFit="1" customWidth="1"/>
    <col min="551" max="551" width="7.1796875" bestFit="1" customWidth="1"/>
    <col min="552" max="552" width="9.81640625" bestFit="1" customWidth="1"/>
    <col min="553" max="554" width="7.54296875" bestFit="1" customWidth="1"/>
    <col min="555" max="555" width="9.81640625" bestFit="1" customWidth="1"/>
    <col min="556" max="556" width="7.1796875" bestFit="1" customWidth="1"/>
    <col min="557" max="557" width="9.81640625" bestFit="1" customWidth="1"/>
    <col min="558" max="558" width="7.90625" bestFit="1" customWidth="1"/>
    <col min="559" max="559" width="9.81640625" bestFit="1" customWidth="1"/>
    <col min="560" max="560" width="7.54296875" bestFit="1" customWidth="1"/>
    <col min="561" max="561" width="9.81640625" bestFit="1" customWidth="1"/>
    <col min="562" max="563" width="7.90625" bestFit="1" customWidth="1"/>
    <col min="564" max="564" width="9.81640625" bestFit="1" customWidth="1"/>
    <col min="565" max="565" width="7.90625" bestFit="1" customWidth="1"/>
    <col min="566" max="566" width="9.81640625" bestFit="1" customWidth="1"/>
    <col min="567" max="567" width="7.90625" bestFit="1" customWidth="1"/>
    <col min="568" max="568" width="9.81640625" bestFit="1" customWidth="1"/>
    <col min="569" max="570" width="7.90625" bestFit="1" customWidth="1"/>
    <col min="571" max="571" width="9.81640625" bestFit="1" customWidth="1"/>
    <col min="572" max="573" width="7.54296875" bestFit="1" customWidth="1"/>
    <col min="574" max="574" width="9.81640625" bestFit="1" customWidth="1"/>
    <col min="575" max="576" width="7.90625" bestFit="1" customWidth="1"/>
    <col min="577" max="577" width="9.36328125" bestFit="1" customWidth="1"/>
    <col min="578" max="579" width="7.54296875" bestFit="1" customWidth="1"/>
    <col min="580" max="580" width="9.36328125" bestFit="1" customWidth="1"/>
    <col min="581" max="582" width="7.36328125" bestFit="1" customWidth="1"/>
    <col min="583" max="583" width="9.36328125" bestFit="1" customWidth="1"/>
    <col min="584" max="585" width="7.90625" bestFit="1" customWidth="1"/>
    <col min="586" max="586" width="9.36328125" bestFit="1" customWidth="1"/>
    <col min="587" max="587" width="7.54296875" bestFit="1" customWidth="1"/>
    <col min="588" max="588" width="9.36328125" bestFit="1" customWidth="1"/>
    <col min="589" max="589" width="7.1796875" bestFit="1" customWidth="1"/>
    <col min="590" max="590" width="9.36328125" bestFit="1" customWidth="1"/>
    <col min="591" max="591" width="7.36328125" bestFit="1" customWidth="1"/>
    <col min="592" max="592" width="9.36328125" bestFit="1" customWidth="1"/>
    <col min="593" max="593" width="7.36328125" bestFit="1" customWidth="1"/>
    <col min="594" max="594" width="9.36328125" bestFit="1" customWidth="1"/>
    <col min="595" max="595" width="7.90625" bestFit="1" customWidth="1"/>
    <col min="596" max="596" width="9.36328125" bestFit="1" customWidth="1"/>
    <col min="597" max="597" width="7.36328125" bestFit="1" customWidth="1"/>
    <col min="598" max="598" width="9.36328125" bestFit="1" customWidth="1"/>
    <col min="599" max="600" width="7.36328125" bestFit="1" customWidth="1"/>
    <col min="601" max="601" width="9.36328125" bestFit="1" customWidth="1"/>
    <col min="602" max="602" width="7.1796875" bestFit="1" customWidth="1"/>
    <col min="603" max="603" width="9.54296875" bestFit="1" customWidth="1"/>
    <col min="604" max="605" width="7.54296875" bestFit="1" customWidth="1"/>
    <col min="606" max="606" width="9.54296875" bestFit="1" customWidth="1"/>
    <col min="607" max="607" width="7.36328125" bestFit="1" customWidth="1"/>
    <col min="608" max="608" width="9.54296875" bestFit="1" customWidth="1"/>
    <col min="609" max="610" width="7.90625" bestFit="1" customWidth="1"/>
    <col min="611" max="611" width="9.54296875" bestFit="1" customWidth="1"/>
    <col min="612" max="612" width="7.1796875" bestFit="1" customWidth="1"/>
    <col min="613" max="613" width="9.54296875" bestFit="1" customWidth="1"/>
    <col min="614" max="614" width="7.90625" bestFit="1" customWidth="1"/>
    <col min="615" max="615" width="9.54296875" bestFit="1" customWidth="1"/>
    <col min="616" max="616" width="7.36328125" bestFit="1" customWidth="1"/>
    <col min="617" max="617" width="9.54296875" bestFit="1" customWidth="1"/>
    <col min="618" max="618" width="7.1796875" bestFit="1" customWidth="1"/>
    <col min="619" max="619" width="9.54296875" bestFit="1" customWidth="1"/>
    <col min="620" max="620" width="7.1796875" bestFit="1" customWidth="1"/>
    <col min="621" max="621" width="9.54296875" bestFit="1" customWidth="1"/>
    <col min="622" max="622" width="7.90625" bestFit="1" customWidth="1"/>
    <col min="623" max="623" width="9.54296875" bestFit="1" customWidth="1"/>
    <col min="624" max="625" width="7.54296875" bestFit="1" customWidth="1"/>
    <col min="626" max="626" width="9.54296875" bestFit="1" customWidth="1"/>
    <col min="627" max="627" width="7.54296875" bestFit="1" customWidth="1"/>
    <col min="628" max="628" width="9.54296875" bestFit="1" customWidth="1"/>
    <col min="629" max="630" width="7.54296875" bestFit="1" customWidth="1"/>
    <col min="631" max="631" width="9.54296875" bestFit="1" customWidth="1"/>
    <col min="632" max="633" width="7.54296875" bestFit="1" customWidth="1"/>
    <col min="634" max="634" width="9.54296875" bestFit="1" customWidth="1"/>
    <col min="635" max="635" width="7.36328125" bestFit="1" customWidth="1"/>
    <col min="636" max="636" width="9.54296875" bestFit="1" customWidth="1"/>
    <col min="637" max="638" width="7.36328125" bestFit="1" customWidth="1"/>
    <col min="639" max="639" width="8.81640625" bestFit="1" customWidth="1"/>
    <col min="640" max="640" width="7.54296875" bestFit="1" customWidth="1"/>
    <col min="641" max="641" width="8.81640625" bestFit="1" customWidth="1"/>
    <col min="642" max="642" width="7.90625" bestFit="1" customWidth="1"/>
    <col min="643" max="643" width="8.81640625" bestFit="1" customWidth="1"/>
    <col min="644" max="644" width="7.90625" bestFit="1" customWidth="1"/>
    <col min="645" max="645" width="8.81640625" bestFit="1" customWidth="1"/>
    <col min="646" max="646" width="7.36328125" bestFit="1" customWidth="1"/>
    <col min="647" max="647" width="8.81640625" bestFit="1" customWidth="1"/>
    <col min="648" max="648" width="7.1796875" bestFit="1" customWidth="1"/>
    <col min="649" max="649" width="8.81640625" bestFit="1" customWidth="1"/>
    <col min="650" max="651" width="7.54296875" bestFit="1" customWidth="1"/>
    <col min="652" max="652" width="8.81640625" bestFit="1" customWidth="1"/>
    <col min="653" max="653" width="7.90625" bestFit="1" customWidth="1"/>
    <col min="654" max="654" width="8.81640625" bestFit="1" customWidth="1"/>
    <col min="655" max="656" width="7.90625" bestFit="1" customWidth="1"/>
    <col min="657" max="657" width="8.81640625" bestFit="1" customWidth="1"/>
    <col min="658" max="658" width="7.1796875" bestFit="1" customWidth="1"/>
    <col min="659" max="659" width="8.81640625" bestFit="1" customWidth="1"/>
    <col min="660" max="660" width="7.36328125" bestFit="1" customWidth="1"/>
    <col min="661" max="661" width="8.81640625" bestFit="1" customWidth="1"/>
    <col min="662" max="662" width="7.54296875" bestFit="1" customWidth="1"/>
    <col min="663" max="663" width="8.81640625" bestFit="1" customWidth="1"/>
    <col min="664" max="665" width="7.90625" bestFit="1" customWidth="1"/>
    <col min="666" max="666" width="8.81640625" bestFit="1" customWidth="1"/>
    <col min="667" max="667" width="7.90625" bestFit="1" customWidth="1"/>
    <col min="668" max="668" width="8.81640625" bestFit="1" customWidth="1"/>
    <col min="669" max="669" width="7.1796875" bestFit="1" customWidth="1"/>
    <col min="670" max="670" width="8.81640625" bestFit="1" customWidth="1"/>
    <col min="671" max="671" width="7.90625" bestFit="1" customWidth="1"/>
    <col min="672" max="672" width="8.81640625" bestFit="1" customWidth="1"/>
    <col min="673" max="673" width="7.36328125" bestFit="1" customWidth="1"/>
    <col min="674" max="674" width="8.81640625" bestFit="1" customWidth="1"/>
    <col min="675" max="675" width="7.36328125" bestFit="1" customWidth="1"/>
    <col min="676" max="676" width="8.81640625" bestFit="1" customWidth="1"/>
    <col min="677" max="678" width="7.54296875" bestFit="1" customWidth="1"/>
    <col min="679" max="679" width="8.81640625" bestFit="1" customWidth="1"/>
    <col min="680" max="680" width="8.54296875" bestFit="1" customWidth="1"/>
    <col min="681" max="681" width="11.6328125" bestFit="1" customWidth="1"/>
    <col min="682" max="682" width="8.54296875" bestFit="1" customWidth="1"/>
    <col min="683" max="683" width="11.6328125" bestFit="1" customWidth="1"/>
    <col min="684" max="684" width="8.54296875" bestFit="1" customWidth="1"/>
    <col min="685" max="685" width="11.6328125" bestFit="1" customWidth="1"/>
    <col min="686" max="687" width="8.54296875" bestFit="1" customWidth="1"/>
    <col min="688" max="688" width="11.6328125" bestFit="1" customWidth="1"/>
    <col min="689" max="690" width="8.54296875" bestFit="1" customWidth="1"/>
    <col min="691" max="691" width="11.6328125" bestFit="1" customWidth="1"/>
    <col min="692" max="692" width="8.54296875" bestFit="1" customWidth="1"/>
    <col min="693" max="693" width="11.6328125" bestFit="1" customWidth="1"/>
    <col min="694" max="694" width="8.54296875" bestFit="1" customWidth="1"/>
    <col min="695" max="695" width="11.6328125" bestFit="1" customWidth="1"/>
    <col min="696" max="696" width="8.54296875" bestFit="1" customWidth="1"/>
    <col min="697" max="697" width="11.6328125" bestFit="1" customWidth="1"/>
    <col min="698" max="698" width="12" bestFit="1" customWidth="1"/>
    <col min="699" max="699" width="15.1796875" bestFit="1" customWidth="1"/>
    <col min="700" max="700" width="12" bestFit="1" customWidth="1"/>
    <col min="701" max="701" width="15.1796875" bestFit="1" customWidth="1"/>
    <col min="702" max="702" width="12" bestFit="1" customWidth="1"/>
    <col min="703" max="703" width="15.1796875" bestFit="1" customWidth="1"/>
    <col min="704" max="706" width="12" bestFit="1" customWidth="1"/>
    <col min="707" max="707" width="15.1796875" bestFit="1" customWidth="1"/>
    <col min="708" max="709" width="12" bestFit="1" customWidth="1"/>
    <col min="710" max="710" width="15.1796875" bestFit="1" customWidth="1"/>
    <col min="711" max="712" width="12" bestFit="1" customWidth="1"/>
    <col min="713" max="713" width="15.1796875" bestFit="1" customWidth="1"/>
    <col min="714" max="714" width="12" bestFit="1" customWidth="1"/>
    <col min="715" max="715" width="15.1796875" bestFit="1" customWidth="1"/>
    <col min="716" max="717" width="12" bestFit="1" customWidth="1"/>
    <col min="718" max="718" width="15.1796875" bestFit="1" customWidth="1"/>
    <col min="719" max="720" width="12" bestFit="1" customWidth="1"/>
    <col min="721" max="721" width="15.1796875" bestFit="1" customWidth="1"/>
    <col min="722" max="722" width="12" bestFit="1" customWidth="1"/>
    <col min="723" max="723" width="15.1796875" bestFit="1" customWidth="1"/>
    <col min="724" max="724" width="12" bestFit="1" customWidth="1"/>
    <col min="725" max="725" width="15.1796875" bestFit="1" customWidth="1"/>
    <col min="726" max="726" width="12" bestFit="1" customWidth="1"/>
    <col min="727" max="727" width="15.1796875" bestFit="1" customWidth="1"/>
    <col min="728" max="728" width="12" bestFit="1" customWidth="1"/>
    <col min="729" max="729" width="15.1796875" bestFit="1" customWidth="1"/>
    <col min="730" max="730" width="9.54296875" bestFit="1" customWidth="1"/>
    <col min="731" max="731" width="12.6328125" bestFit="1" customWidth="1"/>
    <col min="732" max="732" width="9.54296875" bestFit="1" customWidth="1"/>
    <col min="733" max="733" width="12.6328125" bestFit="1" customWidth="1"/>
    <col min="734" max="735" width="9.54296875" bestFit="1" customWidth="1"/>
    <col min="736" max="736" width="12.6328125" bestFit="1" customWidth="1"/>
    <col min="737" max="737" width="9.54296875" bestFit="1" customWidth="1"/>
    <col min="738" max="738" width="12.6328125" bestFit="1" customWidth="1"/>
    <col min="739" max="741" width="9.54296875" bestFit="1" customWidth="1"/>
    <col min="742" max="742" width="12.6328125" bestFit="1" customWidth="1"/>
    <col min="743" max="743" width="9.54296875" bestFit="1" customWidth="1"/>
    <col min="744" max="744" width="12.6328125" bestFit="1" customWidth="1"/>
    <col min="745" max="745" width="9.54296875" bestFit="1" customWidth="1"/>
    <col min="746" max="746" width="12.6328125" bestFit="1" customWidth="1"/>
    <col min="747" max="747" width="9.54296875" bestFit="1" customWidth="1"/>
    <col min="748" max="748" width="12.6328125" bestFit="1" customWidth="1"/>
    <col min="749" max="749" width="9.54296875" bestFit="1" customWidth="1"/>
    <col min="750" max="750" width="12.6328125" bestFit="1" customWidth="1"/>
    <col min="751" max="753" width="9.54296875" bestFit="1" customWidth="1"/>
    <col min="754" max="754" width="12.6328125" bestFit="1" customWidth="1"/>
    <col min="755" max="755" width="9.54296875" bestFit="1" customWidth="1"/>
    <col min="756" max="756" width="12.6328125" bestFit="1" customWidth="1"/>
    <col min="757" max="757" width="9.54296875" bestFit="1" customWidth="1"/>
    <col min="758" max="758" width="12.6328125" bestFit="1" customWidth="1"/>
    <col min="759" max="759" width="9.54296875" bestFit="1" customWidth="1"/>
    <col min="760" max="760" width="12.6328125" bestFit="1" customWidth="1"/>
    <col min="761" max="761" width="9.54296875" bestFit="1" customWidth="1"/>
    <col min="762" max="762" width="12.6328125" bestFit="1" customWidth="1"/>
    <col min="763" max="763" width="9.54296875" bestFit="1" customWidth="1"/>
    <col min="764" max="764" width="12.6328125" bestFit="1" customWidth="1"/>
    <col min="765" max="765" width="9.54296875" bestFit="1" customWidth="1"/>
    <col min="766" max="766" width="12.6328125" bestFit="1" customWidth="1"/>
    <col min="767" max="767" width="9.54296875" bestFit="1" customWidth="1"/>
    <col min="768" max="768" width="12.6328125" bestFit="1" customWidth="1"/>
    <col min="769" max="770" width="9.54296875" bestFit="1" customWidth="1"/>
    <col min="771" max="771" width="12.6328125" bestFit="1" customWidth="1"/>
    <col min="772" max="773" width="9.54296875" bestFit="1" customWidth="1"/>
    <col min="774" max="774" width="12.6328125" bestFit="1" customWidth="1"/>
    <col min="775" max="776" width="9.54296875" bestFit="1" customWidth="1"/>
    <col min="777" max="777" width="12.6328125" bestFit="1" customWidth="1"/>
    <col min="778" max="778" width="9.54296875" bestFit="1" customWidth="1"/>
    <col min="779" max="779" width="12.6328125" bestFit="1" customWidth="1"/>
    <col min="780" max="780" width="11.54296875" bestFit="1" customWidth="1"/>
    <col min="781" max="781" width="14.7265625" bestFit="1" customWidth="1"/>
    <col min="782" max="782" width="11.54296875" bestFit="1" customWidth="1"/>
    <col min="783" max="783" width="14.7265625" bestFit="1" customWidth="1"/>
    <col min="784" max="784" width="11.54296875" bestFit="1" customWidth="1"/>
    <col min="785" max="785" width="14.7265625" bestFit="1" customWidth="1"/>
    <col min="786" max="786" width="11.54296875" bestFit="1" customWidth="1"/>
    <col min="787" max="787" width="14.7265625" bestFit="1" customWidth="1"/>
    <col min="788" max="788" width="11.54296875" bestFit="1" customWidth="1"/>
    <col min="789" max="789" width="14.7265625" bestFit="1" customWidth="1"/>
    <col min="790" max="790" width="11.54296875" bestFit="1" customWidth="1"/>
    <col min="791" max="791" width="14.7265625" bestFit="1" customWidth="1"/>
    <col min="792" max="792" width="11.54296875" bestFit="1" customWidth="1"/>
    <col min="793" max="793" width="14.7265625" bestFit="1" customWidth="1"/>
    <col min="794" max="794" width="11.54296875" bestFit="1" customWidth="1"/>
    <col min="795" max="795" width="14.7265625" bestFit="1" customWidth="1"/>
    <col min="796" max="796" width="11.54296875" bestFit="1" customWidth="1"/>
    <col min="797" max="797" width="14.7265625" bestFit="1" customWidth="1"/>
    <col min="798" max="798" width="11.54296875" bestFit="1" customWidth="1"/>
    <col min="799" max="799" width="14.7265625" bestFit="1" customWidth="1"/>
    <col min="800" max="800" width="11.54296875" bestFit="1" customWidth="1"/>
    <col min="801" max="801" width="14.7265625" bestFit="1" customWidth="1"/>
    <col min="802" max="802" width="11.54296875" bestFit="1" customWidth="1"/>
    <col min="803" max="803" width="14.7265625" bestFit="1" customWidth="1"/>
    <col min="804" max="805" width="11.54296875" bestFit="1" customWidth="1"/>
    <col min="806" max="806" width="14.7265625" bestFit="1" customWidth="1"/>
    <col min="807" max="807" width="11.54296875" bestFit="1" customWidth="1"/>
    <col min="808" max="808" width="14.7265625" bestFit="1" customWidth="1"/>
    <col min="809" max="809" width="11.54296875" bestFit="1" customWidth="1"/>
    <col min="810" max="810" width="14.7265625" bestFit="1" customWidth="1"/>
    <col min="811" max="811" width="11.54296875" bestFit="1" customWidth="1"/>
    <col min="812" max="812" width="14.7265625" bestFit="1" customWidth="1"/>
    <col min="813" max="813" width="11.36328125" bestFit="1" customWidth="1"/>
    <col min="814" max="814" width="14.54296875" bestFit="1" customWidth="1"/>
    <col min="815" max="815" width="11.36328125" bestFit="1" customWidth="1"/>
    <col min="816" max="816" width="14.54296875" bestFit="1" customWidth="1"/>
    <col min="817" max="818" width="11.36328125" bestFit="1" customWidth="1"/>
    <col min="819" max="819" width="14.54296875" bestFit="1" customWidth="1"/>
    <col min="820" max="820" width="11.36328125" bestFit="1" customWidth="1"/>
    <col min="821" max="821" width="14.54296875" bestFit="1" customWidth="1"/>
    <col min="822" max="822" width="11.36328125" bestFit="1" customWidth="1"/>
    <col min="823" max="823" width="14.54296875" bestFit="1" customWidth="1"/>
    <col min="824" max="824" width="11.36328125" bestFit="1" customWidth="1"/>
    <col min="825" max="825" width="14.54296875" bestFit="1" customWidth="1"/>
    <col min="826" max="826" width="11.36328125" bestFit="1" customWidth="1"/>
    <col min="827" max="827" width="14.54296875" bestFit="1" customWidth="1"/>
    <col min="828" max="828" width="11.36328125" bestFit="1" customWidth="1"/>
    <col min="829" max="829" width="14.54296875" bestFit="1" customWidth="1"/>
    <col min="830" max="830" width="11.36328125" bestFit="1" customWidth="1"/>
    <col min="831" max="831" width="14.54296875" bestFit="1" customWidth="1"/>
    <col min="832" max="833" width="11.36328125" bestFit="1" customWidth="1"/>
    <col min="834" max="834" width="14.54296875" bestFit="1" customWidth="1"/>
    <col min="835" max="836" width="11.36328125" bestFit="1" customWidth="1"/>
    <col min="837" max="837" width="14.54296875" bestFit="1" customWidth="1"/>
    <col min="838" max="839" width="11.36328125" bestFit="1" customWidth="1"/>
    <col min="840" max="840" width="14.54296875" bestFit="1" customWidth="1"/>
    <col min="841" max="841" width="11.36328125" bestFit="1" customWidth="1"/>
    <col min="842" max="842" width="14.54296875" bestFit="1" customWidth="1"/>
    <col min="843" max="843" width="11.36328125" bestFit="1" customWidth="1"/>
    <col min="844" max="844" width="14.54296875" bestFit="1" customWidth="1"/>
    <col min="845" max="845" width="11.36328125" bestFit="1" customWidth="1"/>
    <col min="846" max="846" width="14.54296875" bestFit="1" customWidth="1"/>
    <col min="847" max="847" width="11.36328125" bestFit="1" customWidth="1"/>
    <col min="848" max="848" width="14.54296875" bestFit="1" customWidth="1"/>
    <col min="849" max="849" width="11.36328125" bestFit="1" customWidth="1"/>
    <col min="850" max="850" width="14.54296875" bestFit="1" customWidth="1"/>
    <col min="851" max="852" width="9.08984375" bestFit="1" customWidth="1"/>
    <col min="853" max="853" width="12.08984375" bestFit="1" customWidth="1"/>
    <col min="854" max="855" width="9.08984375" bestFit="1" customWidth="1"/>
    <col min="856" max="856" width="12.08984375" bestFit="1" customWidth="1"/>
    <col min="857" max="857" width="9.08984375" bestFit="1" customWidth="1"/>
    <col min="858" max="858" width="12.08984375" bestFit="1" customWidth="1"/>
    <col min="859" max="860" width="9.08984375" bestFit="1" customWidth="1"/>
    <col min="861" max="861" width="12.08984375" bestFit="1" customWidth="1"/>
    <col min="862" max="863" width="9.08984375" bestFit="1" customWidth="1"/>
    <col min="864" max="864" width="12.08984375" bestFit="1" customWidth="1"/>
    <col min="865" max="866" width="9.08984375" bestFit="1" customWidth="1"/>
    <col min="867" max="867" width="12.08984375" bestFit="1" customWidth="1"/>
    <col min="868" max="868" width="9.08984375" bestFit="1" customWidth="1"/>
    <col min="869" max="869" width="12.08984375" bestFit="1" customWidth="1"/>
    <col min="870" max="870" width="9.08984375" bestFit="1" customWidth="1"/>
    <col min="871" max="871" width="12.08984375" bestFit="1" customWidth="1"/>
    <col min="872" max="872" width="9.08984375" bestFit="1" customWidth="1"/>
    <col min="873" max="873" width="12.08984375" bestFit="1" customWidth="1"/>
    <col min="874" max="874" width="9.08984375" bestFit="1" customWidth="1"/>
    <col min="875" max="875" width="12.08984375" bestFit="1" customWidth="1"/>
    <col min="876" max="877" width="9.08984375" bestFit="1" customWidth="1"/>
    <col min="878" max="878" width="12.08984375" bestFit="1" customWidth="1"/>
    <col min="879" max="879" width="9.08984375" bestFit="1" customWidth="1"/>
    <col min="880" max="880" width="12.08984375" bestFit="1" customWidth="1"/>
    <col min="881" max="881" width="9.08984375" bestFit="1" customWidth="1"/>
    <col min="882" max="882" width="12.08984375" bestFit="1" customWidth="1"/>
    <col min="883" max="883" width="9.08984375" bestFit="1" customWidth="1"/>
    <col min="884" max="884" width="12.08984375" bestFit="1" customWidth="1"/>
    <col min="885" max="886" width="9.08984375" bestFit="1" customWidth="1"/>
    <col min="887" max="887" width="12.08984375" bestFit="1" customWidth="1"/>
    <col min="888" max="888" width="9.08984375" bestFit="1" customWidth="1"/>
    <col min="889" max="889" width="12.08984375" bestFit="1" customWidth="1"/>
    <col min="890" max="890" width="9.08984375" bestFit="1" customWidth="1"/>
    <col min="891" max="891" width="12.08984375" bestFit="1" customWidth="1"/>
    <col min="892" max="892" width="10.1796875" bestFit="1" customWidth="1"/>
    <col min="893" max="893" width="13.26953125" bestFit="1" customWidth="1"/>
    <col min="894" max="894" width="10.1796875" bestFit="1" customWidth="1"/>
    <col min="895" max="895" width="13.26953125" bestFit="1" customWidth="1"/>
    <col min="896" max="897" width="10.1796875" bestFit="1" customWidth="1"/>
    <col min="898" max="898" width="13.26953125" bestFit="1" customWidth="1"/>
    <col min="899" max="899" width="10.1796875" bestFit="1" customWidth="1"/>
    <col min="900" max="900" width="13.26953125" bestFit="1" customWidth="1"/>
    <col min="901" max="902" width="10.1796875" bestFit="1" customWidth="1"/>
    <col min="903" max="903" width="13.26953125" bestFit="1" customWidth="1"/>
    <col min="904" max="904" width="10.1796875" bestFit="1" customWidth="1"/>
    <col min="905" max="905" width="13.26953125" bestFit="1" customWidth="1"/>
    <col min="906" max="906" width="10.1796875" bestFit="1" customWidth="1"/>
    <col min="907" max="907" width="13.26953125" bestFit="1" customWidth="1"/>
    <col min="908" max="908" width="10.1796875" bestFit="1" customWidth="1"/>
    <col min="909" max="909" width="13.26953125" bestFit="1" customWidth="1"/>
    <col min="910" max="910" width="10.1796875" bestFit="1" customWidth="1"/>
    <col min="911" max="911" width="13.26953125" bestFit="1" customWidth="1"/>
    <col min="912" max="912" width="10.1796875" bestFit="1" customWidth="1"/>
    <col min="913" max="913" width="13.26953125" bestFit="1" customWidth="1"/>
    <col min="914" max="914" width="10.1796875" bestFit="1" customWidth="1"/>
    <col min="915" max="915" width="13.26953125" bestFit="1" customWidth="1"/>
    <col min="916" max="916" width="10.1796875" bestFit="1" customWidth="1"/>
    <col min="917" max="917" width="13.26953125" bestFit="1" customWidth="1"/>
    <col min="918" max="918" width="10.1796875" bestFit="1" customWidth="1"/>
    <col min="919" max="919" width="13.26953125" bestFit="1" customWidth="1"/>
    <col min="920" max="921" width="10.1796875" bestFit="1" customWidth="1"/>
    <col min="922" max="922" width="13.26953125" bestFit="1" customWidth="1"/>
    <col min="923" max="923" width="10.1796875" bestFit="1" customWidth="1"/>
    <col min="924" max="924" width="13.26953125" bestFit="1" customWidth="1"/>
    <col min="925" max="925" width="10.1796875" bestFit="1" customWidth="1"/>
    <col min="926" max="926" width="13.26953125" bestFit="1" customWidth="1"/>
    <col min="927" max="927" width="10.1796875" bestFit="1" customWidth="1"/>
    <col min="928" max="928" width="13.26953125" bestFit="1" customWidth="1"/>
    <col min="929" max="930" width="10.1796875" bestFit="1" customWidth="1"/>
    <col min="931" max="931" width="13.26953125" bestFit="1" customWidth="1"/>
    <col min="932" max="932" width="10.1796875" bestFit="1" customWidth="1"/>
    <col min="933" max="933" width="13.26953125" bestFit="1" customWidth="1"/>
    <col min="934" max="934" width="8" bestFit="1" customWidth="1"/>
    <col min="935" max="935" width="11.08984375" bestFit="1" customWidth="1"/>
    <col min="936" max="937" width="8" bestFit="1" customWidth="1"/>
    <col min="938" max="938" width="11.08984375" bestFit="1" customWidth="1"/>
    <col min="939" max="939" width="8" bestFit="1" customWidth="1"/>
    <col min="940" max="940" width="11.08984375" bestFit="1" customWidth="1"/>
    <col min="941" max="941" width="8" bestFit="1" customWidth="1"/>
    <col min="942" max="942" width="11.08984375" bestFit="1" customWidth="1"/>
    <col min="943" max="944" width="8" bestFit="1" customWidth="1"/>
    <col min="945" max="945" width="11.08984375" bestFit="1" customWidth="1"/>
    <col min="946" max="946" width="8" bestFit="1" customWidth="1"/>
    <col min="947" max="947" width="11.08984375" bestFit="1" customWidth="1"/>
    <col min="948" max="949" width="8" bestFit="1" customWidth="1"/>
    <col min="950" max="950" width="11.08984375" bestFit="1" customWidth="1"/>
    <col min="951" max="952" width="8" bestFit="1" customWidth="1"/>
    <col min="953" max="953" width="11.08984375" bestFit="1" customWidth="1"/>
    <col min="954" max="954" width="8" bestFit="1" customWidth="1"/>
    <col min="955" max="955" width="11.08984375" bestFit="1" customWidth="1"/>
    <col min="956" max="957" width="8" bestFit="1" customWidth="1"/>
    <col min="958" max="958" width="11.08984375" bestFit="1" customWidth="1"/>
    <col min="959" max="960" width="8" bestFit="1" customWidth="1"/>
    <col min="961" max="961" width="11.08984375" bestFit="1" customWidth="1"/>
    <col min="962" max="963" width="8" bestFit="1" customWidth="1"/>
    <col min="964" max="964" width="11.08984375" bestFit="1" customWidth="1"/>
    <col min="965" max="965" width="8" bestFit="1" customWidth="1"/>
    <col min="966" max="966" width="11.08984375" bestFit="1" customWidth="1"/>
    <col min="967" max="967" width="8" bestFit="1" customWidth="1"/>
    <col min="968" max="968" width="11.08984375" bestFit="1" customWidth="1"/>
    <col min="969" max="969" width="8" bestFit="1" customWidth="1"/>
    <col min="970" max="970" width="11.08984375" bestFit="1" customWidth="1"/>
    <col min="971" max="971" width="8" bestFit="1" customWidth="1"/>
    <col min="972" max="972" width="11.08984375" bestFit="1" customWidth="1"/>
    <col min="973" max="973" width="8" bestFit="1" customWidth="1"/>
    <col min="974" max="974" width="11.08984375" bestFit="1" customWidth="1"/>
    <col min="975" max="975" width="8" bestFit="1" customWidth="1"/>
    <col min="976" max="976" width="11.08984375" bestFit="1" customWidth="1"/>
    <col min="977" max="977" width="8" bestFit="1" customWidth="1"/>
    <col min="978" max="978" width="11.08984375" bestFit="1" customWidth="1"/>
    <col min="979" max="979" width="8" bestFit="1" customWidth="1"/>
    <col min="980" max="980" width="11.08984375" bestFit="1" customWidth="1"/>
    <col min="981" max="981" width="8" bestFit="1" customWidth="1"/>
    <col min="982" max="982" width="11.08984375" bestFit="1" customWidth="1"/>
    <col min="983" max="983" width="8" bestFit="1" customWidth="1"/>
    <col min="984" max="984" width="11.08984375" bestFit="1" customWidth="1"/>
    <col min="985" max="986" width="7.90625" bestFit="1" customWidth="1"/>
    <col min="987" max="987" width="9.81640625" bestFit="1" customWidth="1"/>
    <col min="988" max="988" width="7.36328125" bestFit="1" customWidth="1"/>
    <col min="989" max="989" width="9.81640625" bestFit="1" customWidth="1"/>
    <col min="990" max="991" width="7.36328125" bestFit="1" customWidth="1"/>
    <col min="992" max="992" width="9.81640625" bestFit="1" customWidth="1"/>
    <col min="993" max="993" width="7.36328125" bestFit="1" customWidth="1"/>
    <col min="994" max="994" width="9.81640625" bestFit="1" customWidth="1"/>
    <col min="995" max="996" width="7.54296875" bestFit="1" customWidth="1"/>
    <col min="997" max="997" width="9.81640625" bestFit="1" customWidth="1"/>
    <col min="998" max="998" width="7.54296875" bestFit="1" customWidth="1"/>
    <col min="999" max="999" width="9.81640625" bestFit="1" customWidth="1"/>
    <col min="1000" max="1000" width="7.1796875" bestFit="1" customWidth="1"/>
    <col min="1001" max="1001" width="9.81640625" bestFit="1" customWidth="1"/>
    <col min="1002" max="1002" width="7.36328125" bestFit="1" customWidth="1"/>
    <col min="1003" max="1003" width="9.81640625" bestFit="1" customWidth="1"/>
    <col min="1004" max="1004" width="7.54296875" bestFit="1" customWidth="1"/>
    <col min="1005" max="1005" width="9.81640625" bestFit="1" customWidth="1"/>
    <col min="1006" max="1006" width="7.90625" bestFit="1" customWidth="1"/>
    <col min="1007" max="1007" width="9.81640625" bestFit="1" customWidth="1"/>
    <col min="1008" max="1009" width="7.54296875" bestFit="1" customWidth="1"/>
    <col min="1010" max="1010" width="9.81640625" bestFit="1" customWidth="1"/>
    <col min="1011" max="1012" width="7.54296875" bestFit="1" customWidth="1"/>
    <col min="1013" max="1013" width="9.81640625" bestFit="1" customWidth="1"/>
    <col min="1014" max="1014" width="7.54296875" bestFit="1" customWidth="1"/>
    <col min="1015" max="1015" width="9.81640625" bestFit="1" customWidth="1"/>
    <col min="1016" max="1017" width="7.90625" bestFit="1" customWidth="1"/>
    <col min="1018" max="1018" width="9.36328125" bestFit="1" customWidth="1"/>
    <col min="1019" max="1019" width="7.90625" bestFit="1" customWidth="1"/>
    <col min="1020" max="1020" width="9.36328125" bestFit="1" customWidth="1"/>
    <col min="1021" max="1021" width="7.36328125" bestFit="1" customWidth="1"/>
    <col min="1022" max="1022" width="9.36328125" bestFit="1" customWidth="1"/>
    <col min="1023" max="1023" width="7.90625" bestFit="1" customWidth="1"/>
    <col min="1024" max="1024" width="9.36328125" bestFit="1" customWidth="1"/>
    <col min="1025" max="1025" width="7.1796875" bestFit="1" customWidth="1"/>
    <col min="1026" max="1026" width="9.36328125" bestFit="1" customWidth="1"/>
    <col min="1027" max="1028" width="7.90625" bestFit="1" customWidth="1"/>
    <col min="1029" max="1029" width="9.36328125" bestFit="1" customWidth="1"/>
    <col min="1030" max="1030" width="7.54296875" bestFit="1" customWidth="1"/>
    <col min="1031" max="1031" width="9.36328125" bestFit="1" customWidth="1"/>
    <col min="1032" max="1033" width="7.90625" bestFit="1" customWidth="1"/>
    <col min="1034" max="1034" width="9.36328125" bestFit="1" customWidth="1"/>
    <col min="1035" max="1035" width="7.36328125" bestFit="1" customWidth="1"/>
    <col min="1036" max="1036" width="9.36328125" bestFit="1" customWidth="1"/>
    <col min="1037" max="1037" width="7.36328125" bestFit="1" customWidth="1"/>
    <col min="1038" max="1038" width="9.36328125" bestFit="1" customWidth="1"/>
    <col min="1039" max="1039" width="7.90625" bestFit="1" customWidth="1"/>
    <col min="1040" max="1040" width="9.36328125" bestFit="1" customWidth="1"/>
    <col min="1041" max="1041" width="7.90625" bestFit="1" customWidth="1"/>
    <col min="1042" max="1042" width="9.36328125" bestFit="1" customWidth="1"/>
    <col min="1043" max="1044" width="7.54296875" bestFit="1" customWidth="1"/>
    <col min="1045" max="1045" width="9.36328125" bestFit="1" customWidth="1"/>
    <col min="1046" max="1046" width="7.54296875" bestFit="1" customWidth="1"/>
    <col min="1047" max="1047" width="9.36328125" bestFit="1" customWidth="1"/>
    <col min="1048" max="1048" width="7.36328125" bestFit="1" customWidth="1"/>
    <col min="1049" max="1049" width="9.36328125" bestFit="1" customWidth="1"/>
    <col min="1050" max="1050" width="7.36328125" bestFit="1" customWidth="1"/>
    <col min="1051" max="1051" width="9.36328125" bestFit="1" customWidth="1"/>
    <col min="1052" max="1052" width="7.90625" bestFit="1" customWidth="1"/>
    <col min="1053" max="1053" width="9.36328125" bestFit="1" customWidth="1"/>
    <col min="1054" max="1055" width="7.54296875" bestFit="1" customWidth="1"/>
    <col min="1056" max="1056" width="9.54296875" bestFit="1" customWidth="1"/>
    <col min="1057" max="1057" width="7.36328125" bestFit="1" customWidth="1"/>
    <col min="1058" max="1058" width="9.54296875" bestFit="1" customWidth="1"/>
    <col min="1059" max="1059" width="7.1796875" bestFit="1" customWidth="1"/>
    <col min="1060" max="1060" width="9.54296875" bestFit="1" customWidth="1"/>
    <col min="1061" max="1061" width="7.90625" bestFit="1" customWidth="1"/>
    <col min="1062" max="1062" width="9.54296875" bestFit="1" customWidth="1"/>
    <col min="1063" max="1064" width="7.36328125" bestFit="1" customWidth="1"/>
    <col min="1065" max="1065" width="9.54296875" bestFit="1" customWidth="1"/>
    <col min="1066" max="1066" width="7.1796875" bestFit="1" customWidth="1"/>
    <col min="1067" max="1067" width="9.54296875" bestFit="1" customWidth="1"/>
    <col min="1068" max="1069" width="7.54296875" bestFit="1" customWidth="1"/>
    <col min="1070" max="1070" width="9.54296875" bestFit="1" customWidth="1"/>
    <col min="1071" max="1072" width="7.54296875" bestFit="1" customWidth="1"/>
    <col min="1073" max="1073" width="9.54296875" bestFit="1" customWidth="1"/>
    <col min="1074" max="1075" width="7.90625" bestFit="1" customWidth="1"/>
    <col min="1076" max="1076" width="9.54296875" bestFit="1" customWidth="1"/>
    <col min="1077" max="1077" width="7.1796875" bestFit="1" customWidth="1"/>
    <col min="1078" max="1078" width="9.54296875" bestFit="1" customWidth="1"/>
    <col min="1079" max="1079" width="7.90625" bestFit="1" customWidth="1"/>
    <col min="1080" max="1080" width="9.54296875" bestFit="1" customWidth="1"/>
    <col min="1081" max="1082" width="7.36328125" bestFit="1" customWidth="1"/>
    <col min="1083" max="1083" width="9.54296875" bestFit="1" customWidth="1"/>
    <col min="1084" max="1084" width="7.90625" bestFit="1" customWidth="1"/>
    <col min="1085" max="1085" width="9.54296875" bestFit="1" customWidth="1"/>
    <col min="1086" max="1086" width="7.36328125" bestFit="1" customWidth="1"/>
    <col min="1087" max="1087" width="9.54296875" bestFit="1" customWidth="1"/>
    <col min="1088" max="1088" width="7.90625" bestFit="1" customWidth="1"/>
    <col min="1089" max="1089" width="8.81640625" bestFit="1" customWidth="1"/>
    <col min="1090" max="1090" width="7.1796875" bestFit="1" customWidth="1"/>
    <col min="1091" max="1091" width="8.81640625" bestFit="1" customWidth="1"/>
    <col min="1092" max="1093" width="7.90625" bestFit="1" customWidth="1"/>
    <col min="1094" max="1094" width="8.81640625" bestFit="1" customWidth="1"/>
    <col min="1095" max="1095" width="7.1796875" bestFit="1" customWidth="1"/>
    <col min="1096" max="1096" width="8.81640625" bestFit="1" customWidth="1"/>
    <col min="1097" max="1098" width="7.90625" bestFit="1" customWidth="1"/>
    <col min="1099" max="1099" width="8.81640625" bestFit="1" customWidth="1"/>
    <col min="1100" max="1100" width="7.54296875" bestFit="1" customWidth="1"/>
    <col min="1101" max="1101" width="8.81640625" bestFit="1" customWidth="1"/>
    <col min="1102" max="1103" width="7.54296875" bestFit="1" customWidth="1"/>
    <col min="1104" max="1104" width="8.81640625" bestFit="1" customWidth="1"/>
    <col min="1105" max="1105" width="7.1796875" bestFit="1" customWidth="1"/>
    <col min="1106" max="1106" width="8.81640625" bestFit="1" customWidth="1"/>
    <col min="1107" max="1109" width="7.54296875" bestFit="1" customWidth="1"/>
    <col min="1110" max="1110" width="8.81640625" bestFit="1" customWidth="1"/>
    <col min="1111" max="1111" width="7.1796875" bestFit="1" customWidth="1"/>
    <col min="1112" max="1112" width="8.81640625" bestFit="1" customWidth="1"/>
    <col min="1113" max="1113" width="7.36328125" bestFit="1" customWidth="1"/>
    <col min="1114" max="1114" width="8.81640625" bestFit="1" customWidth="1"/>
    <col min="1115" max="1115" width="7.90625" bestFit="1" customWidth="1"/>
    <col min="1116" max="1116" width="8.81640625" bestFit="1" customWidth="1"/>
    <col min="1117" max="1117" width="7.1796875" bestFit="1" customWidth="1"/>
    <col min="1118" max="1118" width="8.81640625" bestFit="1" customWidth="1"/>
    <col min="1119" max="1119" width="7.36328125" bestFit="1" customWidth="1"/>
    <col min="1120" max="1120" width="8.81640625" bestFit="1" customWidth="1"/>
    <col min="1121" max="1121" width="8.54296875" bestFit="1" customWidth="1"/>
    <col min="1122" max="1122" width="11.6328125" bestFit="1" customWidth="1"/>
    <col min="1123" max="1124" width="8.54296875" bestFit="1" customWidth="1"/>
    <col min="1125" max="1125" width="11.6328125" bestFit="1" customWidth="1"/>
    <col min="1126" max="1127" width="8.54296875" bestFit="1" customWidth="1"/>
    <col min="1128" max="1128" width="11.6328125" bestFit="1" customWidth="1"/>
    <col min="1129" max="1130" width="8.54296875" bestFit="1" customWidth="1"/>
    <col min="1131" max="1131" width="11.6328125" bestFit="1" customWidth="1"/>
    <col min="1132" max="1132" width="8.54296875" bestFit="1" customWidth="1"/>
    <col min="1133" max="1133" width="11.6328125" bestFit="1" customWidth="1"/>
    <col min="1134" max="1135" width="8.54296875" bestFit="1" customWidth="1"/>
    <col min="1136" max="1136" width="11.6328125" bestFit="1" customWidth="1"/>
    <col min="1137" max="1137" width="8.54296875" bestFit="1" customWidth="1"/>
    <col min="1138" max="1138" width="11.6328125" bestFit="1" customWidth="1"/>
    <col min="1139" max="1139" width="8.54296875" bestFit="1" customWidth="1"/>
    <col min="1140" max="1140" width="11.6328125" bestFit="1" customWidth="1"/>
    <col min="1141" max="1141" width="8.54296875" bestFit="1" customWidth="1"/>
    <col min="1142" max="1142" width="11.6328125" bestFit="1" customWidth="1"/>
    <col min="1143" max="1143" width="8.54296875" bestFit="1" customWidth="1"/>
    <col min="1144" max="1144" width="11.6328125" bestFit="1" customWidth="1"/>
    <col min="1145" max="1145" width="8.54296875" bestFit="1" customWidth="1"/>
    <col min="1146" max="1146" width="11.6328125" bestFit="1" customWidth="1"/>
    <col min="1147" max="1147" width="8.54296875" bestFit="1" customWidth="1"/>
    <col min="1148" max="1148" width="11.6328125" bestFit="1" customWidth="1"/>
    <col min="1149" max="1149" width="8.54296875" bestFit="1" customWidth="1"/>
    <col min="1150" max="1150" width="11.6328125" bestFit="1" customWidth="1"/>
    <col min="1151" max="1151" width="8.54296875" bestFit="1" customWidth="1"/>
    <col min="1152" max="1152" width="11.6328125" bestFit="1" customWidth="1"/>
    <col min="1153" max="1154" width="8.54296875" bestFit="1" customWidth="1"/>
    <col min="1155" max="1155" width="11.6328125" bestFit="1" customWidth="1"/>
    <col min="1156" max="1156" width="8.54296875" bestFit="1" customWidth="1"/>
    <col min="1157" max="1157" width="11.6328125" bestFit="1" customWidth="1"/>
    <col min="1158" max="1159" width="8.54296875" bestFit="1" customWidth="1"/>
    <col min="1160" max="1160" width="11.6328125" bestFit="1" customWidth="1"/>
    <col min="1161" max="1161" width="12" bestFit="1" customWidth="1"/>
    <col min="1162" max="1162" width="15.1796875" bestFit="1" customWidth="1"/>
    <col min="1163" max="1164" width="12" bestFit="1" customWidth="1"/>
    <col min="1165" max="1165" width="15.1796875" bestFit="1" customWidth="1"/>
    <col min="1166" max="1167" width="12" bestFit="1" customWidth="1"/>
    <col min="1168" max="1168" width="15.1796875" bestFit="1" customWidth="1"/>
    <col min="1169" max="1169" width="12" bestFit="1" customWidth="1"/>
    <col min="1170" max="1170" width="15.1796875" bestFit="1" customWidth="1"/>
    <col min="1171" max="1172" width="12" bestFit="1" customWidth="1"/>
    <col min="1173" max="1173" width="15.1796875" bestFit="1" customWidth="1"/>
    <col min="1174" max="1175" width="12" bestFit="1" customWidth="1"/>
    <col min="1176" max="1176" width="15.1796875" bestFit="1" customWidth="1"/>
    <col min="1177" max="1177" width="12" bestFit="1" customWidth="1"/>
    <col min="1178" max="1178" width="15.1796875" bestFit="1" customWidth="1"/>
    <col min="1179" max="1179" width="12" bestFit="1" customWidth="1"/>
    <col min="1180" max="1180" width="15.1796875" bestFit="1" customWidth="1"/>
    <col min="1181" max="1181" width="12" bestFit="1" customWidth="1"/>
    <col min="1182" max="1182" width="15.1796875" bestFit="1" customWidth="1"/>
    <col min="1183" max="1183" width="12" bestFit="1" customWidth="1"/>
    <col min="1184" max="1184" width="15.1796875" bestFit="1" customWidth="1"/>
    <col min="1185" max="1185" width="12" bestFit="1" customWidth="1"/>
    <col min="1186" max="1186" width="15.1796875" bestFit="1" customWidth="1"/>
    <col min="1187" max="1188" width="12" bestFit="1" customWidth="1"/>
    <col min="1189" max="1189" width="15.1796875" bestFit="1" customWidth="1"/>
    <col min="1190" max="1190" width="12" bestFit="1" customWidth="1"/>
    <col min="1191" max="1191" width="15.1796875" bestFit="1" customWidth="1"/>
    <col min="1192" max="1194" width="12" bestFit="1" customWidth="1"/>
    <col min="1195" max="1195" width="15.1796875" bestFit="1" customWidth="1"/>
    <col min="1196" max="1196" width="12" bestFit="1" customWidth="1"/>
    <col min="1197" max="1197" width="15.1796875" bestFit="1" customWidth="1"/>
    <col min="1198" max="1198" width="12" bestFit="1" customWidth="1"/>
    <col min="1199" max="1199" width="15.1796875" bestFit="1" customWidth="1"/>
    <col min="1200" max="1201" width="12" bestFit="1" customWidth="1"/>
    <col min="1202" max="1202" width="15.1796875" bestFit="1" customWidth="1"/>
    <col min="1203" max="1204" width="9.54296875" bestFit="1" customWidth="1"/>
    <col min="1205" max="1205" width="12.6328125" bestFit="1" customWidth="1"/>
    <col min="1206" max="1207" width="9.54296875" bestFit="1" customWidth="1"/>
    <col min="1208" max="1208" width="12.6328125" bestFit="1" customWidth="1"/>
    <col min="1209" max="1209" width="9.54296875" bestFit="1" customWidth="1"/>
    <col min="1210" max="1210" width="12.6328125" bestFit="1" customWidth="1"/>
    <col min="1211" max="1212" width="9.54296875" bestFit="1" customWidth="1"/>
    <col min="1213" max="1213" width="12.6328125" bestFit="1" customWidth="1"/>
    <col min="1214" max="1215" width="9.54296875" bestFit="1" customWidth="1"/>
    <col min="1216" max="1216" width="12.6328125" bestFit="1" customWidth="1"/>
    <col min="1217" max="1218" width="9.54296875" bestFit="1" customWidth="1"/>
    <col min="1219" max="1219" width="12.6328125" bestFit="1" customWidth="1"/>
    <col min="1220" max="1220" width="9.54296875" bestFit="1" customWidth="1"/>
    <col min="1221" max="1221" width="12.6328125" bestFit="1" customWidth="1"/>
    <col min="1222" max="1222" width="9.54296875" bestFit="1" customWidth="1"/>
    <col min="1223" max="1223" width="12.6328125" bestFit="1" customWidth="1"/>
    <col min="1224" max="1225" width="9.54296875" bestFit="1" customWidth="1"/>
    <col min="1226" max="1226" width="12.6328125" bestFit="1" customWidth="1"/>
    <col min="1227" max="1228" width="9.54296875" bestFit="1" customWidth="1"/>
    <col min="1229" max="1229" width="12.6328125" bestFit="1" customWidth="1"/>
    <col min="1230" max="1231" width="9.54296875" bestFit="1" customWidth="1"/>
    <col min="1232" max="1232" width="12.6328125" bestFit="1" customWidth="1"/>
    <col min="1233" max="1233" width="9.54296875" bestFit="1" customWidth="1"/>
    <col min="1234" max="1234" width="12.6328125" bestFit="1" customWidth="1"/>
    <col min="1235" max="1236" width="9.54296875" bestFit="1" customWidth="1"/>
    <col min="1237" max="1237" width="12.6328125" bestFit="1" customWidth="1"/>
    <col min="1238" max="1238" width="9.54296875" bestFit="1" customWidth="1"/>
    <col min="1239" max="1239" width="12.6328125" bestFit="1" customWidth="1"/>
    <col min="1240" max="1240" width="9.54296875" bestFit="1" customWidth="1"/>
    <col min="1241" max="1241" width="12.6328125" bestFit="1" customWidth="1"/>
    <col min="1242" max="1243" width="9.54296875" bestFit="1" customWidth="1"/>
    <col min="1244" max="1244" width="12.6328125" bestFit="1" customWidth="1"/>
    <col min="1245" max="1246" width="11.54296875" bestFit="1" customWidth="1"/>
    <col min="1247" max="1247" width="14.7265625" bestFit="1" customWidth="1"/>
    <col min="1248" max="1250" width="11.54296875" bestFit="1" customWidth="1"/>
    <col min="1251" max="1251" width="14.7265625" bestFit="1" customWidth="1"/>
    <col min="1252" max="1253" width="11.54296875" bestFit="1" customWidth="1"/>
    <col min="1254" max="1254" width="14.7265625" bestFit="1" customWidth="1"/>
    <col min="1255" max="1255" width="11.54296875" bestFit="1" customWidth="1"/>
    <col min="1256" max="1256" width="14.7265625" bestFit="1" customWidth="1"/>
    <col min="1257" max="1257" width="11.54296875" bestFit="1" customWidth="1"/>
    <col min="1258" max="1258" width="14.7265625" bestFit="1" customWidth="1"/>
    <col min="1259" max="1260" width="11.54296875" bestFit="1" customWidth="1"/>
    <col min="1261" max="1261" width="14.7265625" bestFit="1" customWidth="1"/>
    <col min="1262" max="1263" width="11.54296875" bestFit="1" customWidth="1"/>
    <col min="1264" max="1264" width="14.7265625" bestFit="1" customWidth="1"/>
    <col min="1265" max="1265" width="11.54296875" bestFit="1" customWidth="1"/>
    <col min="1266" max="1266" width="14.7265625" bestFit="1" customWidth="1"/>
    <col min="1267" max="1268" width="11.54296875" bestFit="1" customWidth="1"/>
    <col min="1269" max="1269" width="14.7265625" bestFit="1" customWidth="1"/>
    <col min="1270" max="1270" width="11.54296875" bestFit="1" customWidth="1"/>
    <col min="1271" max="1271" width="14.7265625" bestFit="1" customWidth="1"/>
    <col min="1272" max="1272" width="11.54296875" bestFit="1" customWidth="1"/>
    <col min="1273" max="1273" width="14.7265625" bestFit="1" customWidth="1"/>
    <col min="1274" max="1274" width="11.54296875" bestFit="1" customWidth="1"/>
    <col min="1275" max="1275" width="14.7265625" bestFit="1" customWidth="1"/>
    <col min="1276" max="1276" width="11.54296875" bestFit="1" customWidth="1"/>
    <col min="1277" max="1277" width="14.7265625" bestFit="1" customWidth="1"/>
    <col min="1278" max="1278" width="11.54296875" bestFit="1" customWidth="1"/>
    <col min="1279" max="1279" width="14.7265625" bestFit="1" customWidth="1"/>
    <col min="1280" max="1281" width="11.54296875" bestFit="1" customWidth="1"/>
    <col min="1282" max="1282" width="14.7265625" bestFit="1" customWidth="1"/>
    <col min="1283" max="1284" width="11.54296875" bestFit="1" customWidth="1"/>
    <col min="1285" max="1285" width="14.7265625" bestFit="1" customWidth="1"/>
    <col min="1286" max="1286" width="11.54296875" bestFit="1" customWidth="1"/>
    <col min="1287" max="1287" width="14.7265625" bestFit="1" customWidth="1"/>
    <col min="1288" max="1289" width="11.54296875" bestFit="1" customWidth="1"/>
    <col min="1290" max="1290" width="14.7265625" bestFit="1" customWidth="1"/>
    <col min="1291" max="1291" width="11.54296875" bestFit="1" customWidth="1"/>
    <col min="1292" max="1292" width="14.7265625" bestFit="1" customWidth="1"/>
    <col min="1293" max="1294" width="11.54296875" bestFit="1" customWidth="1"/>
    <col min="1295" max="1295" width="14.7265625" bestFit="1" customWidth="1"/>
    <col min="1296" max="1297" width="11.36328125" bestFit="1" customWidth="1"/>
    <col min="1298" max="1298" width="14.54296875" bestFit="1" customWidth="1"/>
    <col min="1299" max="1299" width="11.36328125" bestFit="1" customWidth="1"/>
    <col min="1300" max="1300" width="14.54296875" bestFit="1" customWidth="1"/>
    <col min="1301" max="1301" width="11.36328125" bestFit="1" customWidth="1"/>
    <col min="1302" max="1302" width="14.54296875" bestFit="1" customWidth="1"/>
    <col min="1303" max="1303" width="11.36328125" bestFit="1" customWidth="1"/>
    <col min="1304" max="1304" width="14.54296875" bestFit="1" customWidth="1"/>
    <col min="1305" max="1305" width="11.36328125" bestFit="1" customWidth="1"/>
    <col min="1306" max="1306" width="14.54296875" bestFit="1" customWidth="1"/>
    <col min="1307" max="1308" width="11.36328125" bestFit="1" customWidth="1"/>
    <col min="1309" max="1309" width="14.54296875" bestFit="1" customWidth="1"/>
    <col min="1310" max="1310" width="11.36328125" bestFit="1" customWidth="1"/>
    <col min="1311" max="1311" width="14.54296875" bestFit="1" customWidth="1"/>
    <col min="1312" max="1313" width="11.36328125" bestFit="1" customWidth="1"/>
    <col min="1314" max="1314" width="14.54296875" bestFit="1" customWidth="1"/>
    <col min="1315" max="1316" width="11.36328125" bestFit="1" customWidth="1"/>
    <col min="1317" max="1317" width="14.54296875" bestFit="1" customWidth="1"/>
    <col min="1318" max="1319" width="11.36328125" bestFit="1" customWidth="1"/>
    <col min="1320" max="1320" width="14.54296875" bestFit="1" customWidth="1"/>
    <col min="1321" max="1323" width="11.36328125" bestFit="1" customWidth="1"/>
    <col min="1324" max="1324" width="14.54296875" bestFit="1" customWidth="1"/>
    <col min="1325" max="1326" width="11.36328125" bestFit="1" customWidth="1"/>
    <col min="1327" max="1327" width="14.54296875" bestFit="1" customWidth="1"/>
    <col min="1328" max="1328" width="11.36328125" bestFit="1" customWidth="1"/>
    <col min="1329" max="1329" width="14.54296875" bestFit="1" customWidth="1"/>
    <col min="1330" max="1331" width="11.36328125" bestFit="1" customWidth="1"/>
    <col min="1332" max="1332" width="14.54296875" bestFit="1" customWidth="1"/>
    <col min="1333" max="1333" width="11.36328125" bestFit="1" customWidth="1"/>
    <col min="1334" max="1334" width="14.54296875" bestFit="1" customWidth="1"/>
    <col min="1335" max="1335" width="11.36328125" bestFit="1" customWidth="1"/>
    <col min="1336" max="1336" width="14.54296875" bestFit="1" customWidth="1"/>
    <col min="1337" max="1337" width="9.08984375" bestFit="1" customWidth="1"/>
    <col min="1338" max="1338" width="12.08984375" bestFit="1" customWidth="1"/>
    <col min="1339" max="1341" width="9.08984375" bestFit="1" customWidth="1"/>
    <col min="1342" max="1342" width="12.08984375" bestFit="1" customWidth="1"/>
    <col min="1343" max="1343" width="9.08984375" bestFit="1" customWidth="1"/>
    <col min="1344" max="1344" width="12.08984375" bestFit="1" customWidth="1"/>
    <col min="1345" max="1345" width="9.08984375" bestFit="1" customWidth="1"/>
    <col min="1346" max="1346" width="12.08984375" bestFit="1" customWidth="1"/>
    <col min="1347" max="1348" width="9.08984375" bestFit="1" customWidth="1"/>
    <col min="1349" max="1349" width="12.08984375" bestFit="1" customWidth="1"/>
    <col min="1350" max="1350" width="9.08984375" bestFit="1" customWidth="1"/>
    <col min="1351" max="1351" width="12.08984375" bestFit="1" customWidth="1"/>
    <col min="1352" max="1352" width="9.08984375" bestFit="1" customWidth="1"/>
    <col min="1353" max="1353" width="12.08984375" bestFit="1" customWidth="1"/>
    <col min="1354" max="1354" width="9.08984375" bestFit="1" customWidth="1"/>
    <col min="1355" max="1355" width="12.08984375" bestFit="1" customWidth="1"/>
    <col min="1356" max="1356" width="9.08984375" bestFit="1" customWidth="1"/>
    <col min="1357" max="1357" width="12.08984375" bestFit="1" customWidth="1"/>
    <col min="1358" max="1359" width="9.08984375" bestFit="1" customWidth="1"/>
    <col min="1360" max="1360" width="12.08984375" bestFit="1" customWidth="1"/>
    <col min="1361" max="1361" width="9.08984375" bestFit="1" customWidth="1"/>
    <col min="1362" max="1362" width="12.08984375" bestFit="1" customWidth="1"/>
    <col min="1363" max="1363" width="9.08984375" bestFit="1" customWidth="1"/>
    <col min="1364" max="1364" width="12.08984375" bestFit="1" customWidth="1"/>
    <col min="1365" max="1365" width="9.08984375" bestFit="1" customWidth="1"/>
    <col min="1366" max="1366" width="12.08984375" bestFit="1" customWidth="1"/>
    <col min="1367" max="1367" width="9.08984375" bestFit="1" customWidth="1"/>
    <col min="1368" max="1368" width="12.08984375" bestFit="1" customWidth="1"/>
    <col min="1369" max="1370" width="9.08984375" bestFit="1" customWidth="1"/>
    <col min="1371" max="1371" width="12.08984375" bestFit="1" customWidth="1"/>
    <col min="1372" max="1373" width="9.08984375" bestFit="1" customWidth="1"/>
    <col min="1374" max="1374" width="12.08984375" bestFit="1" customWidth="1"/>
    <col min="1375" max="1376" width="9.08984375" bestFit="1" customWidth="1"/>
    <col min="1377" max="1377" width="12.08984375" bestFit="1" customWidth="1"/>
    <col min="1378" max="1378" width="10.1796875" bestFit="1" customWidth="1"/>
    <col min="1379" max="1379" width="13.26953125" bestFit="1" customWidth="1"/>
    <col min="1380" max="1380" width="10.1796875" bestFit="1" customWidth="1"/>
    <col min="1381" max="1381" width="13.26953125" bestFit="1" customWidth="1"/>
    <col min="1382" max="1382" width="10.1796875" bestFit="1" customWidth="1"/>
    <col min="1383" max="1383" width="13.26953125" bestFit="1" customWidth="1"/>
    <col min="1384" max="1384" width="10.1796875" bestFit="1" customWidth="1"/>
    <col min="1385" max="1385" width="13.26953125" bestFit="1" customWidth="1"/>
    <col min="1386" max="1386" width="10.1796875" bestFit="1" customWidth="1"/>
    <col min="1387" max="1387" width="13.26953125" bestFit="1" customWidth="1"/>
    <col min="1388" max="1388" width="10.1796875" bestFit="1" customWidth="1"/>
    <col min="1389" max="1389" width="13.26953125" bestFit="1" customWidth="1"/>
    <col min="1390" max="1391" width="10.1796875" bestFit="1" customWidth="1"/>
    <col min="1392" max="1392" width="13.26953125" bestFit="1" customWidth="1"/>
    <col min="1393" max="1393" width="10.1796875" bestFit="1" customWidth="1"/>
    <col min="1394" max="1394" width="13.26953125" bestFit="1" customWidth="1"/>
    <col min="1395" max="1395" width="10.1796875" bestFit="1" customWidth="1"/>
    <col min="1396" max="1396" width="13.26953125" bestFit="1" customWidth="1"/>
    <col min="1397" max="1397" width="10.1796875" bestFit="1" customWidth="1"/>
    <col min="1398" max="1398" width="13.26953125" bestFit="1" customWidth="1"/>
    <col min="1399" max="1399" width="10.1796875" bestFit="1" customWidth="1"/>
    <col min="1400" max="1400" width="13.26953125" bestFit="1" customWidth="1"/>
    <col min="1401" max="1402" width="8" bestFit="1" customWidth="1"/>
    <col min="1403" max="1403" width="11.08984375" bestFit="1" customWidth="1"/>
    <col min="1404" max="1404" width="8" bestFit="1" customWidth="1"/>
    <col min="1405" max="1405" width="11.08984375" bestFit="1" customWidth="1"/>
    <col min="1406" max="1406" width="8" bestFit="1" customWidth="1"/>
    <col min="1407" max="1407" width="11.08984375" bestFit="1" customWidth="1"/>
    <col min="1408" max="1408" width="8" bestFit="1" customWidth="1"/>
    <col min="1409" max="1409" width="11.08984375" bestFit="1" customWidth="1"/>
    <col min="1410" max="1410" width="8" bestFit="1" customWidth="1"/>
    <col min="1411" max="1411" width="11.08984375" bestFit="1" customWidth="1"/>
    <col min="1412" max="1413" width="8" bestFit="1" customWidth="1"/>
    <col min="1414" max="1414" width="11.08984375" bestFit="1" customWidth="1"/>
    <col min="1415" max="1415" width="8" bestFit="1" customWidth="1"/>
    <col min="1416" max="1416" width="11.08984375" bestFit="1" customWidth="1"/>
    <col min="1417" max="1417" width="8" bestFit="1" customWidth="1"/>
    <col min="1418" max="1418" width="11.08984375" bestFit="1" customWidth="1"/>
    <col min="1419" max="1419" width="8" bestFit="1" customWidth="1"/>
    <col min="1420" max="1420" width="11.08984375" bestFit="1" customWidth="1"/>
    <col min="1421" max="1422" width="8" bestFit="1" customWidth="1"/>
    <col min="1423" max="1423" width="11.08984375" bestFit="1" customWidth="1"/>
    <col min="1424" max="1425" width="8" bestFit="1" customWidth="1"/>
    <col min="1426" max="1426" width="11.08984375" bestFit="1" customWidth="1"/>
    <col min="1427" max="1427" width="8" bestFit="1" customWidth="1"/>
    <col min="1428" max="1428" width="11.08984375" bestFit="1" customWidth="1"/>
    <col min="1429" max="1429" width="8" bestFit="1" customWidth="1"/>
    <col min="1430" max="1430" width="11.08984375" bestFit="1" customWidth="1"/>
    <col min="1431" max="1432" width="8" bestFit="1" customWidth="1"/>
    <col min="1433" max="1433" width="11.08984375" bestFit="1" customWidth="1"/>
    <col min="1434" max="1434" width="8" bestFit="1" customWidth="1"/>
    <col min="1435" max="1435" width="11.08984375" bestFit="1" customWidth="1"/>
    <col min="1436" max="1437" width="8" bestFit="1" customWidth="1"/>
    <col min="1438" max="1438" width="11.08984375" bestFit="1" customWidth="1"/>
    <col min="1439" max="1439" width="8" bestFit="1" customWidth="1"/>
    <col min="1440" max="1440" width="11.08984375" bestFit="1" customWidth="1"/>
    <col min="1441" max="1441" width="7.1796875" bestFit="1" customWidth="1"/>
    <col min="1442" max="1442" width="9.81640625" bestFit="1" customWidth="1"/>
    <col min="1443" max="1444" width="7.54296875" bestFit="1" customWidth="1"/>
    <col min="1445" max="1445" width="9.81640625" bestFit="1" customWidth="1"/>
    <col min="1446" max="1447" width="7.36328125" bestFit="1" customWidth="1"/>
    <col min="1448" max="1448" width="9.81640625" bestFit="1" customWidth="1"/>
    <col min="1449" max="1449" width="7.90625" bestFit="1" customWidth="1"/>
    <col min="1450" max="1450" width="9.81640625" bestFit="1" customWidth="1"/>
    <col min="1451" max="1451" width="7.90625" bestFit="1" customWidth="1"/>
    <col min="1452" max="1452" width="9.81640625" bestFit="1" customWidth="1"/>
    <col min="1453" max="1453" width="7.90625" bestFit="1" customWidth="1"/>
    <col min="1454" max="1454" width="9.81640625" bestFit="1" customWidth="1"/>
    <col min="1455" max="1455" width="7.36328125" bestFit="1" customWidth="1"/>
    <col min="1456" max="1456" width="9.81640625" bestFit="1" customWidth="1"/>
    <col min="1457" max="1457" width="7.90625" bestFit="1" customWidth="1"/>
    <col min="1458" max="1458" width="9.81640625" bestFit="1" customWidth="1"/>
    <col min="1459" max="1459" width="7.36328125" bestFit="1" customWidth="1"/>
    <col min="1460" max="1460" width="9.81640625" bestFit="1" customWidth="1"/>
    <col min="1461" max="1461" width="7.36328125" bestFit="1" customWidth="1"/>
    <col min="1462" max="1462" width="9.81640625" bestFit="1" customWidth="1"/>
    <col min="1463" max="1463" width="7.1796875" bestFit="1" customWidth="1"/>
    <col min="1464" max="1464" width="9.81640625" bestFit="1" customWidth="1"/>
    <col min="1465" max="1466" width="7.54296875" bestFit="1" customWidth="1"/>
    <col min="1467" max="1467" width="9.81640625" bestFit="1" customWidth="1"/>
    <col min="1468" max="1471" width="7.90625" bestFit="1" customWidth="1"/>
    <col min="1472" max="1472" width="9.81640625" bestFit="1" customWidth="1"/>
    <col min="1473" max="1473" width="7.36328125" bestFit="1" customWidth="1"/>
    <col min="1474" max="1474" width="9.81640625" bestFit="1" customWidth="1"/>
    <col min="1475" max="1476" width="7.54296875" bestFit="1" customWidth="1"/>
    <col min="1477" max="1477" width="9.36328125" bestFit="1" customWidth="1"/>
    <col min="1478" max="1478" width="7.90625" bestFit="1" customWidth="1"/>
    <col min="1479" max="1479" width="9.36328125" bestFit="1" customWidth="1"/>
    <col min="1480" max="1480" width="7.90625" bestFit="1" customWidth="1"/>
    <col min="1481" max="1481" width="9.36328125" bestFit="1" customWidth="1"/>
    <col min="1482" max="1482" width="7.1796875" bestFit="1" customWidth="1"/>
    <col min="1483" max="1483" width="9.36328125" bestFit="1" customWidth="1"/>
    <col min="1484" max="1484" width="7.54296875" bestFit="1" customWidth="1"/>
    <col min="1485" max="1485" width="9.36328125" bestFit="1" customWidth="1"/>
    <col min="1486" max="1486" width="7.1796875" bestFit="1" customWidth="1"/>
    <col min="1487" max="1487" width="9.36328125" bestFit="1" customWidth="1"/>
    <col min="1488" max="1488" width="7.36328125" bestFit="1" customWidth="1"/>
    <col min="1489" max="1489" width="9.36328125" bestFit="1" customWidth="1"/>
    <col min="1490" max="1492" width="7.90625" bestFit="1" customWidth="1"/>
    <col min="1493" max="1493" width="9.36328125" bestFit="1" customWidth="1"/>
    <col min="1494" max="1494" width="7.90625" bestFit="1" customWidth="1"/>
    <col min="1495" max="1495" width="9.36328125" bestFit="1" customWidth="1"/>
    <col min="1496" max="1496" width="7.1796875" bestFit="1" customWidth="1"/>
    <col min="1497" max="1497" width="9.36328125" bestFit="1" customWidth="1"/>
    <col min="1498" max="1498" width="7.54296875" bestFit="1" customWidth="1"/>
    <col min="1499" max="1499" width="9.36328125" bestFit="1" customWidth="1"/>
    <col min="1500" max="1500" width="7.54296875" bestFit="1" customWidth="1"/>
    <col min="1501" max="1501" width="9.36328125" bestFit="1" customWidth="1"/>
    <col min="1502" max="1502" width="7.90625" bestFit="1" customWidth="1"/>
    <col min="1503" max="1503" width="9.36328125" bestFit="1" customWidth="1"/>
    <col min="1504" max="1504" width="7.36328125" bestFit="1" customWidth="1"/>
    <col min="1505" max="1505" width="9.36328125" bestFit="1" customWidth="1"/>
    <col min="1506" max="1506" width="7.36328125" bestFit="1" customWidth="1"/>
    <col min="1507" max="1507" width="9.36328125" bestFit="1" customWidth="1"/>
    <col min="1508" max="1508" width="7.36328125" bestFit="1" customWidth="1"/>
    <col min="1509" max="1509" width="9.36328125" bestFit="1" customWidth="1"/>
    <col min="1510" max="1510" width="7.90625" bestFit="1" customWidth="1"/>
    <col min="1511" max="1511" width="9.36328125" bestFit="1" customWidth="1"/>
    <col min="1512" max="1512" width="7.54296875" bestFit="1" customWidth="1"/>
    <col min="1513" max="1513" width="9.36328125" bestFit="1" customWidth="1"/>
    <col min="1514" max="1514" width="7.90625" bestFit="1" customWidth="1"/>
    <col min="1515" max="1515" width="9.54296875" bestFit="1" customWidth="1"/>
    <col min="1516" max="1516" width="7.90625" bestFit="1" customWidth="1"/>
    <col min="1517" max="1517" width="9.54296875" bestFit="1" customWidth="1"/>
    <col min="1518" max="1518" width="7.1796875" bestFit="1" customWidth="1"/>
    <col min="1519" max="1519" width="9.54296875" bestFit="1" customWidth="1"/>
    <col min="1520" max="1520" width="7.1796875" bestFit="1" customWidth="1"/>
    <col min="1521" max="1521" width="9.54296875" bestFit="1" customWidth="1"/>
    <col min="1522" max="1524" width="7.90625" bestFit="1" customWidth="1"/>
    <col min="1525" max="1525" width="9.54296875" bestFit="1" customWidth="1"/>
    <col min="1526" max="1527" width="7.90625" bestFit="1" customWidth="1"/>
    <col min="1528" max="1528" width="9.54296875" bestFit="1" customWidth="1"/>
    <col min="1529" max="1531" width="7.90625" bestFit="1" customWidth="1"/>
    <col min="1532" max="1532" width="9.54296875" bestFit="1" customWidth="1"/>
    <col min="1533" max="1533" width="7.1796875" bestFit="1" customWidth="1"/>
    <col min="1534" max="1534" width="9.54296875" bestFit="1" customWidth="1"/>
    <col min="1535" max="1535" width="7.90625" bestFit="1" customWidth="1"/>
    <col min="1536" max="1536" width="9.54296875" bestFit="1" customWidth="1"/>
    <col min="1537" max="1538" width="7.90625" bestFit="1" customWidth="1"/>
    <col min="1539" max="1539" width="9.54296875" bestFit="1" customWidth="1"/>
    <col min="1540" max="1540" width="7.1796875" bestFit="1" customWidth="1"/>
    <col min="1541" max="1541" width="9.54296875" bestFit="1" customWidth="1"/>
    <col min="1542" max="1542" width="7.36328125" bestFit="1" customWidth="1"/>
    <col min="1543" max="1543" width="9.54296875" bestFit="1" customWidth="1"/>
    <col min="1544" max="1545" width="7.36328125" bestFit="1" customWidth="1"/>
    <col min="1546" max="1546" width="9.54296875" bestFit="1" customWidth="1"/>
    <col min="1547" max="1547" width="7.36328125" bestFit="1" customWidth="1"/>
    <col min="1548" max="1548" width="9.54296875" bestFit="1" customWidth="1"/>
    <col min="1549" max="1549" width="7.54296875" bestFit="1" customWidth="1"/>
    <col min="1550" max="1550" width="9.54296875" bestFit="1" customWidth="1"/>
    <col min="1551" max="1551" width="7.36328125" bestFit="1" customWidth="1"/>
    <col min="1552" max="1552" width="9.54296875" bestFit="1" customWidth="1"/>
    <col min="1553" max="1553" width="7.90625" bestFit="1" customWidth="1"/>
    <col min="1554" max="1554" width="8.81640625" bestFit="1" customWidth="1"/>
    <col min="1555" max="1555" width="7.90625" bestFit="1" customWidth="1"/>
    <col min="1556" max="1556" width="8.81640625" bestFit="1" customWidth="1"/>
    <col min="1557" max="1557" width="7.36328125" bestFit="1" customWidth="1"/>
    <col min="1558" max="1558" width="8.81640625" bestFit="1" customWidth="1"/>
    <col min="1559" max="1559" width="7.1796875" bestFit="1" customWidth="1"/>
    <col min="1560" max="1560" width="8.81640625" bestFit="1" customWidth="1"/>
    <col min="1561" max="1561" width="7.90625" bestFit="1" customWidth="1"/>
    <col min="1562" max="1562" width="8.81640625" bestFit="1" customWidth="1"/>
    <col min="1563" max="1563" width="7.36328125" bestFit="1" customWidth="1"/>
    <col min="1564" max="1564" width="8.81640625" bestFit="1" customWidth="1"/>
    <col min="1565" max="1566" width="7.54296875" bestFit="1" customWidth="1"/>
    <col min="1567" max="1567" width="8.81640625" bestFit="1" customWidth="1"/>
    <col min="1568" max="1569" width="7.54296875" bestFit="1" customWidth="1"/>
    <col min="1570" max="1570" width="8.81640625" bestFit="1" customWidth="1"/>
    <col min="1571" max="1572" width="7.90625" bestFit="1" customWidth="1"/>
    <col min="1573" max="1573" width="8.81640625" bestFit="1" customWidth="1"/>
    <col min="1574" max="1574" width="7.1796875" bestFit="1" customWidth="1"/>
    <col min="1575" max="1575" width="8.81640625" bestFit="1" customWidth="1"/>
    <col min="1576" max="1576" width="7.1796875" bestFit="1" customWidth="1"/>
    <col min="1577" max="1577" width="8.81640625" bestFit="1" customWidth="1"/>
    <col min="1578" max="1578" width="7.1796875" bestFit="1" customWidth="1"/>
    <col min="1579" max="1579" width="8.81640625" bestFit="1" customWidth="1"/>
    <col min="1580" max="1580" width="7.54296875" bestFit="1" customWidth="1"/>
    <col min="1581" max="1581" width="8.81640625" bestFit="1" customWidth="1"/>
    <col min="1582" max="1582" width="7.54296875" bestFit="1" customWidth="1"/>
    <col min="1583" max="1583" width="8.81640625" bestFit="1" customWidth="1"/>
    <col min="1584" max="1584" width="7.36328125" bestFit="1" customWidth="1"/>
    <col min="1585" max="1585" width="8.81640625" bestFit="1" customWidth="1"/>
    <col min="1586" max="1586" width="7.90625" bestFit="1" customWidth="1"/>
    <col min="1587" max="1587" width="8.81640625" bestFit="1" customWidth="1"/>
    <col min="1588" max="1588" width="8.54296875" bestFit="1" customWidth="1"/>
    <col min="1589" max="1589" width="11.6328125" bestFit="1" customWidth="1"/>
    <col min="1590" max="1591" width="8.54296875" bestFit="1" customWidth="1"/>
    <col min="1592" max="1592" width="11.6328125" bestFit="1" customWidth="1"/>
    <col min="1593" max="1593" width="8.54296875" bestFit="1" customWidth="1"/>
    <col min="1594" max="1594" width="11.6328125" bestFit="1" customWidth="1"/>
    <col min="1595" max="1595" width="8.54296875" bestFit="1" customWidth="1"/>
    <col min="1596" max="1596" width="11.6328125" bestFit="1" customWidth="1"/>
    <col min="1597" max="1597" width="8.54296875" bestFit="1" customWidth="1"/>
    <col min="1598" max="1598" width="11.6328125" bestFit="1" customWidth="1"/>
    <col min="1599" max="1599" width="8.54296875" bestFit="1" customWidth="1"/>
    <col min="1600" max="1600" width="11.6328125" bestFit="1" customWidth="1"/>
    <col min="1601" max="1602" width="8.54296875" bestFit="1" customWidth="1"/>
    <col min="1603" max="1603" width="11.6328125" bestFit="1" customWidth="1"/>
  </cols>
  <sheetData>
    <row r="1" spans="1:9" x14ac:dyDescent="0.35">
      <c r="A1" s="42" t="s">
        <v>6230</v>
      </c>
      <c r="B1" s="42"/>
      <c r="H1" s="25" t="s">
        <v>6228</v>
      </c>
    </row>
    <row r="3" spans="1:9" x14ac:dyDescent="0.35">
      <c r="A3" s="16" t="s">
        <v>6214</v>
      </c>
      <c r="B3" s="17"/>
      <c r="C3" s="9" t="s">
        <v>6196</v>
      </c>
      <c r="D3" s="18"/>
      <c r="E3" s="19"/>
      <c r="F3" s="19"/>
      <c r="G3" s="17"/>
      <c r="H3" s="14" t="s">
        <v>7</v>
      </c>
      <c r="I3" s="8" t="s">
        <v>6214</v>
      </c>
    </row>
    <row r="4" spans="1:9" x14ac:dyDescent="0.35">
      <c r="A4" s="15" t="s">
        <v>6225</v>
      </c>
      <c r="B4" s="45" t="s">
        <v>6226</v>
      </c>
      <c r="C4" s="46" t="s">
        <v>6215</v>
      </c>
      <c r="D4" s="46" t="s">
        <v>6216</v>
      </c>
      <c r="E4" s="46" t="s">
        <v>6217</v>
      </c>
      <c r="F4" s="46" t="s">
        <v>6218</v>
      </c>
      <c r="G4" s="22" t="s">
        <v>6242</v>
      </c>
      <c r="H4" s="10" t="s">
        <v>28</v>
      </c>
      <c r="I4" s="34">
        <v>195.49</v>
      </c>
    </row>
    <row r="5" spans="1:9" x14ac:dyDescent="0.35">
      <c r="A5" s="10" t="s">
        <v>6198</v>
      </c>
      <c r="B5" s="46" t="s">
        <v>6202</v>
      </c>
      <c r="C5" s="29">
        <v>77.699999999999989</v>
      </c>
      <c r="D5" s="30">
        <v>53.46</v>
      </c>
      <c r="E5" s="30">
        <v>50.72</v>
      </c>
      <c r="F5" s="30">
        <v>21.509999999999998</v>
      </c>
      <c r="G5" s="31">
        <v>203.39</v>
      </c>
      <c r="H5" s="10" t="s">
        <v>318</v>
      </c>
      <c r="I5" s="35">
        <v>578.84499999999991</v>
      </c>
    </row>
    <row r="6" spans="1:9" x14ac:dyDescent="0.35">
      <c r="A6" s="10"/>
      <c r="B6" s="46" t="s">
        <v>6203</v>
      </c>
      <c r="C6" s="32">
        <v>67.339999999999989</v>
      </c>
      <c r="D6" s="47"/>
      <c r="E6" s="47"/>
      <c r="F6" s="47">
        <v>71.699999999999989</v>
      </c>
      <c r="G6" s="26">
        <v>139.03999999999996</v>
      </c>
      <c r="H6" s="12" t="s">
        <v>19</v>
      </c>
      <c r="I6" s="36">
        <v>2387.3849999999998</v>
      </c>
    </row>
    <row r="7" spans="1:9" x14ac:dyDescent="0.35">
      <c r="A7" s="10"/>
      <c r="B7" s="46" t="s">
        <v>6204</v>
      </c>
      <c r="C7" s="32">
        <v>59.569999999999993</v>
      </c>
      <c r="D7" s="47"/>
      <c r="E7" s="47">
        <v>85.59</v>
      </c>
      <c r="F7" s="47">
        <v>28.679999999999996</v>
      </c>
      <c r="G7" s="26">
        <v>173.84</v>
      </c>
    </row>
    <row r="8" spans="1:9" x14ac:dyDescent="0.35">
      <c r="A8" s="10"/>
      <c r="B8" s="46" t="s">
        <v>6205</v>
      </c>
      <c r="C8" s="32">
        <v>64.75</v>
      </c>
      <c r="D8" s="47">
        <v>181.16999999999996</v>
      </c>
      <c r="E8" s="47">
        <v>210.80499999999998</v>
      </c>
      <c r="F8" s="47">
        <v>21.509999999999998</v>
      </c>
      <c r="G8" s="26">
        <v>478.2349999999999</v>
      </c>
    </row>
    <row r="9" spans="1:9" x14ac:dyDescent="0.35">
      <c r="A9" s="10"/>
      <c r="B9" s="46" t="s">
        <v>6206</v>
      </c>
      <c r="C9" s="32">
        <v>29.784999999999997</v>
      </c>
      <c r="D9" s="47"/>
      <c r="E9" s="47"/>
      <c r="F9" s="47"/>
      <c r="G9" s="26">
        <v>29.784999999999997</v>
      </c>
      <c r="H9" s="25" t="s">
        <v>6229</v>
      </c>
    </row>
    <row r="10" spans="1:9" x14ac:dyDescent="0.35">
      <c r="A10" s="10"/>
      <c r="B10" s="46" t="s">
        <v>6207</v>
      </c>
      <c r="C10" s="32"/>
      <c r="D10" s="47">
        <v>341.54999999999995</v>
      </c>
      <c r="E10" s="47"/>
      <c r="F10" s="47">
        <v>17.924999999999997</v>
      </c>
      <c r="G10" s="26">
        <v>359.47499999999997</v>
      </c>
    </row>
    <row r="11" spans="1:9" x14ac:dyDescent="0.35">
      <c r="A11" s="10"/>
      <c r="B11" s="46" t="s">
        <v>6208</v>
      </c>
      <c r="C11" s="32">
        <v>89.35499999999999</v>
      </c>
      <c r="D11" s="47">
        <v>204.92999999999995</v>
      </c>
      <c r="E11" s="47">
        <v>171.17999999999998</v>
      </c>
      <c r="F11" s="47"/>
      <c r="G11" s="26">
        <v>465.46499999999992</v>
      </c>
      <c r="H11" s="14" t="s">
        <v>4</v>
      </c>
      <c r="I11" s="8" t="s">
        <v>6214</v>
      </c>
    </row>
    <row r="12" spans="1:9" x14ac:dyDescent="0.35">
      <c r="A12" s="10"/>
      <c r="B12" s="46" t="s">
        <v>6209</v>
      </c>
      <c r="C12" s="32">
        <v>213.67499999999998</v>
      </c>
      <c r="D12" s="47"/>
      <c r="E12" s="47">
        <v>15.85</v>
      </c>
      <c r="F12" s="47"/>
      <c r="G12" s="26">
        <v>229.52499999999998</v>
      </c>
      <c r="H12" s="10" t="s">
        <v>5347</v>
      </c>
      <c r="I12" s="34">
        <v>178.70999999999998</v>
      </c>
    </row>
    <row r="13" spans="1:9" x14ac:dyDescent="0.35">
      <c r="A13" s="10"/>
      <c r="B13" s="46" t="s">
        <v>6210</v>
      </c>
      <c r="C13" s="32">
        <v>178.70999999999998</v>
      </c>
      <c r="D13" s="47"/>
      <c r="E13" s="47">
        <v>91.929999999999993</v>
      </c>
      <c r="F13" s="47"/>
      <c r="G13" s="26">
        <v>270.64</v>
      </c>
      <c r="H13" s="10" t="s">
        <v>1820</v>
      </c>
      <c r="I13" s="35">
        <v>182.27499999999998</v>
      </c>
    </row>
    <row r="14" spans="1:9" x14ac:dyDescent="0.35">
      <c r="A14" s="10"/>
      <c r="B14" s="46" t="s">
        <v>6211</v>
      </c>
      <c r="C14" s="32">
        <v>103.6</v>
      </c>
      <c r="D14" s="47">
        <v>86.13</v>
      </c>
      <c r="E14" s="47"/>
      <c r="F14" s="47">
        <v>164.91</v>
      </c>
      <c r="G14" s="26">
        <v>354.64</v>
      </c>
      <c r="H14" s="10" t="s">
        <v>3820</v>
      </c>
      <c r="I14" s="35">
        <v>204.92999999999995</v>
      </c>
    </row>
    <row r="15" spans="1:9" x14ac:dyDescent="0.35">
      <c r="A15" s="10"/>
      <c r="B15" s="46" t="s">
        <v>6212</v>
      </c>
      <c r="C15" s="32"/>
      <c r="D15" s="47"/>
      <c r="E15" s="47">
        <v>187.03</v>
      </c>
      <c r="F15" s="47">
        <v>7.169999999999999</v>
      </c>
      <c r="G15" s="26">
        <v>194.2</v>
      </c>
      <c r="H15" s="10" t="s">
        <v>2275</v>
      </c>
      <c r="I15" s="35">
        <v>204.92999999999995</v>
      </c>
    </row>
    <row r="16" spans="1:9" x14ac:dyDescent="0.35">
      <c r="A16" s="10"/>
      <c r="B16" s="46" t="s">
        <v>6213</v>
      </c>
      <c r="C16" s="32"/>
      <c r="D16" s="47">
        <v>204.92999999999995</v>
      </c>
      <c r="E16" s="47"/>
      <c r="F16" s="47">
        <v>58.554999999999993</v>
      </c>
      <c r="G16" s="26">
        <v>263.48499999999996</v>
      </c>
      <c r="H16" s="12" t="s">
        <v>2454</v>
      </c>
      <c r="I16" s="36">
        <v>204.92999999999995</v>
      </c>
    </row>
    <row r="17" spans="1:7" x14ac:dyDescent="0.35">
      <c r="A17" s="10" t="s">
        <v>6219</v>
      </c>
      <c r="B17" s="46"/>
      <c r="C17" s="32">
        <v>884.48500000000001</v>
      </c>
      <c r="D17" s="47">
        <v>1072.1699999999998</v>
      </c>
      <c r="E17" s="47">
        <v>813.1049999999999</v>
      </c>
      <c r="F17" s="47">
        <v>391.96000000000004</v>
      </c>
      <c r="G17" s="26">
        <v>3161.7199999999993</v>
      </c>
    </row>
    <row r="18" spans="1:7" x14ac:dyDescent="0.35">
      <c r="A18" s="12" t="s">
        <v>6242</v>
      </c>
      <c r="B18" s="13"/>
      <c r="C18" s="33">
        <v>884.48500000000001</v>
      </c>
      <c r="D18" s="27">
        <v>1072.1699999999998</v>
      </c>
      <c r="E18" s="27">
        <v>813.1049999999999</v>
      </c>
      <c r="F18" s="27">
        <v>391.96000000000004</v>
      </c>
      <c r="G18" s="28">
        <v>3161.7199999999993</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22C8-EF37-4F22-8612-20127B9AFB4D}">
  <dimension ref="A1:R56"/>
  <sheetViews>
    <sheetView zoomScale="70" zoomScaleNormal="70" workbookViewId="0">
      <selection activeCell="K24" sqref="K24"/>
    </sheetView>
  </sheetViews>
  <sheetFormatPr defaultRowHeight="14.5" x14ac:dyDescent="0.35"/>
  <cols>
    <col min="1" max="1" width="14.54296875" bestFit="1" customWidth="1"/>
    <col min="2" max="2" width="15.26953125" bestFit="1" customWidth="1"/>
    <col min="3" max="3" width="6.81640625" bestFit="1" customWidth="1"/>
    <col min="4" max="4" width="9.54296875" bestFit="1" customWidth="1"/>
    <col min="5" max="5" width="19.26953125" bestFit="1" customWidth="1"/>
    <col min="6" max="6" width="6.81640625" bestFit="1" customWidth="1"/>
    <col min="7" max="7" width="7.1796875" bestFit="1" customWidth="1"/>
    <col min="8" max="8" width="7.7265625" bestFit="1" customWidth="1"/>
    <col min="9" max="9" width="15.26953125" bestFit="1" customWidth="1"/>
    <col min="10" max="10" width="19.1796875" bestFit="1" customWidth="1"/>
    <col min="11" max="11" width="19.26953125" bestFit="1" customWidth="1"/>
    <col min="12" max="12" width="14.54296875" bestFit="1" customWidth="1"/>
    <col min="13" max="13" width="7.1796875" bestFit="1" customWidth="1"/>
    <col min="14" max="14" width="14.54296875" bestFit="1" customWidth="1"/>
    <col min="15" max="16" width="16.26953125" bestFit="1" customWidth="1"/>
    <col min="17" max="17" width="14.1796875" bestFit="1" customWidth="1"/>
    <col min="18" max="18" width="19.1796875" bestFit="1" customWidth="1"/>
    <col min="19" max="20" width="24.08984375" bestFit="1" customWidth="1"/>
    <col min="21" max="21" width="7.1796875" bestFit="1" customWidth="1"/>
    <col min="22" max="22" width="7.7265625" bestFit="1" customWidth="1"/>
    <col min="23" max="23" width="17" bestFit="1" customWidth="1"/>
  </cols>
  <sheetData>
    <row r="1" spans="1:18" x14ac:dyDescent="0.35">
      <c r="A1" s="43" t="s">
        <v>6233</v>
      </c>
      <c r="B1" s="43"/>
      <c r="C1" s="43"/>
      <c r="D1" s="43"/>
      <c r="E1" s="43"/>
      <c r="J1" s="43" t="s">
        <v>6232</v>
      </c>
      <c r="K1" s="43"/>
      <c r="L1" s="43"/>
      <c r="M1" s="43"/>
      <c r="Q1" t="s">
        <v>6236</v>
      </c>
    </row>
    <row r="3" spans="1:18" x14ac:dyDescent="0.35">
      <c r="A3" s="11" t="s">
        <v>6231</v>
      </c>
      <c r="E3" s="11" t="s">
        <v>6196</v>
      </c>
      <c r="J3" s="11" t="s">
        <v>6231</v>
      </c>
      <c r="K3" s="11" t="s">
        <v>6196</v>
      </c>
      <c r="Q3" s="11" t="s">
        <v>6196</v>
      </c>
      <c r="R3" t="s">
        <v>6231</v>
      </c>
    </row>
    <row r="4" spans="1:18" x14ac:dyDescent="0.35">
      <c r="A4" s="11" t="s">
        <v>6224</v>
      </c>
      <c r="B4" s="11" t="s">
        <v>6225</v>
      </c>
      <c r="C4" s="11" t="s">
        <v>6226</v>
      </c>
      <c r="D4" s="11" t="s">
        <v>6223</v>
      </c>
      <c r="E4" t="s">
        <v>6215</v>
      </c>
      <c r="F4" t="s">
        <v>6216</v>
      </c>
      <c r="G4" t="s">
        <v>6217</v>
      </c>
      <c r="H4" t="s">
        <v>6218</v>
      </c>
      <c r="J4" s="11" t="s">
        <v>7</v>
      </c>
      <c r="K4" t="s">
        <v>6215</v>
      </c>
      <c r="L4" t="s">
        <v>6216</v>
      </c>
      <c r="M4" t="s">
        <v>6217</v>
      </c>
      <c r="N4" t="s">
        <v>6218</v>
      </c>
      <c r="Q4" t="s">
        <v>6215</v>
      </c>
      <c r="R4" s="37">
        <v>0.26</v>
      </c>
    </row>
    <row r="5" spans="1:18" x14ac:dyDescent="0.35">
      <c r="A5">
        <v>2019</v>
      </c>
      <c r="B5" t="s">
        <v>6198</v>
      </c>
      <c r="C5" t="s">
        <v>6202</v>
      </c>
      <c r="E5">
        <v>3</v>
      </c>
      <c r="F5">
        <v>7</v>
      </c>
      <c r="G5">
        <v>5</v>
      </c>
      <c r="H5">
        <v>5</v>
      </c>
      <c r="J5" t="s">
        <v>318</v>
      </c>
      <c r="K5">
        <v>41</v>
      </c>
      <c r="L5">
        <v>35</v>
      </c>
      <c r="M5">
        <v>39</v>
      </c>
      <c r="N5">
        <v>38</v>
      </c>
      <c r="Q5" t="s">
        <v>6216</v>
      </c>
      <c r="R5" s="37">
        <v>0.2</v>
      </c>
    </row>
    <row r="6" spans="1:18" x14ac:dyDescent="0.35">
      <c r="C6" t="s">
        <v>6203</v>
      </c>
      <c r="E6">
        <v>7</v>
      </c>
      <c r="F6">
        <v>4</v>
      </c>
      <c r="G6">
        <v>7</v>
      </c>
      <c r="H6">
        <v>5</v>
      </c>
      <c r="J6" t="s">
        <v>28</v>
      </c>
      <c r="K6">
        <v>7</v>
      </c>
      <c r="L6">
        <v>23</v>
      </c>
      <c r="M6">
        <v>21</v>
      </c>
      <c r="N6">
        <v>22</v>
      </c>
      <c r="Q6" t="s">
        <v>6217</v>
      </c>
      <c r="R6" s="37">
        <v>0.3</v>
      </c>
    </row>
    <row r="7" spans="1:18" x14ac:dyDescent="0.35">
      <c r="C7" t="s">
        <v>6204</v>
      </c>
      <c r="E7">
        <v>4</v>
      </c>
      <c r="F7">
        <v>7</v>
      </c>
      <c r="G7">
        <v>6</v>
      </c>
      <c r="H7">
        <v>6</v>
      </c>
      <c r="J7" t="s">
        <v>19</v>
      </c>
      <c r="K7">
        <v>216</v>
      </c>
      <c r="L7">
        <v>189</v>
      </c>
      <c r="M7">
        <v>188</v>
      </c>
      <c r="N7">
        <v>181</v>
      </c>
      <c r="Q7" t="s">
        <v>6218</v>
      </c>
      <c r="R7" s="37">
        <v>0.24</v>
      </c>
    </row>
    <row r="8" spans="1:18" x14ac:dyDescent="0.35">
      <c r="C8" t="s">
        <v>6205</v>
      </c>
      <c r="E8">
        <v>5</v>
      </c>
      <c r="F8">
        <v>8</v>
      </c>
      <c r="G8">
        <v>10</v>
      </c>
      <c r="H8">
        <v>6</v>
      </c>
    </row>
    <row r="9" spans="1:18" x14ac:dyDescent="0.35">
      <c r="C9" t="s">
        <v>6206</v>
      </c>
      <c r="E9">
        <v>2</v>
      </c>
      <c r="F9">
        <v>3</v>
      </c>
      <c r="G9">
        <v>4</v>
      </c>
      <c r="H9">
        <v>4</v>
      </c>
      <c r="J9" s="43" t="s">
        <v>6234</v>
      </c>
      <c r="K9" s="43"/>
      <c r="L9" s="43"/>
    </row>
    <row r="10" spans="1:18" x14ac:dyDescent="0.35">
      <c r="C10" t="s">
        <v>6207</v>
      </c>
      <c r="E10">
        <v>2</v>
      </c>
      <c r="F10">
        <v>8</v>
      </c>
      <c r="G10">
        <v>4</v>
      </c>
      <c r="H10">
        <v>9</v>
      </c>
    </row>
    <row r="11" spans="1:18" x14ac:dyDescent="0.35">
      <c r="C11" t="s">
        <v>6208</v>
      </c>
      <c r="E11">
        <v>8</v>
      </c>
      <c r="F11">
        <v>6</v>
      </c>
      <c r="G11">
        <v>4</v>
      </c>
      <c r="H11">
        <v>4</v>
      </c>
      <c r="J11" s="11" t="s">
        <v>6231</v>
      </c>
      <c r="K11" s="11" t="s">
        <v>7</v>
      </c>
      <c r="Q11" t="s">
        <v>6237</v>
      </c>
    </row>
    <row r="12" spans="1:18" x14ac:dyDescent="0.35">
      <c r="C12" t="s">
        <v>6209</v>
      </c>
      <c r="E12">
        <v>7</v>
      </c>
      <c r="F12">
        <v>2</v>
      </c>
      <c r="G12">
        <v>3</v>
      </c>
      <c r="H12">
        <v>5</v>
      </c>
      <c r="J12" s="11" t="s">
        <v>6224</v>
      </c>
      <c r="K12" t="s">
        <v>318</v>
      </c>
      <c r="L12" t="s">
        <v>28</v>
      </c>
      <c r="M12" t="s">
        <v>19</v>
      </c>
    </row>
    <row r="13" spans="1:18" x14ac:dyDescent="0.35">
      <c r="C13" t="s">
        <v>6210</v>
      </c>
      <c r="E13">
        <v>1</v>
      </c>
      <c r="F13">
        <v>4</v>
      </c>
      <c r="G13">
        <v>8</v>
      </c>
      <c r="H13">
        <v>11</v>
      </c>
      <c r="J13">
        <v>2019</v>
      </c>
      <c r="K13">
        <v>36</v>
      </c>
      <c r="L13">
        <v>28</v>
      </c>
      <c r="M13">
        <v>195</v>
      </c>
      <c r="Q13" s="11" t="s">
        <v>6197</v>
      </c>
      <c r="R13" t="s">
        <v>6231</v>
      </c>
    </row>
    <row r="14" spans="1:18" x14ac:dyDescent="0.35">
      <c r="C14" t="s">
        <v>6211</v>
      </c>
      <c r="E14">
        <v>9</v>
      </c>
      <c r="F14">
        <v>5</v>
      </c>
      <c r="G14">
        <v>4</v>
      </c>
      <c r="H14">
        <v>7</v>
      </c>
      <c r="J14">
        <v>2020</v>
      </c>
      <c r="K14">
        <v>33</v>
      </c>
      <c r="L14">
        <v>22</v>
      </c>
      <c r="M14">
        <v>208</v>
      </c>
      <c r="Q14" t="s">
        <v>6238</v>
      </c>
      <c r="R14" s="37">
        <v>1</v>
      </c>
    </row>
    <row r="15" spans="1:18" x14ac:dyDescent="0.35">
      <c r="C15" t="s">
        <v>6212</v>
      </c>
      <c r="E15">
        <v>5</v>
      </c>
      <c r="F15">
        <v>1</v>
      </c>
      <c r="G15">
        <v>7</v>
      </c>
      <c r="H15">
        <v>4</v>
      </c>
      <c r="J15">
        <v>2021</v>
      </c>
      <c r="K15">
        <v>53</v>
      </c>
      <c r="L15">
        <v>17</v>
      </c>
      <c r="M15">
        <v>242</v>
      </c>
    </row>
    <row r="16" spans="1:18" x14ac:dyDescent="0.35">
      <c r="C16" t="s">
        <v>6213</v>
      </c>
      <c r="E16">
        <v>6</v>
      </c>
      <c r="F16">
        <v>5</v>
      </c>
      <c r="G16">
        <v>6</v>
      </c>
      <c r="H16">
        <v>6</v>
      </c>
      <c r="J16">
        <v>2022</v>
      </c>
      <c r="K16">
        <v>31</v>
      </c>
      <c r="L16">
        <v>6</v>
      </c>
      <c r="M16">
        <v>129</v>
      </c>
    </row>
    <row r="17" spans="1:18" x14ac:dyDescent="0.35">
      <c r="B17" t="s">
        <v>6219</v>
      </c>
      <c r="E17">
        <v>59</v>
      </c>
      <c r="F17">
        <v>60</v>
      </c>
      <c r="G17">
        <v>68</v>
      </c>
      <c r="H17">
        <v>72</v>
      </c>
    </row>
    <row r="18" spans="1:18" x14ac:dyDescent="0.35">
      <c r="A18" t="s">
        <v>6219</v>
      </c>
      <c r="E18">
        <v>59</v>
      </c>
      <c r="F18">
        <v>60</v>
      </c>
      <c r="G18">
        <v>68</v>
      </c>
      <c r="H18">
        <v>72</v>
      </c>
    </row>
    <row r="19" spans="1:18" x14ac:dyDescent="0.35">
      <c r="A19">
        <v>2020</v>
      </c>
      <c r="B19" t="s">
        <v>6199</v>
      </c>
      <c r="C19" t="s">
        <v>6202</v>
      </c>
      <c r="E19">
        <v>3</v>
      </c>
      <c r="F19">
        <v>3</v>
      </c>
      <c r="G19">
        <v>8</v>
      </c>
      <c r="H19">
        <v>6</v>
      </c>
    </row>
    <row r="20" spans="1:18" x14ac:dyDescent="0.35">
      <c r="C20" t="s">
        <v>6203</v>
      </c>
      <c r="E20">
        <v>11</v>
      </c>
      <c r="F20">
        <v>9</v>
      </c>
      <c r="G20">
        <v>5</v>
      </c>
      <c r="H20">
        <v>9</v>
      </c>
    </row>
    <row r="21" spans="1:18" x14ac:dyDescent="0.35">
      <c r="C21" t="s">
        <v>6204</v>
      </c>
      <c r="E21">
        <v>5</v>
      </c>
      <c r="F21">
        <v>8</v>
      </c>
      <c r="G21">
        <v>5</v>
      </c>
      <c r="H21">
        <v>5</v>
      </c>
      <c r="J21" s="46" t="s">
        <v>6214</v>
      </c>
      <c r="L21" s="46" t="s">
        <v>6231</v>
      </c>
    </row>
    <row r="22" spans="1:18" x14ac:dyDescent="0.35">
      <c r="C22" t="s">
        <v>6205</v>
      </c>
      <c r="E22">
        <v>1</v>
      </c>
      <c r="F22">
        <v>5</v>
      </c>
      <c r="G22">
        <v>4</v>
      </c>
      <c r="H22">
        <v>5</v>
      </c>
      <c r="J22" s="48">
        <v>3161.7200000000003</v>
      </c>
      <c r="L22" s="49">
        <v>50</v>
      </c>
      <c r="Q22" s="11" t="s">
        <v>6189</v>
      </c>
      <c r="R22" t="s">
        <v>6239</v>
      </c>
    </row>
    <row r="23" spans="1:18" x14ac:dyDescent="0.35">
      <c r="C23" t="s">
        <v>6206</v>
      </c>
      <c r="E23">
        <v>7</v>
      </c>
      <c r="F23">
        <v>6</v>
      </c>
      <c r="G23">
        <v>3</v>
      </c>
      <c r="H23">
        <v>3</v>
      </c>
      <c r="J23" s="39">
        <f>GETPIVOTDATA("Sales",$J$21)</f>
        <v>3161.7200000000003</v>
      </c>
      <c r="L23">
        <f>GETPIVOTDATA("Order ID",$L$21)</f>
        <v>50</v>
      </c>
      <c r="N23" t="s">
        <v>6243</v>
      </c>
      <c r="Q23" t="s">
        <v>6191</v>
      </c>
      <c r="R23">
        <v>521</v>
      </c>
    </row>
    <row r="24" spans="1:18" x14ac:dyDescent="0.35">
      <c r="C24" t="s">
        <v>6207</v>
      </c>
      <c r="E24">
        <v>7</v>
      </c>
      <c r="F24">
        <v>6</v>
      </c>
      <c r="G24">
        <v>6</v>
      </c>
      <c r="H24">
        <v>3</v>
      </c>
      <c r="K24" s="38">
        <f>GETPIVOTDATA("Sales",$J$21)/GETPIVOTDATA("Order ID",$L$21)</f>
        <v>63.234400000000008</v>
      </c>
      <c r="N24" s="1">
        <f>GETPIVOTDATA("Quantity",$L$26)/GETPIVOTDATA("Order ID",$L$21)</f>
        <v>3.7</v>
      </c>
      <c r="Q24" t="s">
        <v>6190</v>
      </c>
      <c r="R24">
        <v>479</v>
      </c>
    </row>
    <row r="25" spans="1:18" x14ac:dyDescent="0.35">
      <c r="C25" t="s">
        <v>6208</v>
      </c>
      <c r="E25">
        <v>10</v>
      </c>
      <c r="F25">
        <v>5</v>
      </c>
      <c r="G25">
        <v>5</v>
      </c>
      <c r="H25">
        <v>9</v>
      </c>
    </row>
    <row r="26" spans="1:18" x14ac:dyDescent="0.35">
      <c r="C26" t="s">
        <v>6209</v>
      </c>
      <c r="E26">
        <v>1</v>
      </c>
      <c r="F26">
        <v>3</v>
      </c>
      <c r="G26">
        <v>3</v>
      </c>
      <c r="H26">
        <v>5</v>
      </c>
      <c r="J26" s="46" t="s">
        <v>6235</v>
      </c>
      <c r="L26" s="46" t="s">
        <v>6227</v>
      </c>
    </row>
    <row r="27" spans="1:18" x14ac:dyDescent="0.35">
      <c r="C27" t="s">
        <v>6210</v>
      </c>
      <c r="E27">
        <v>4</v>
      </c>
      <c r="F27">
        <v>3</v>
      </c>
      <c r="G27">
        <v>5</v>
      </c>
      <c r="H27">
        <v>7</v>
      </c>
      <c r="J27" s="49">
        <v>50</v>
      </c>
      <c r="L27" s="49">
        <v>185</v>
      </c>
    </row>
    <row r="28" spans="1:18" x14ac:dyDescent="0.35">
      <c r="C28" t="s">
        <v>6211</v>
      </c>
      <c r="E28">
        <v>9</v>
      </c>
      <c r="F28">
        <v>9</v>
      </c>
      <c r="G28">
        <v>9</v>
      </c>
      <c r="H28">
        <v>3</v>
      </c>
      <c r="J28">
        <f>GETPIVOTDATA("Customer ID",$J$26)</f>
        <v>50</v>
      </c>
    </row>
    <row r="29" spans="1:18" x14ac:dyDescent="0.35">
      <c r="C29" t="s">
        <v>6212</v>
      </c>
      <c r="E29">
        <v>6</v>
      </c>
      <c r="F29">
        <v>3</v>
      </c>
      <c r="G29">
        <v>5</v>
      </c>
      <c r="H29">
        <v>3</v>
      </c>
    </row>
    <row r="30" spans="1:18" x14ac:dyDescent="0.35">
      <c r="C30" t="s">
        <v>6213</v>
      </c>
      <c r="E30">
        <v>6</v>
      </c>
      <c r="F30">
        <v>11</v>
      </c>
      <c r="G30">
        <v>3</v>
      </c>
      <c r="H30">
        <v>3</v>
      </c>
      <c r="Q30" t="s">
        <v>6240</v>
      </c>
    </row>
    <row r="31" spans="1:18" x14ac:dyDescent="0.35">
      <c r="B31" t="s">
        <v>6220</v>
      </c>
      <c r="E31">
        <v>70</v>
      </c>
      <c r="F31">
        <v>71</v>
      </c>
      <c r="G31">
        <v>61</v>
      </c>
      <c r="H31">
        <v>61</v>
      </c>
    </row>
    <row r="32" spans="1:18" x14ac:dyDescent="0.35">
      <c r="A32" t="s">
        <v>6220</v>
      </c>
      <c r="E32">
        <v>70</v>
      </c>
      <c r="F32">
        <v>71</v>
      </c>
      <c r="G32">
        <v>61</v>
      </c>
      <c r="H32">
        <v>61</v>
      </c>
    </row>
    <row r="33" spans="1:18" x14ac:dyDescent="0.35">
      <c r="A33">
        <v>2021</v>
      </c>
      <c r="B33" t="s">
        <v>6200</v>
      </c>
      <c r="C33" t="s">
        <v>6202</v>
      </c>
      <c r="E33">
        <v>8</v>
      </c>
      <c r="F33">
        <v>4</v>
      </c>
      <c r="G33">
        <v>9</v>
      </c>
      <c r="H33">
        <v>5</v>
      </c>
      <c r="J33" s="11" t="s">
        <v>6224</v>
      </c>
      <c r="K33" t="s">
        <v>6214</v>
      </c>
      <c r="Q33" s="11" t="s">
        <v>12</v>
      </c>
      <c r="R33" t="s">
        <v>6231</v>
      </c>
    </row>
    <row r="34" spans="1:18" x14ac:dyDescent="0.35">
      <c r="C34" t="s">
        <v>6203</v>
      </c>
      <c r="E34">
        <v>6</v>
      </c>
      <c r="F34">
        <v>6</v>
      </c>
      <c r="G34">
        <v>7</v>
      </c>
      <c r="H34">
        <v>4</v>
      </c>
      <c r="J34">
        <v>2019</v>
      </c>
      <c r="K34" s="24">
        <v>12187.165000000003</v>
      </c>
      <c r="Q34" s="5">
        <v>0.2</v>
      </c>
      <c r="R34">
        <v>249</v>
      </c>
    </row>
    <row r="35" spans="1:18" x14ac:dyDescent="0.35">
      <c r="C35" t="s">
        <v>6204</v>
      </c>
      <c r="E35">
        <v>8</v>
      </c>
      <c r="F35">
        <v>11</v>
      </c>
      <c r="G35">
        <v>6</v>
      </c>
      <c r="H35">
        <v>10</v>
      </c>
      <c r="J35">
        <v>2020</v>
      </c>
      <c r="K35" s="24">
        <v>12117.544999999998</v>
      </c>
      <c r="Q35" s="5">
        <v>0.5</v>
      </c>
      <c r="R35">
        <v>268</v>
      </c>
    </row>
    <row r="36" spans="1:18" x14ac:dyDescent="0.35">
      <c r="C36" t="s">
        <v>6205</v>
      </c>
      <c r="E36">
        <v>6</v>
      </c>
      <c r="F36">
        <v>5</v>
      </c>
      <c r="G36">
        <v>6</v>
      </c>
      <c r="H36">
        <v>2</v>
      </c>
      <c r="J36">
        <v>2021</v>
      </c>
      <c r="K36" s="24">
        <v>13766.11</v>
      </c>
      <c r="L36">
        <f>GETPIVOTDATA("Sales",$J$33,"Year",2021)-GETPIVOTDATA("Sales",$J$33,"Year",2019)</f>
        <v>1578.9449999999979</v>
      </c>
      <c r="M36" s="40">
        <f>L36/GETPIVOTDATA("Sales",$J$33,"Year",2019)</f>
        <v>0.12955802272308592</v>
      </c>
      <c r="Q36" s="5">
        <v>1</v>
      </c>
      <c r="R36">
        <v>236</v>
      </c>
    </row>
    <row r="37" spans="1:18" x14ac:dyDescent="0.35">
      <c r="C37" t="s">
        <v>6206</v>
      </c>
      <c r="E37">
        <v>6</v>
      </c>
      <c r="F37">
        <v>4</v>
      </c>
      <c r="G37">
        <v>6</v>
      </c>
      <c r="H37">
        <v>8</v>
      </c>
      <c r="J37">
        <v>2022</v>
      </c>
      <c r="K37" s="24">
        <v>7063.4350000000022</v>
      </c>
      <c r="Q37" s="5">
        <v>2.5</v>
      </c>
      <c r="R37">
        <v>247</v>
      </c>
    </row>
    <row r="38" spans="1:18" x14ac:dyDescent="0.35">
      <c r="C38" t="s">
        <v>6207</v>
      </c>
      <c r="E38">
        <v>8</v>
      </c>
      <c r="F38">
        <v>5</v>
      </c>
      <c r="G38">
        <v>3</v>
      </c>
      <c r="H38">
        <v>4</v>
      </c>
    </row>
    <row r="39" spans="1:18" x14ac:dyDescent="0.35">
      <c r="C39" t="s">
        <v>6208</v>
      </c>
      <c r="E39">
        <v>5</v>
      </c>
      <c r="F39">
        <v>9</v>
      </c>
      <c r="G39">
        <v>3</v>
      </c>
      <c r="H39">
        <v>4</v>
      </c>
    </row>
    <row r="40" spans="1:18" x14ac:dyDescent="0.35">
      <c r="C40" t="s">
        <v>6209</v>
      </c>
      <c r="E40">
        <v>8</v>
      </c>
      <c r="F40">
        <v>7</v>
      </c>
      <c r="G40">
        <v>3</v>
      </c>
      <c r="H40">
        <v>7</v>
      </c>
    </row>
    <row r="41" spans="1:18" x14ac:dyDescent="0.35">
      <c r="C41" t="s">
        <v>6210</v>
      </c>
      <c r="E41">
        <v>14</v>
      </c>
      <c r="F41">
        <v>6</v>
      </c>
      <c r="G41">
        <v>6</v>
      </c>
      <c r="H41">
        <v>4</v>
      </c>
      <c r="Q41" t="s">
        <v>6241</v>
      </c>
    </row>
    <row r="42" spans="1:18" x14ac:dyDescent="0.35">
      <c r="C42" t="s">
        <v>6211</v>
      </c>
      <c r="E42">
        <v>8</v>
      </c>
      <c r="F42">
        <v>5</v>
      </c>
      <c r="G42">
        <v>10</v>
      </c>
      <c r="H42">
        <v>7</v>
      </c>
      <c r="Q42" s="11" t="s">
        <v>7</v>
      </c>
      <c r="R42" t="s">
        <v>6235</v>
      </c>
    </row>
    <row r="43" spans="1:18" x14ac:dyDescent="0.35">
      <c r="C43" t="s">
        <v>6212</v>
      </c>
      <c r="E43">
        <v>6</v>
      </c>
      <c r="F43">
        <v>11</v>
      </c>
      <c r="G43">
        <v>12</v>
      </c>
      <c r="H43">
        <v>5</v>
      </c>
      <c r="Q43" t="s">
        <v>318</v>
      </c>
      <c r="R43" s="37">
        <v>0.14000000000000001</v>
      </c>
    </row>
    <row r="44" spans="1:18" x14ac:dyDescent="0.35">
      <c r="C44" t="s">
        <v>6213</v>
      </c>
      <c r="E44">
        <v>8</v>
      </c>
      <c r="F44">
        <v>5</v>
      </c>
      <c r="G44">
        <v>9</v>
      </c>
      <c r="H44">
        <v>3</v>
      </c>
      <c r="Q44" t="s">
        <v>28</v>
      </c>
      <c r="R44" s="37">
        <v>0.16</v>
      </c>
    </row>
    <row r="45" spans="1:18" x14ac:dyDescent="0.35">
      <c r="B45" t="s">
        <v>6221</v>
      </c>
      <c r="E45">
        <v>91</v>
      </c>
      <c r="F45">
        <v>78</v>
      </c>
      <c r="G45">
        <v>80</v>
      </c>
      <c r="H45">
        <v>63</v>
      </c>
      <c r="Q45" t="s">
        <v>19</v>
      </c>
      <c r="R45" s="37">
        <v>0.7</v>
      </c>
    </row>
    <row r="46" spans="1:18" x14ac:dyDescent="0.35">
      <c r="A46" t="s">
        <v>6221</v>
      </c>
      <c r="E46">
        <v>91</v>
      </c>
      <c r="F46">
        <v>78</v>
      </c>
      <c r="G46">
        <v>80</v>
      </c>
      <c r="H46">
        <v>63</v>
      </c>
    </row>
    <row r="47" spans="1:18" x14ac:dyDescent="0.35">
      <c r="A47">
        <v>2022</v>
      </c>
      <c r="B47" t="s">
        <v>6201</v>
      </c>
      <c r="C47" t="s">
        <v>6202</v>
      </c>
      <c r="E47">
        <v>5</v>
      </c>
      <c r="F47">
        <v>6</v>
      </c>
      <c r="G47">
        <v>9</v>
      </c>
      <c r="H47">
        <v>5</v>
      </c>
    </row>
    <row r="48" spans="1:18" x14ac:dyDescent="0.35">
      <c r="C48" t="s">
        <v>6203</v>
      </c>
      <c r="E48">
        <v>5</v>
      </c>
      <c r="F48">
        <v>4</v>
      </c>
      <c r="G48">
        <v>4</v>
      </c>
      <c r="H48">
        <v>2</v>
      </c>
    </row>
    <row r="49" spans="1:8" x14ac:dyDescent="0.35">
      <c r="C49" t="s">
        <v>6204</v>
      </c>
      <c r="E49">
        <v>6</v>
      </c>
      <c r="F49">
        <v>4</v>
      </c>
      <c r="G49">
        <v>8</v>
      </c>
      <c r="H49">
        <v>10</v>
      </c>
    </row>
    <row r="50" spans="1:8" x14ac:dyDescent="0.35">
      <c r="C50" t="s">
        <v>6205</v>
      </c>
      <c r="E50">
        <v>8</v>
      </c>
      <c r="F50">
        <v>6</v>
      </c>
      <c r="G50">
        <v>4</v>
      </c>
      <c r="H50">
        <v>5</v>
      </c>
    </row>
    <row r="51" spans="1:8" x14ac:dyDescent="0.35">
      <c r="C51" t="s">
        <v>6206</v>
      </c>
      <c r="E51">
        <v>5</v>
      </c>
      <c r="F51">
        <v>5</v>
      </c>
      <c r="G51">
        <v>6</v>
      </c>
      <c r="H51">
        <v>7</v>
      </c>
    </row>
    <row r="52" spans="1:8" x14ac:dyDescent="0.35">
      <c r="C52" t="s">
        <v>6207</v>
      </c>
      <c r="E52">
        <v>6</v>
      </c>
      <c r="F52">
        <v>7</v>
      </c>
      <c r="G52">
        <v>3</v>
      </c>
      <c r="H52">
        <v>7</v>
      </c>
    </row>
    <row r="53" spans="1:8" x14ac:dyDescent="0.35">
      <c r="C53" t="s">
        <v>6208</v>
      </c>
      <c r="E53">
        <v>5</v>
      </c>
      <c r="F53">
        <v>5</v>
      </c>
      <c r="G53">
        <v>4</v>
      </c>
      <c r="H53">
        <v>5</v>
      </c>
    </row>
    <row r="54" spans="1:8" x14ac:dyDescent="0.35">
      <c r="C54" t="s">
        <v>6209</v>
      </c>
      <c r="E54">
        <v>4</v>
      </c>
      <c r="F54">
        <v>1</v>
      </c>
      <c r="G54">
        <v>1</v>
      </c>
      <c r="H54">
        <v>4</v>
      </c>
    </row>
    <row r="55" spans="1:8" x14ac:dyDescent="0.35">
      <c r="B55" t="s">
        <v>6222</v>
      </c>
      <c r="E55">
        <v>44</v>
      </c>
      <c r="F55">
        <v>38</v>
      </c>
      <c r="G55">
        <v>39</v>
      </c>
      <c r="H55">
        <v>45</v>
      </c>
    </row>
    <row r="56" spans="1:8" x14ac:dyDescent="0.35">
      <c r="A56" t="s">
        <v>6222</v>
      </c>
      <c r="E56">
        <v>44</v>
      </c>
      <c r="F56">
        <v>38</v>
      </c>
      <c r="G56">
        <v>39</v>
      </c>
      <c r="H56">
        <v>45</v>
      </c>
    </row>
  </sheetData>
  <mergeCells count="3">
    <mergeCell ref="J1:M1"/>
    <mergeCell ref="A1:E1"/>
    <mergeCell ref="J9:L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6717-B16F-4A16-A30A-88F0F7CE70F8}">
  <dimension ref="B1:Z7"/>
  <sheetViews>
    <sheetView showGridLines="0" showRowColHeaders="0" tabSelected="1" topLeftCell="S1" zoomScale="93" zoomScaleNormal="93" workbookViewId="0">
      <selection activeCell="AI17" sqref="AI17"/>
    </sheetView>
  </sheetViews>
  <sheetFormatPr defaultRowHeight="14.5" x14ac:dyDescent="0.35"/>
  <cols>
    <col min="1" max="1" width="1.6328125" style="41" customWidth="1"/>
    <col min="2" max="16384" width="8.7265625" style="41"/>
  </cols>
  <sheetData>
    <row r="1" spans="2:26" ht="1" customHeight="1" x14ac:dyDescent="0.35"/>
    <row r="7" spans="2:26" ht="28.5" x14ac:dyDescent="0.65">
      <c r="B7" s="44" t="s">
        <v>6244</v>
      </c>
      <c r="C7" s="44"/>
      <c r="D7" s="44"/>
      <c r="E7" s="44"/>
      <c r="F7" s="44"/>
      <c r="G7" s="44" t="s">
        <v>6245</v>
      </c>
      <c r="H7" s="44"/>
      <c r="I7" s="44"/>
      <c r="J7" s="44"/>
      <c r="K7" s="44"/>
      <c r="L7" s="44" t="s">
        <v>6248</v>
      </c>
      <c r="M7" s="44"/>
      <c r="N7" s="44"/>
      <c r="O7" s="44"/>
      <c r="P7" s="44"/>
      <c r="Q7" s="44" t="s">
        <v>6246</v>
      </c>
      <c r="R7" s="44"/>
      <c r="S7" s="44"/>
      <c r="T7" s="44"/>
      <c r="U7" s="44"/>
      <c r="V7" s="44" t="s">
        <v>6247</v>
      </c>
      <c r="W7" s="44"/>
      <c r="X7" s="44"/>
      <c r="Y7" s="44"/>
      <c r="Z7" s="44"/>
    </row>
  </sheetData>
  <mergeCells count="5">
    <mergeCell ref="B7:F7"/>
    <mergeCell ref="G7:K7"/>
    <mergeCell ref="L7:P7"/>
    <mergeCell ref="Q7:U7"/>
    <mergeCell ref="V7:Z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15</vt:i4>
      </vt:variant>
    </vt:vector>
  </HeadingPairs>
  <TitlesOfParts>
    <vt:vector size="22" baseType="lpstr">
      <vt:lpstr>orders</vt:lpstr>
      <vt:lpstr>customers</vt:lpstr>
      <vt:lpstr>products</vt:lpstr>
      <vt:lpstr>final_sheet</vt:lpstr>
      <vt:lpstr>total sales</vt:lpstr>
      <vt:lpstr>extra</vt:lpstr>
      <vt:lpstr>Dashboard </vt:lpstr>
      <vt:lpstr>Coffee_Type</vt:lpstr>
      <vt:lpstr>Coffee_Type_Name</vt:lpstr>
      <vt:lpstr>Country</vt:lpstr>
      <vt:lpstr>Customer_ID</vt:lpstr>
      <vt:lpstr>Customer_Name</vt:lpstr>
      <vt:lpstr>Email</vt:lpstr>
      <vt:lpstr>Order_Date</vt:lpstr>
      <vt:lpstr>Order_ID</vt:lpstr>
      <vt:lpstr>Product_ID</vt:lpstr>
      <vt:lpstr>Quantity</vt:lpstr>
      <vt:lpstr>Roast_Type</vt:lpstr>
      <vt:lpstr>Roast_Type_Name</vt:lpstr>
      <vt:lpstr>Sales</vt:lpstr>
      <vt:lpstr>Size</vt:lpstr>
      <vt:lpstr>Unit_Price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Shantu Sharma</cp:lastModifiedBy>
  <cp:revision/>
  <dcterms:created xsi:type="dcterms:W3CDTF">2022-11-26T09:51:45Z</dcterms:created>
  <dcterms:modified xsi:type="dcterms:W3CDTF">2025-11-28T08:46:34Z</dcterms:modified>
  <cp:category/>
  <cp:contentStatus/>
</cp:coreProperties>
</file>